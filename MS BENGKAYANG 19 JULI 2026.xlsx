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<sst xmlns="http://schemas.openxmlformats.org/spreadsheetml/2006/main" count="1229" uniqueCount="675">
  <si>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</si>
  <si>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</si>
  <si>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</si>
  <si>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</si>
  <si>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</si>
  <si>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</si>
  <si>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</si>
  <si>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</si>
  <si>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</si>
  <si>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</si>
  <si>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</si>
  <si>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</si>
  <si>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</si>
  <si>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</si>
  <si>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</si>
  <si>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</si>
  <si>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</si>
  <si>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</si>
  <si>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</si>
  <si>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</si>
  <si>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</si>
  <si>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</si>
  <si>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</si>
  <si>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</si>
  <si>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</si>
  <si>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</si>
  <si>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</si>
  <si>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</si>
  <si>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</si>
  <si>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</si>
  <si>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</si>
  <si>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</si>
  <si>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</si>
  <si>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</si>
  <si>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</si>
  <si>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</si>
  <si>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</si>
  <si>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</si>
  <si>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</si>
  <si>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</si>
  <si>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</si>
  <si>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</si>
  <si>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</si>
  <si>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</si>
  <si>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</si>
  <si>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</si>
  <si>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</si>
  <si>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</si>
  <si>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</si>
  <si>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</si>
  <si>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</si>
  <si>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</si>
  <si>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</si>
  <si>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</si>
  <si>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</si>
  <si>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</si>
  <si>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</si>
  <si>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</si>
  <si>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</si>
  <si>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</si>
  <si>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</si>
  <si>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</si>
  <si>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</si>
  <si>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</si>
  <si>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</si>
  <si>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</si>
  <si>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</si>
  <si>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</si>
  <si>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</si>
  <si>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</si>
  <si>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</si>
  <si>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</si>
  <si>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</si>
  <si>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</si>
  <si>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</si>
  <si>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</si>
  <si>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</si>
  <si>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</si>
  <si>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</si>
  <si>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</si>
  <si>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</si>
  <si>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</si>
  <si>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</si>
  <si>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</si>
  <si>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</si>
  <si>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</si>
  <si>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</si>
  <si>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</si>
  <si>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</si>
  <si>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</si>
  <si>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</si>
  <si>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</si>
  <si>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</si>
  <si>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</si>
  <si>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</si>
  <si>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</si>
  <si>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</si>
  <si>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</si>
  <si>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</si>
  <si>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</si>
  <si>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</si>
  <si>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</si>
  <si>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</si>
  <si>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</si>
  <si>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</si>
  <si>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</si>
  <si>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</si>
  <si>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</si>
  <si>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</si>
  <si>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</si>
  <si>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</si>
  <si>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</si>
  <si>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</si>
  <si>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</si>
  <si>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</si>
  <si>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</si>
  <si>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</si>
  <si>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</si>
  <si>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</si>
  <si>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</si>
  <si>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</si>
  <si>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</si>
  <si>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</si>
  <si>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</si>
  <si>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</si>
  <si>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</si>
  <si>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</si>
  <si>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</si>
  <si>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</si>
  <si>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</si>
  <si>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</si>
  <si>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</si>
  <si>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</si>
  <si>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</si>
  <si>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</si>
  <si>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</si>
  <si>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</si>
  <si>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</si>
  <si>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</si>
  <si>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</si>
  <si>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</si>
  <si>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</si>
  <si>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</si>
  <si>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</si>
  <si>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</si>
  <si>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</si>
  <si>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</si>
  <si>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</si>
  <si>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</si>
  <si>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</si>
  <si>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</si>
  <si>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</si>
  <si>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</si>
  <si>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</si>
  <si>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</si>
  <si>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</si>
  <si>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</si>
  <si>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</si>
  <si>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</si>
  <si>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</si>
  <si>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</si>
  <si>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</si>
  <si>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</si>
  <si>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</si>
  <si>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</si>
  <si>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</si>
  <si>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</si>
  <si>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</si>
  <si>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</si>
  <si>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</si>
  <si>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</si>
  <si>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</si>
  <si>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</si>
  <si>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</si>
  <si>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</si>
  <si>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</si>
  <si>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</si>
  <si>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</si>
  <si>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</si>
  <si>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</si>
  <si>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</si>
  <si>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</si>
  <si>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</si>
  <si>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</si>
  <si>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</si>
  <si>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</si>
  <si>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</si>
  <si>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</si>
  <si>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</si>
  <si>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</si>
  <si>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</si>
  <si>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</si>
  <si>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</si>
  <si>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</si>
  <si>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</si>
  <si>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</si>
  <si>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</si>
  <si>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</si>
  <si>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</si>
  <si>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</si>
  <si>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</si>
  <si>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</si>
  <si>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</si>
  <si>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</si>
  <si>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</si>
  <si>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</si>
  <si>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</si>
  <si>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</si>
  <si>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</si>
  <si>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</si>
  <si>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</si>
  <si>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</si>
  <si>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</si>
  <si>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</si>
  <si>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</si>
  <si>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</si>
  <si>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</si>
  <si>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</si>
  <si>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</si>
  <si>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</si>
  <si>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</si>
  <si>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</si>
  <si>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</si>
  <si>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</si>
  <si>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</si>
  <si>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</si>
  <si>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</si>
  <si>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</si>
  <si>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</si>
  <si>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</si>
  <si>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</si>
  <si>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</si>
  <si>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</si>
  <si>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</si>
  <si>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</si>
  <si>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</si>
  <si>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</si>
  <si>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</si>
  <si>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</si>
  <si>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</si>
  <si>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</si>
  <si>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</si>
  <si>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</si>
  <si>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</si>
  <si>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</si>
  <si>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</si>
  <si>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</si>
  <si>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</si>
  <si>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</si>
  <si>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</si>
  <si>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</si>
  <si>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</si>
  <si>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</si>
  <si>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</si>
  <si>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</si>
  <si>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</si>
  <si>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</si>
  <si>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</si>
  <si>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</si>
  <si>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</si>
  <si>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</si>
  <si>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</si>
  <si>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</si>
  <si>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</si>
  <si>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</si>
  <si>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</si>
  <si>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</si>
  <si>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</si>
  <si>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</si>
  <si>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</si>
  <si>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</si>
  <si>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</si>
  <si>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</si>
  <si>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</si>
  <si>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</si>
  <si>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</si>
  <si>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</si>
  <si>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</si>
  <si>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</si>
  <si>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</si>
  <si>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</si>
  <si>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</si>
  <si>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</si>
  <si>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</si>
  <si>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</si>
  <si>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</si>
  <si>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</si>
  <si>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</si>
  <si>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</si>
  <si>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</si>
  <si>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</si>
  <si>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</si>
  <si>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</si>
  <si>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</si>
  <si>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</si>
  <si>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</si>
  <si>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</si>
  <si>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</si>
  <si>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</si>
  <si>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</si>
  <si>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</si>
  <si>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</si>
  <si>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</si>
  <si>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</si>
  <si>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</si>
  <si>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</si>
  <si>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</si>
  <si>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</si>
  <si>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</si>
  <si>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</si>
  <si>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</si>
  <si>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</si>
  <si>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</si>
  <si>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</si>
  <si>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</si>
  <si>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</si>
  <si>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</si>
  <si>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</si>
  <si>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</si>
  <si>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</si>
  <si>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</si>
  <si>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</si>
  <si>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</si>
  <si>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</si>
  <si>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</si>
  <si>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</si>
  <si>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</si>
  <si>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</si>
  <si>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</si>
  <si>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</si>
  <si>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</si>
  <si>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</si>
  <si>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</si>
  <si>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</si>
  <si>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</si>
  <si>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</si>
  <si>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</si>
  <si>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</si>
  <si>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</si>
  <si>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</si>
  <si>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</si>
  <si>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</si>
  <si>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</si>
  <si>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</si>
  <si>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</si>
  <si>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</si>
  <si>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</si>
  <si>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</si>
  <si>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</si>
  <si>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</si>
  <si>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</si>
  <si>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</si>
  <si>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</si>
  <si>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</si>
  <si>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</si>
  <si>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</si>
  <si>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</si>
  <si>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</si>
  <si>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</si>
  <si>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</si>
  <si>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</si>
  <si>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</si>
  <si>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</si>
  <si>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</si>
  <si>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</si>
  <si>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</si>
  <si>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</si>
  <si>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</si>
  <si>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</si>
  <si>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</si>
  <si>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</si>
  <si>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</si>
  <si>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</si>
  <si>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</si>
  <si>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</si>
  <si>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</si>
  <si>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</si>
  <si>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</si>
  <si>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</si>
  <si>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</si>
  <si>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</si>
  <si>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</si>
  <si>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</si>
  <si>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</si>
  <si>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</si>
  <si>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</si>
  <si>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</si>
  <si>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</si>
  <si>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</si>
  <si>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</si>
  <si>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</si>
  <si>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</si>
  <si>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</si>
  <si>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</si>
  <si>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</si>
  <si>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</si>
  <si>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</si>
  <si>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</si>
  <si>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</si>
  <si>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</si>
  <si>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</si>
  <si>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</si>
  <si>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</si>
  <si>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</si>
  <si>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</si>
  <si>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</si>
  <si>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</si>
  <si>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</si>
  <si>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</si>
  <si>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</si>
  <si>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</si>
  <si>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</si>
  <si>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</si>
  <si>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</si>
  <si>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</si>
  <si>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</si>
  <si>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</si>
  <si>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</si>
  <si>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</si>
  <si>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</si>
  <si>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</si>
  <si>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</si>
  <si>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</si>
  <si>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</si>
  <si>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</si>
  <si>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</si>
  <si>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</si>
  <si>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</si>
  <si>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</si>
  <si>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</si>
  <si>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</si>
  <si>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</si>
  <si>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</si>
  <si>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</si>
  <si>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</si>
  <si>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</si>
  <si>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</si>
  <si>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</si>
  <si>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</si>
  <si>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</si>
  <si>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</si>
  <si>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</si>
  <si>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</si>
  <si>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</si>
  <si>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</si>
  <si>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</si>
  <si>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</si>
  <si>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</si>
  <si>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</si>
  <si>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</si>
  <si>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</si>
  <si>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</si>
  <si>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</si>
  <si>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</si>
  <si>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</si>
  <si>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</si>
  <si>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</si>
  <si>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</si>
  <si>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</si>
  <si>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</si>
  <si>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</si>
  <si>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</si>
  <si>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</si>
  <si>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</si>
  <si>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</si>
  <si>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</si>
  <si>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</si>
  <si>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</si>
  <si>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</si>
  <si>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</si>
  <si>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</si>
  <si>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</si>
  <si>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</si>
  <si>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</si>
  <si>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</si>
  <si>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</si>
  <si>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</si>
  <si>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</si>
  <si>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</si>
  <si>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</si>
  <si>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</si>
  <si>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</si>
  <si>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</si>
  <si>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</si>
  <si>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</si>
  <si>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</si>
  <si>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</si>
  <si>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</si>
  <si>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</si>
  <si>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</si>
  <si>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</si>
  <si>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</si>
  <si>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</si>
  <si>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</si>
  <si>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</si>
  <si>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</si>
  <si>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</si>
  <si>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</si>
  <si>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</si>
  <si>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</si>
  <si>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</si>
  <si>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</si>
  <si>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</si>
  <si>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</si>
  <si>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</si>
  <si>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</si>
  <si>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</si>
  <si>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</si>
  <si>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</si>
  <si>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</si>
  <si>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</si>
  <si>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</si>
  <si>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</si>
  <si>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</si>
  <si>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</si>
  <si>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</si>
  <si>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</si>
  <si>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</si>
  <si>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</si>
  <si>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</si>
  <si>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</si>
  <si>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</si>
  <si>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</si>
  <si>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</si>
  <si>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</si>
  <si>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</si>
  <si>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</si>
  <si>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</si>
  <si>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</si>
  <si>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</si>
  <si>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</si>
  <si>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</si>
  <si>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</si>
  <si>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</si>
  <si>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</si>
  <si>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</si>
  <si>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</si>
  <si>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</si>
  <si>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</si>
  <si>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</si>
  <si>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</si>
  <si>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</si>
  <si>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</si>
  <si>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</si>
  <si>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</si>
  <si>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</si>
  <si>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</si>
  <si>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</si>
  <si>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</si>
  <si>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</si>
  <si>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</si>
  <si>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</si>
  <si>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</si>
  <si>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</si>
  <si>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</si>
  <si>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</si>
  <si>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</si>
  <si>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</si>
  <si>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</si>
  <si>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</si>
  <si>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</si>
  <si>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</si>
  <si>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</si>
  <si>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</si>
  <si>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</si>
  <si>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</si>
  <si>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</si>
  <si>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</si>
  <si>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</si>
  <si>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</si>
  <si>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</si>
  <si>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</si>
  <si>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</si>
  <si>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</si>
  <si>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</si>
  <si>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</si>
  <si>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</si>
  <si>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</si>
  <si>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</si>
  <si>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</si>
  <si>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</si>
  <si>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</si>
  <si>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</si>
  <si>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</si>
  <si>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</si>
  <si>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</si>
  <si>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</si>
  <si>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</si>
  <si>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</si>
  <si>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</si>
  <si>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</si>
  <si>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</si>
  <si>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</si>
  <si>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</si>
  <si>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</si>
  <si>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</si>
  <si>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</si>
  <si>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</si>
  <si>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</si>
  <si>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</si>
  <si>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</si>
  <si>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</si>
  <si>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</si>
  <si>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</si>
  <si>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</si>
  <si>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</si>
  <si>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</si>
  <si>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</si>
  <si>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</si>
  <si>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</si>
  <si>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</si>
  <si>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</si>
  <si>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</si>
  <si>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</si>
  <si>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</si>
  <si>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</si>
  <si>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</si>
  <si>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</si>
  <si>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</si>
  <si>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</si>
  <si>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</si>
  <si>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</si>
  <si>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</si>
  <si>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</si>
  <si>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</si>
  <si>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</si>
  <si>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</si>
  <si>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</si>
  <si>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</si>
  <si>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</si>
  <si>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</si>
  <si>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</si>
  <si>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</si>
  <si>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</si>
  <si>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</si>
  <si>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</si>
  <si>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</si>
  <si>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</si>
  <si>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</si>
  <si>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</si>
  <si>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</si>
  <si>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</si>
  <si>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</si>
  <si>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</si>
  <si>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</si>
  <si>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</si>
  <si>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</si>
  <si>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</si>
  <si>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</si>
  <si>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</si>
  <si>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</si>
  <si>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</si>
  <si>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</si>
  <si>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</si>
  <si>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</si>
  <si>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</si>
  <si>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</si>
  <si>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</si>
  <si>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</si>
  <si>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</si>
  <si>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</si>
  <si>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</si>
  <si>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</si>
  <si>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MURUK RIAN|TANA TIDUNG</t>
  </si>
  <si>
    <t>RGUGA TRADE MTD</t>
  </si>
  <si>
    <t>RGUGA TRADE LMTD</t>
  </si>
  <si>
    <t>BATANG KAWA|LAMANDAU</t>
  </si>
  <si>
    <t>RAKUMPIT|KOTA PALANGKARAYA</t>
  </si>
  <si>
    <t>TANJUNG PALAS BARAT|BULUNGAN</t>
  </si>
  <si>
    <t>RGUGA FWA ALL CHANNEL</t>
  </si>
  <si>
    <t>KATINGAN HULU|KATINGAN</t>
  </si>
  <si>
    <t>KEPULAUAN KARIMATA|KAYONG UTARA</t>
  </si>
  <si>
    <t>MERANTI|LANDAK</t>
  </si>
  <si>
    <t>SEBANGAU KUALA|PULANG PISAU</t>
  </si>
  <si>
    <t>SOKAN|MELAWI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</si>
</sst>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</font>
    <font>
      <sz val="14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0" fillId="0" borderId="4" xfId="0" applyBorder="1" applyAlignment="1"/>
    <xf numFmtId="0" fontId="6" fillId="0" borderId="0" xfId="0" applyFont="1" applyAlignment="1">
      <alignment vertical="top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U6" activePane="bottomRight" state="frozen"/>
      <selection pane="topRight" activeCell="B1" sqref="B1"/>
      <selection pane="bottomLeft" activeCell="A6" sqref="A6"/>
      <selection pane="bottomRight" activeCell="U6" sqref="U6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23" width="34.90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664</v>
      </c>
      <c r="V5" s="3" t="s">
        <v>665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515379129.96050423</v>
      </c>
      <c r="D6" s="4">
        <f>IFERROR(VLOOKUP($A:$A,MASTER!$A:$T,4,0),0)</f>
        <v>510028495.30856544</v>
      </c>
      <c r="E6" s="9">
        <f>IFERROR(C6/D6-1,0)</f>
        <v>1.0490854336877131E-2</v>
      </c>
      <c r="F6" s="4">
        <f>IFERROR(VLOOKUP(A:A,MASTER!A:E,5,0),0)</f>
        <v>5206306.3063063044</v>
      </c>
      <c r="G6" s="4">
        <f>IFERROR(VLOOKUP(A:A,MASTER!A:F,6,0),0)</f>
        <v>8936545.9459459446</v>
      </c>
      <c r="H6" s="9">
        <f>IFERROR(F6/G6-1,0)</f>
        <v>-0.41741402799275706</v>
      </c>
      <c r="I6" s="4">
        <f>IFERROR(VLOOKUP(A:A,MASTER!A:M,13,0),0)</f>
        <v>62274684.684684679</v>
      </c>
      <c r="J6" s="4">
        <f>IFERROR(VLOOKUP($A:$A,MASTER!$A:$T,14,0),0)</f>
        <v>204066018.01801801</v>
      </c>
      <c r="K6" s="9">
        <f>IFERROR(I6/J6-1,0)</f>
        <v>-0.69483069601923564</v>
      </c>
      <c r="L6" s="4">
        <f>IFERROR(VLOOKUP($A:$A,MASTER!$A:$T,15,0),0)</f>
        <v>245843405.4054054</v>
      </c>
      <c r="M6" s="4">
        <f>IFERROR(VLOOKUP($A:$A,MASTER!$A:$T,16,0),0)</f>
        <v>251169441.44144145</v>
      </c>
      <c r="N6" s="9">
        <f>IFERROR(L6/M6-1,0)</f>
        <v>-2.1204952344004657E-2</v>
      </c>
      <c r="O6" s="4">
        <f>IFERROR(VLOOKUP($A:$A,MASTER!$A:$T,17,0),0)</f>
        <v>58132522.522522517</v>
      </c>
      <c r="P6" s="4">
        <f>IFERROR(VLOOKUP($A:$A,MASTER!$A:$T,18,0),0)</f>
        <v>205267567.56756756</v>
      </c>
      <c r="Q6" s="9">
        <f>IFERROR(O6/P6-1,0)</f>
        <v>-0.71679635896017946</v>
      </c>
      <c r="R6" s="4">
        <f>IFERROR(VLOOKUP($A:$A,MASTER!$A:$T,19,0),0)</f>
        <v>9583</v>
      </c>
      <c r="S6" s="4">
        <f>IFERROR(VLOOKUP($A:$A,MASTER!$A:$T,20,0),0)</f>
        <v>7724</v>
      </c>
      <c r="T6" s="9">
        <f>IFERROR(R6/S6-1,0)</f>
        <v>0.24067840497151738</v>
      </c>
      <c r="U6" s="16">
        <f>IFERROR(VLOOKUP(A:A,MASTER!A:K,11,0),0)</f>
        <v>534</v>
      </c>
      <c r="V6" s="16">
        <f>IFERROR(VLOOKUP(A:A,MASTER!A:L,12,0),0)</f>
        <v>488</v>
      </c>
      <c r="W6" s="9">
        <f>IFERROR(U6/V6-1,0)</f>
        <v>9.4262295081967151E-2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52696692.954297103</v>
      </c>
      <c r="D7" s="4">
        <f>IFERROR(VLOOKUP($A:$A,MASTER!$A:$T,4,0),0)</f>
        <v>34312438.506123811</v>
      </c>
      <c r="E7" s="9">
        <f t="shared" ref="E7:E22" si="0">IFERROR(C7/D7-1,0)</f>
        <v>0.53578979660370729</v>
      </c>
      <c r="F7" s="4">
        <f>IFERROR(VLOOKUP(A:A,MASTER!A:E,5,0),0)</f>
        <v>315809146.84684682</v>
      </c>
      <c r="G7" s="4">
        <f>IFERROR(VLOOKUP(A:A,MASTER!A:F,6,0),0)</f>
        <v>396091828.82882881</v>
      </c>
      <c r="H7" s="9">
        <f t="shared" ref="H7:H22" si="1">IFERROR(F7/G7-1,0)</f>
        <v>-0.20268704411136984</v>
      </c>
      <c r="I7" s="4">
        <f>IFERROR(VLOOKUP(A:A,MASTER!A:M,13,0),0)</f>
        <v>49355855.855855852</v>
      </c>
      <c r="J7" s="4">
        <f>IFERROR(VLOOKUP($A:$A,MASTER!$A:$T,14,0),0)</f>
        <v>53283783.783783786</v>
      </c>
      <c r="K7" s="9">
        <f t="shared" ref="K7:K22" si="2">IFERROR(I7/J7-1,0)</f>
        <v>-7.3717135852565785E-2</v>
      </c>
      <c r="L7" s="4">
        <f>IFERROR(VLOOKUP($A:$A,MASTER!$A:$T,15,0),0)</f>
        <v>29349477.477477476</v>
      </c>
      <c r="M7" s="4">
        <f>IFERROR(VLOOKUP($A:$A,MASTER!$A:$T,16,0),0)</f>
        <v>21179207.207207207</v>
      </c>
      <c r="N7" s="9">
        <f t="shared" ref="N7:N22" si="3">IFERROR(L7/M7-1,0)</f>
        <v>0.38576846575682766</v>
      </c>
      <c r="O7" s="4">
        <f>IFERROR(VLOOKUP($A:$A,MASTER!$A:$T,17,0),0)</f>
        <v>6763063.0630630637</v>
      </c>
      <c r="P7" s="4">
        <f>IFERROR(VLOOKUP($A:$A,MASTER!$A:$T,18,0),0)</f>
        <v>11959009.009009007</v>
      </c>
      <c r="Q7" s="9">
        <f t="shared" ref="Q7:Q22" si="4">IFERROR(O7/P7-1,0)</f>
        <v>-0.43447964141775575</v>
      </c>
      <c r="R7" s="4">
        <f>IFERROR(VLOOKUP($A:$A,MASTER!$A:$T,19,0),0)</f>
        <v>1333</v>
      </c>
      <c r="S7" s="4">
        <f>IFERROR(VLOOKUP($A:$A,MASTER!$A:$T,20,0),0)</f>
        <v>1527</v>
      </c>
      <c r="T7" s="9">
        <f t="shared" ref="T7:T22" si="5">IFERROR(R7/S7-1,0)</f>
        <v>-0.12704649639816634</v>
      </c>
      <c r="U7" s="16">
        <f>IFERROR(VLOOKUP(A:A,MASTER!A:K,11,0),0)</f>
        <v>9</v>
      </c>
      <c r="V7" s="16">
        <f>IFERROR(VLOOKUP(A:A,MASTER!A:L,12,0),0)</f>
        <v>4</v>
      </c>
      <c r="W7" s="9">
        <f t="shared" ref="W7:W22" si="6">IFERROR(U7/V7-1,0)</f>
        <v>1.25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388078336.9102633</v>
      </c>
      <c r="D8" s="4">
        <f>IFERROR(VLOOKUP($A:$A,MASTER!$A:$T,4,0),0)</f>
        <v>339951384.80923343</v>
      </c>
      <c r="E8" s="9">
        <f t="shared" si="0"/>
        <v>0.14157010164272954</v>
      </c>
      <c r="F8" s="4">
        <f>IFERROR(VLOOKUP(A:A,MASTER!A:E,5,0),0)</f>
        <v>5709684.6846846854</v>
      </c>
      <c r="G8" s="4">
        <f>IFERROR(VLOOKUP(A:A,MASTER!A:F,6,0),0)</f>
        <v>5087768.4684684696</v>
      </c>
      <c r="H8" s="9">
        <f t="shared" si="1"/>
        <v>0.1222375232030608</v>
      </c>
      <c r="I8" s="4">
        <f>IFERROR(VLOOKUP(A:A,MASTER!A:M,13,0),0)</f>
        <v>72676576.576576576</v>
      </c>
      <c r="J8" s="4">
        <f>IFERROR(VLOOKUP($A:$A,MASTER!$A:$T,14,0),0)</f>
        <v>103439091.89189188</v>
      </c>
      <c r="K8" s="9">
        <f t="shared" si="2"/>
        <v>-0.2973973838388525</v>
      </c>
      <c r="L8" s="4">
        <f>IFERROR(VLOOKUP($A:$A,MASTER!$A:$T,15,0),0)</f>
        <v>105140567.56756757</v>
      </c>
      <c r="M8" s="4">
        <f>IFERROR(VLOOKUP($A:$A,MASTER!$A:$T,16,0),0)</f>
        <v>97111315.315315306</v>
      </c>
      <c r="N8" s="9">
        <f t="shared" si="3"/>
        <v>8.2680913405216661E-2</v>
      </c>
      <c r="O8" s="4">
        <f>IFERROR(VLOOKUP($A:$A,MASTER!$A:$T,17,0),0)</f>
        <v>67764144.144144148</v>
      </c>
      <c r="P8" s="4">
        <f>IFERROR(VLOOKUP($A:$A,MASTER!$A:$T,18,0),0)</f>
        <v>99631081.081081077</v>
      </c>
      <c r="Q8" s="9">
        <f t="shared" si="4"/>
        <v>-0.3198493541488644</v>
      </c>
      <c r="R8" s="4">
        <f>IFERROR(VLOOKUP($A:$A,MASTER!$A:$T,19,0),0)</f>
        <v>3885</v>
      </c>
      <c r="S8" s="4">
        <f>IFERROR(VLOOKUP($A:$A,MASTER!$A:$T,20,0),0)</f>
        <v>3579</v>
      </c>
      <c r="T8" s="9">
        <f t="shared" si="5"/>
        <v>8.5498742665549132E-2</v>
      </c>
      <c r="U8" s="16">
        <f>IFERROR(VLOOKUP(A:A,MASTER!A:K,11,0),0)</f>
        <v>70</v>
      </c>
      <c r="V8" s="16">
        <f>IFERROR(VLOOKUP(A:A,MASTER!A:L,12,0),0)</f>
        <v>71</v>
      </c>
      <c r="W8" s="9">
        <f t="shared" si="6"/>
        <v>-1.4084507042253502E-2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230489931.78063968</v>
      </c>
      <c r="D9" s="4">
        <f>IFERROR(VLOOKUP($A:$A,MASTER!$A:$T,4,0),0)</f>
        <v>218776646.67133695</v>
      </c>
      <c r="E9" s="9">
        <f t="shared" si="0"/>
        <v>5.3539924336162503E-2</v>
      </c>
      <c r="F9" s="4">
        <f>IFERROR(VLOOKUP(A:A,MASTER!A:E,5,0),0)</f>
        <v>380433333.33333331</v>
      </c>
      <c r="G9" s="4">
        <f>IFERROR(VLOOKUP(A:A,MASTER!A:F,6,0),0)</f>
        <v>839402927.92792797</v>
      </c>
      <c r="H9" s="9">
        <f t="shared" si="1"/>
        <v>-0.54678102651793736</v>
      </c>
      <c r="I9" s="4">
        <f>IFERROR(VLOOKUP(A:A,MASTER!A:M,13,0),0)</f>
        <v>68358558.558558553</v>
      </c>
      <c r="J9" s="4">
        <f>IFERROR(VLOOKUP($A:$A,MASTER!$A:$T,14,0),0)</f>
        <v>149526126.12612611</v>
      </c>
      <c r="K9" s="9">
        <f t="shared" si="2"/>
        <v>-0.54283200983286539</v>
      </c>
      <c r="L9" s="4">
        <f>IFERROR(VLOOKUP($A:$A,MASTER!$A:$T,15,0),0)</f>
        <v>81162324.324324325</v>
      </c>
      <c r="M9" s="4">
        <f>IFERROR(VLOOKUP($A:$A,MASTER!$A:$T,16,0),0)</f>
        <v>80699774.774774775</v>
      </c>
      <c r="N9" s="9">
        <f t="shared" si="3"/>
        <v>5.7317328436228276E-3</v>
      </c>
      <c r="O9" s="4">
        <f>IFERROR(VLOOKUP($A:$A,MASTER!$A:$T,17,0),0)</f>
        <v>42807297.297297299</v>
      </c>
      <c r="P9" s="4">
        <f>IFERROR(VLOOKUP($A:$A,MASTER!$A:$T,18,0),0)</f>
        <v>96526801.801801801</v>
      </c>
      <c r="Q9" s="9">
        <f t="shared" si="4"/>
        <v>-0.55652423473851953</v>
      </c>
      <c r="R9" s="4">
        <f>IFERROR(VLOOKUP($A:$A,MASTER!$A:$T,19,0),0)</f>
        <v>4264</v>
      </c>
      <c r="S9" s="4">
        <f>IFERROR(VLOOKUP($A:$A,MASTER!$A:$T,20,0),0)</f>
        <v>3552</v>
      </c>
      <c r="T9" s="9">
        <f t="shared" si="5"/>
        <v>0.20045045045045051</v>
      </c>
      <c r="U9" s="16">
        <f>IFERROR(VLOOKUP(A:A,MASTER!A:K,11,0),0)</f>
        <v>26</v>
      </c>
      <c r="V9" s="16">
        <f>IFERROR(VLOOKUP(A:A,MASTER!A:L,12,0),0)</f>
        <v>46</v>
      </c>
      <c r="W9" s="9">
        <f t="shared" si="6"/>
        <v>-0.43478260869565222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6">
        <f>IFERROR(VLOOKUP(A:A,MASTER!A:K,11,0),0)</f>
        <v>0</v>
      </c>
      <c r="V10" s="16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244639196.17200372</v>
      </c>
      <c r="D11" s="4">
        <f>IFERROR(VLOOKUP($A:$A,MASTER!$A:$T,4,0),0)</f>
        <v>247513395.90166593</v>
      </c>
      <c r="E11" s="9">
        <f t="shared" si="0"/>
        <v>-1.1612299686616145E-2</v>
      </c>
      <c r="F11" s="4">
        <f>IFERROR(VLOOKUP(A:A,MASTER!A:E,5,0),0)</f>
        <v>1389189.1891891891</v>
      </c>
      <c r="G11" s="4">
        <f>IFERROR(VLOOKUP(A:A,MASTER!A:F,6,0),0)</f>
        <v>265765.76576576597</v>
      </c>
      <c r="H11" s="9">
        <f t="shared" si="1"/>
        <v>4.2271186440677919</v>
      </c>
      <c r="I11" s="4">
        <f>IFERROR(VLOOKUP(A:A,MASTER!A:M,13,0),0)</f>
        <v>15765765.765765764</v>
      </c>
      <c r="J11" s="4">
        <f>IFERROR(VLOOKUP($A:$A,MASTER!$A:$T,14,0),0)</f>
        <v>41664639.639639638</v>
      </c>
      <c r="K11" s="9">
        <f t="shared" si="2"/>
        <v>-0.62160321312928746</v>
      </c>
      <c r="L11" s="4">
        <f>IFERROR(VLOOKUP($A:$A,MASTER!$A:$T,15,0),0)</f>
        <v>103704540.54054055</v>
      </c>
      <c r="M11" s="4">
        <f>IFERROR(VLOOKUP($A:$A,MASTER!$A:$T,16,0),0)</f>
        <v>104389837.83783785</v>
      </c>
      <c r="N11" s="9">
        <f t="shared" si="3"/>
        <v>-6.5647893654348088E-3</v>
      </c>
      <c r="O11" s="4">
        <f>IFERROR(VLOOKUP($A:$A,MASTER!$A:$T,17,0),0)</f>
        <v>15138288.288288288</v>
      </c>
      <c r="P11" s="4">
        <f>IFERROR(VLOOKUP($A:$A,MASTER!$A:$T,18,0),0)</f>
        <v>40067882.882882878</v>
      </c>
      <c r="Q11" s="9">
        <f t="shared" si="4"/>
        <v>-0.62218397381920543</v>
      </c>
      <c r="R11" s="4">
        <f>IFERROR(VLOOKUP($A:$A,MASTER!$A:$T,19,0),0)</f>
        <v>3253</v>
      </c>
      <c r="S11" s="4">
        <f>IFERROR(VLOOKUP($A:$A,MASTER!$A:$T,20,0),0)</f>
        <v>3081</v>
      </c>
      <c r="T11" s="9">
        <f t="shared" si="5"/>
        <v>5.5826030509574798E-2</v>
      </c>
      <c r="U11" s="16">
        <f>IFERROR(VLOOKUP(A:A,MASTER!A:K,11,0),0)</f>
        <v>43</v>
      </c>
      <c r="V11" s="16">
        <f>IFERROR(VLOOKUP(A:A,MASTER!A:L,12,0),0)</f>
        <v>28</v>
      </c>
      <c r="W11" s="9">
        <f t="shared" si="6"/>
        <v>0.53571428571428581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895962005.21395588</v>
      </c>
      <c r="D12" s="4">
        <f>IFERROR(VLOOKUP($A:$A,MASTER!$A:$T,4,0),0)</f>
        <v>845331062.05816829</v>
      </c>
      <c r="E12" s="9">
        <f t="shared" si="0"/>
        <v>5.989480977135031E-2</v>
      </c>
      <c r="F12" s="4">
        <f>IFERROR(VLOOKUP(A:A,MASTER!A:E,5,0),0)</f>
        <v>11081555.855855862</v>
      </c>
      <c r="G12" s="4">
        <f>IFERROR(VLOOKUP(A:A,MASTER!A:F,6,0),0)</f>
        <v>44588547.747747749</v>
      </c>
      <c r="H12" s="9">
        <f t="shared" si="1"/>
        <v>-0.75147080549588852</v>
      </c>
      <c r="I12" s="4">
        <f>IFERROR(VLOOKUP(A:A,MASTER!A:M,13,0),0)</f>
        <v>371748318.91891891</v>
      </c>
      <c r="J12" s="4">
        <f>IFERROR(VLOOKUP($A:$A,MASTER!$A:$T,14,0),0)</f>
        <v>625995597.29729724</v>
      </c>
      <c r="K12" s="9">
        <f t="shared" si="2"/>
        <v>-0.40614866857862497</v>
      </c>
      <c r="L12" s="4">
        <f>IFERROR(VLOOKUP($A:$A,MASTER!$A:$T,15,0),0)</f>
        <v>602885882.88288295</v>
      </c>
      <c r="M12" s="4">
        <f>IFERROR(VLOOKUP($A:$A,MASTER!$A:$T,16,0),0)</f>
        <v>579324936.93693697</v>
      </c>
      <c r="N12" s="9">
        <f t="shared" si="3"/>
        <v>4.0669656083716532E-2</v>
      </c>
      <c r="O12" s="4">
        <f>IFERROR(VLOOKUP($A:$A,MASTER!$A:$T,17,0),0)</f>
        <v>334078468.46846849</v>
      </c>
      <c r="P12" s="4">
        <f>IFERROR(VLOOKUP($A:$A,MASTER!$A:$T,18,0),0)</f>
        <v>594881711.71171176</v>
      </c>
      <c r="Q12" s="9">
        <f t="shared" si="4"/>
        <v>-0.4384119365391288</v>
      </c>
      <c r="R12" s="4">
        <f>IFERROR(VLOOKUP($A:$A,MASTER!$A:$T,19,0),0)</f>
        <v>14382</v>
      </c>
      <c r="S12" s="4">
        <f>IFERROR(VLOOKUP($A:$A,MASTER!$A:$T,20,0),0)</f>
        <v>13750</v>
      </c>
      <c r="T12" s="9">
        <f t="shared" si="5"/>
        <v>4.5963636363636429E-2</v>
      </c>
      <c r="U12" s="16">
        <f>IFERROR(VLOOKUP(A:A,MASTER!A:K,11,0),0)</f>
        <v>1045</v>
      </c>
      <c r="V12" s="16">
        <f>IFERROR(VLOOKUP(A:A,MASTER!A:L,12,0),0)</f>
        <v>1436</v>
      </c>
      <c r="W12" s="9">
        <f t="shared" si="6"/>
        <v>-0.27228412256267409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206892343.33871564</v>
      </c>
      <c r="D13" s="4">
        <f>IFERROR(VLOOKUP($A:$A,MASTER!$A:$T,4,0),0)</f>
        <v>201546534.46167859</v>
      </c>
      <c r="E13" s="9">
        <f t="shared" si="0"/>
        <v>2.652394342237363E-2</v>
      </c>
      <c r="F13" s="4">
        <f>IFERROR(VLOOKUP(A:A,MASTER!A:E,5,0),0)</f>
        <v>530630.63063063298</v>
      </c>
      <c r="G13" s="4">
        <f>IFERROR(VLOOKUP(A:A,MASTER!A:F,6,0),0)</f>
        <v>844144.144144146</v>
      </c>
      <c r="H13" s="9">
        <f t="shared" si="1"/>
        <v>-0.37139807897545218</v>
      </c>
      <c r="I13" s="4">
        <f>IFERROR(VLOOKUP(A:A,MASTER!A:M,13,0),0)</f>
        <v>38942792.79279279</v>
      </c>
      <c r="J13" s="4">
        <f>IFERROR(VLOOKUP($A:$A,MASTER!$A:$T,14,0),0)</f>
        <v>70136486.486486495</v>
      </c>
      <c r="K13" s="9">
        <f t="shared" si="2"/>
        <v>-0.44475700532423923</v>
      </c>
      <c r="L13" s="4">
        <f>IFERROR(VLOOKUP($A:$A,MASTER!$A:$T,15,0),0)</f>
        <v>143190450.45045045</v>
      </c>
      <c r="M13" s="4">
        <f>IFERROR(VLOOKUP($A:$A,MASTER!$A:$T,16,0),0)</f>
        <v>135319693.6936937</v>
      </c>
      <c r="N13" s="9">
        <f t="shared" si="3"/>
        <v>5.8164163263425772E-2</v>
      </c>
      <c r="O13" s="4">
        <f>IFERROR(VLOOKUP($A:$A,MASTER!$A:$T,17,0),0)</f>
        <v>38376756.756756753</v>
      </c>
      <c r="P13" s="4">
        <f>IFERROR(VLOOKUP($A:$A,MASTER!$A:$T,18,0),0)</f>
        <v>69285585.585585579</v>
      </c>
      <c r="Q13" s="9">
        <f t="shared" si="4"/>
        <v>-0.44610763649602769</v>
      </c>
      <c r="R13" s="4">
        <f>IFERROR(VLOOKUP($A:$A,MASTER!$A:$T,19,0),0)</f>
        <v>5614</v>
      </c>
      <c r="S13" s="4">
        <f>IFERROR(VLOOKUP($A:$A,MASTER!$A:$T,20,0),0)</f>
        <v>4824</v>
      </c>
      <c r="T13" s="9">
        <f t="shared" si="5"/>
        <v>0.1637645107794361</v>
      </c>
      <c r="U13" s="16">
        <f>IFERROR(VLOOKUP(A:A,MASTER!A:K,11,0),0)</f>
        <v>84</v>
      </c>
      <c r="V13" s="16">
        <f>IFERROR(VLOOKUP(A:A,MASTER!A:L,12,0),0)</f>
        <v>68</v>
      </c>
      <c r="W13" s="9">
        <f t="shared" si="6"/>
        <v>0.23529411764705888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295519764.03191042</v>
      </c>
      <c r="D14" s="4">
        <f>IFERROR(VLOOKUP($A:$A,MASTER!$A:$T,4,0),0)</f>
        <v>287413587.27569234</v>
      </c>
      <c r="E14" s="9">
        <f t="shared" si="0"/>
        <v>2.8203874538619056E-2</v>
      </c>
      <c r="F14" s="4">
        <f>IFERROR(VLOOKUP(A:A,MASTER!A:E,5,0),0)</f>
        <v>6419819.8198198183</v>
      </c>
      <c r="G14" s="4">
        <f>IFERROR(VLOOKUP(A:A,MASTER!A:F,6,0),0)</f>
        <v>6724681.9819819843</v>
      </c>
      <c r="H14" s="9">
        <f t="shared" si="1"/>
        <v>-4.5334807352824913E-2</v>
      </c>
      <c r="I14" s="4">
        <f>IFERROR(VLOOKUP(A:A,MASTER!A:M,13,0),0)</f>
        <v>49063063.063063063</v>
      </c>
      <c r="J14" s="4">
        <f>IFERROR(VLOOKUP($A:$A,MASTER!$A:$T,14,0),0)</f>
        <v>53050210.810810819</v>
      </c>
      <c r="K14" s="9">
        <f t="shared" si="2"/>
        <v>-7.5158000068403785E-2</v>
      </c>
      <c r="L14" s="4">
        <f>IFERROR(VLOOKUP($A:$A,MASTER!$A:$T,15,0),0)</f>
        <v>87199500</v>
      </c>
      <c r="M14" s="4">
        <f>IFERROR(VLOOKUP($A:$A,MASTER!$A:$T,16,0),0)</f>
        <v>86734216.216216221</v>
      </c>
      <c r="N14" s="9">
        <f t="shared" si="3"/>
        <v>5.364477873690543E-3</v>
      </c>
      <c r="O14" s="4">
        <f>IFERROR(VLOOKUP($A:$A,MASTER!$A:$T,17,0),0)</f>
        <v>43423243.24324324</v>
      </c>
      <c r="P14" s="4">
        <f>IFERROR(VLOOKUP($A:$A,MASTER!$A:$T,18,0),0)</f>
        <v>47952882.882882878</v>
      </c>
      <c r="Q14" s="9">
        <f t="shared" si="4"/>
        <v>-9.446021526385695E-2</v>
      </c>
      <c r="R14" s="4">
        <f>IFERROR(VLOOKUP($A:$A,MASTER!$A:$T,19,0),0)</f>
        <v>4160</v>
      </c>
      <c r="S14" s="4">
        <f>IFERROR(VLOOKUP($A:$A,MASTER!$A:$T,20,0),0)</f>
        <v>3415</v>
      </c>
      <c r="T14" s="9">
        <f t="shared" si="5"/>
        <v>0.21815519765739388</v>
      </c>
      <c r="U14" s="16">
        <f>IFERROR(VLOOKUP(A:A,MASTER!A:K,11,0),0)</f>
        <v>36</v>
      </c>
      <c r="V14" s="16">
        <f>IFERROR(VLOOKUP(A:A,MASTER!A:L,12,0),0)</f>
        <v>63</v>
      </c>
      <c r="W14" s="9">
        <f t="shared" si="6"/>
        <v>-0.4285714285714286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563032350.55292141</v>
      </c>
      <c r="D15" s="4">
        <f>IFERROR(VLOOKUP($A:$A,MASTER!$A:$T,4,0),0)</f>
        <v>533068956.22284913</v>
      </c>
      <c r="E15" s="9">
        <f t="shared" si="0"/>
        <v>5.6209227681129681E-2</v>
      </c>
      <c r="F15" s="4">
        <f>IFERROR(VLOOKUP(A:A,MASTER!A:E,5,0),0)</f>
        <v>15408427.027027026</v>
      </c>
      <c r="G15" s="4">
        <f>IFERROR(VLOOKUP(A:A,MASTER!A:F,6,0),0)</f>
        <v>17138469.369369369</v>
      </c>
      <c r="H15" s="9">
        <f t="shared" si="1"/>
        <v>-0.10094497385130274</v>
      </c>
      <c r="I15" s="4">
        <f>IFERROR(VLOOKUP(A:A,MASTER!A:M,13,0),0)</f>
        <v>791461212.61261261</v>
      </c>
      <c r="J15" s="4">
        <f>IFERROR(VLOOKUP($A:$A,MASTER!$A:$T,14,0),0)</f>
        <v>821123052.25225234</v>
      </c>
      <c r="K15" s="9">
        <f t="shared" si="2"/>
        <v>-3.6123501292870119E-2</v>
      </c>
      <c r="L15" s="4">
        <f>IFERROR(VLOOKUP($A:$A,MASTER!$A:$T,15,0),0)</f>
        <v>202463612.61261261</v>
      </c>
      <c r="M15" s="4">
        <f>IFERROR(VLOOKUP($A:$A,MASTER!$A:$T,16,0),0)</f>
        <v>193444061.26126125</v>
      </c>
      <c r="N15" s="9">
        <f t="shared" si="3"/>
        <v>4.6626147592971234E-2</v>
      </c>
      <c r="O15" s="4">
        <f>IFERROR(VLOOKUP($A:$A,MASTER!$A:$T,17,0),0)</f>
        <v>706172612.61261261</v>
      </c>
      <c r="P15" s="4">
        <f>IFERROR(VLOOKUP($A:$A,MASTER!$A:$T,18,0),0)</f>
        <v>757542027.02702713</v>
      </c>
      <c r="Q15" s="9">
        <f t="shared" si="4"/>
        <v>-6.7810646250233475E-2</v>
      </c>
      <c r="R15" s="4">
        <f>IFERROR(VLOOKUP($A:$A,MASTER!$A:$T,19,0),0)</f>
        <v>8388</v>
      </c>
      <c r="S15" s="4">
        <f>IFERROR(VLOOKUP($A:$A,MASTER!$A:$T,20,0),0)</f>
        <v>7079</v>
      </c>
      <c r="T15" s="9">
        <f t="shared" si="5"/>
        <v>0.1849131233225032</v>
      </c>
      <c r="U15" s="16">
        <f>IFERROR(VLOOKUP(A:A,MASTER!A:K,11,0),0)</f>
        <v>106</v>
      </c>
      <c r="V15" s="16">
        <f>IFERROR(VLOOKUP(A:A,MASTER!A:L,12,0),0)</f>
        <v>151</v>
      </c>
      <c r="W15" s="9">
        <f t="shared" si="6"/>
        <v>-0.29801324503311255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897914227.02702713</v>
      </c>
      <c r="G16" s="4">
        <f>IFERROR(VLOOKUP(A:A,MASTER!A:F,6,0),0)</f>
        <v>958605512.61261261</v>
      </c>
      <c r="H16" s="9">
        <f t="shared" si="1"/>
        <v>-6.3312055675723844E-2</v>
      </c>
      <c r="I16" s="4">
        <f>IFERROR(VLOOKUP(A:A,MASTER!A:M,13,0),0)</f>
        <v>72612612.612612605</v>
      </c>
      <c r="J16" s="4">
        <f>IFERROR(VLOOKUP($A:$A,MASTER!$A:$T,14,0),0)</f>
        <v>69819819.819819823</v>
      </c>
      <c r="K16" s="9">
        <f t="shared" si="2"/>
        <v>3.9999999999999813E-2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6">
        <f>IFERROR(VLOOKUP(A:A,MASTER!A:K,11,0),0)</f>
        <v>0</v>
      </c>
      <c r="V16" s="16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237898247.34620002</v>
      </c>
      <c r="D17" s="4">
        <f>IFERROR(VLOOKUP($A:$A,MASTER!$A:$T,4,0),0)</f>
        <v>229537143.34768772</v>
      </c>
      <c r="E17" s="9">
        <f t="shared" si="0"/>
        <v>3.6425930359547332E-2</v>
      </c>
      <c r="F17" s="4">
        <f>IFERROR(VLOOKUP(A:A,MASTER!A:E,5,0),0)</f>
        <v>0</v>
      </c>
      <c r="G17" s="4">
        <f>IFERROR(VLOOKUP(A:A,MASTER!A:F,6,0),0)</f>
        <v>20268.468468469</v>
      </c>
      <c r="H17" s="9">
        <f t="shared" si="1"/>
        <v>-1</v>
      </c>
      <c r="I17" s="4">
        <f>IFERROR(VLOOKUP(A:A,MASTER!A:M,13,0),0)</f>
        <v>0</v>
      </c>
      <c r="J17" s="4">
        <f>IFERROR(VLOOKUP($A:$A,MASTER!$A:$T,14,0),0)</f>
        <v>21335.135135134999</v>
      </c>
      <c r="K17" s="9">
        <f t="shared" si="2"/>
        <v>-1</v>
      </c>
      <c r="L17" s="4">
        <f>IFERROR(VLOOKUP($A:$A,MASTER!$A:$T,15,0),0)</f>
        <v>142317223.42342341</v>
      </c>
      <c r="M17" s="4">
        <f>IFERROR(VLOOKUP($A:$A,MASTER!$A:$T,16,0),0)</f>
        <v>137361405.4054054</v>
      </c>
      <c r="N17" s="9">
        <f t="shared" si="3"/>
        <v>3.6078678748164394E-2</v>
      </c>
      <c r="O17" s="4">
        <f>IFERROR(VLOOKUP($A:$A,MASTER!$A:$T,17,0),0)</f>
        <v>19639.639639640001</v>
      </c>
      <c r="P17" s="4">
        <f>IFERROR(VLOOKUP($A:$A,MASTER!$A:$T,18,0),0)</f>
        <v>606216.21621621598</v>
      </c>
      <c r="Q17" s="9">
        <f t="shared" si="4"/>
        <v>-0.9676029127656407</v>
      </c>
      <c r="R17" s="4">
        <f>IFERROR(VLOOKUP($A:$A,MASTER!$A:$T,19,0),0)</f>
        <v>4626</v>
      </c>
      <c r="S17" s="4">
        <f>IFERROR(VLOOKUP($A:$A,MASTER!$A:$T,20,0),0)</f>
        <v>3530</v>
      </c>
      <c r="T17" s="9">
        <f t="shared" si="5"/>
        <v>0.31048158640226631</v>
      </c>
      <c r="U17" s="16">
        <f>IFERROR(VLOOKUP(A:A,MASTER!A:K,11,0),0)</f>
        <v>36</v>
      </c>
      <c r="V17" s="16">
        <f>IFERROR(VLOOKUP(A:A,MASTER!A:L,12,0),0)</f>
        <v>30</v>
      </c>
      <c r="W17" s="9">
        <f t="shared" si="6"/>
        <v>0.19999999999999996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207002554.99264345</v>
      </c>
      <c r="D18" s="4">
        <f>IFERROR(VLOOKUP($A:$A,MASTER!$A:$T,4,0),0)</f>
        <v>190066185.58074287</v>
      </c>
      <c r="E18" s="9">
        <f t="shared" si="0"/>
        <v>8.9107746126181775E-2</v>
      </c>
      <c r="F18" s="4">
        <f>IFERROR(VLOOKUP(A:A,MASTER!A:E,5,0),0)</f>
        <v>91817117.117117122</v>
      </c>
      <c r="G18" s="4">
        <f>IFERROR(VLOOKUP(A:A,MASTER!A:F,6,0),0)</f>
        <v>103184684.68468469</v>
      </c>
      <c r="H18" s="9">
        <f t="shared" si="1"/>
        <v>-0.11016719779979922</v>
      </c>
      <c r="I18" s="4">
        <f>IFERROR(VLOOKUP(A:A,MASTER!A:M,13,0),0)</f>
        <v>17452927.927927926</v>
      </c>
      <c r="J18" s="4">
        <f>IFERROR(VLOOKUP($A:$A,MASTER!$A:$T,14,0),0)</f>
        <v>34478153.153153151</v>
      </c>
      <c r="K18" s="9">
        <f t="shared" si="2"/>
        <v>-0.49379748241150223</v>
      </c>
      <c r="L18" s="4">
        <f>IFERROR(VLOOKUP($A:$A,MASTER!$A:$T,15,0),0)</f>
        <v>69856966.216216221</v>
      </c>
      <c r="M18" s="4">
        <f>IFERROR(VLOOKUP($A:$A,MASTER!$A:$T,16,0),0)</f>
        <v>72137783.783783779</v>
      </c>
      <c r="N18" s="9">
        <f t="shared" si="3"/>
        <v>-3.161751647934985E-2</v>
      </c>
      <c r="O18" s="4">
        <f>IFERROR(VLOOKUP($A:$A,MASTER!$A:$T,17,0),0)</f>
        <v>15913873.873873873</v>
      </c>
      <c r="P18" s="4">
        <f>IFERROR(VLOOKUP($A:$A,MASTER!$A:$T,18,0),0)</f>
        <v>31856576.576576576</v>
      </c>
      <c r="Q18" s="9">
        <f t="shared" si="4"/>
        <v>-0.50045247845071383</v>
      </c>
      <c r="R18" s="4">
        <f>IFERROR(VLOOKUP($A:$A,MASTER!$A:$T,19,0),0)</f>
        <v>6405</v>
      </c>
      <c r="S18" s="4">
        <f>IFERROR(VLOOKUP($A:$A,MASTER!$A:$T,20,0),0)</f>
        <v>3805</v>
      </c>
      <c r="T18" s="9">
        <f t="shared" si="5"/>
        <v>0.68331143232588709</v>
      </c>
      <c r="U18" s="16">
        <f>IFERROR(VLOOKUP(A:A,MASTER!A:K,11,0),0)</f>
        <v>51</v>
      </c>
      <c r="V18" s="16">
        <f>IFERROR(VLOOKUP(A:A,MASTER!A:L,12,0),0)</f>
        <v>49</v>
      </c>
      <c r="W18" s="9">
        <f t="shared" si="6"/>
        <v>4.081632653061229E-2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140700362.30831701</v>
      </c>
      <c r="D19" s="4">
        <f>IFERROR(VLOOKUP($A:$A,MASTER!$A:$T,4,0),0)</f>
        <v>123579774.40923691</v>
      </c>
      <c r="E19" s="9">
        <f t="shared" si="0"/>
        <v>0.13853875345641042</v>
      </c>
      <c r="F19" s="4">
        <f>IFERROR(VLOOKUP(A:A,MASTER!A:E,5,0),0)</f>
        <v>5496396.3963963967</v>
      </c>
      <c r="G19" s="4">
        <f>IFERROR(VLOOKUP(A:A,MASTER!A:F,6,0),0)</f>
        <v>1352702.702702703</v>
      </c>
      <c r="H19" s="9">
        <f t="shared" si="1"/>
        <v>3.0632700632700631</v>
      </c>
      <c r="I19" s="4">
        <f>IFERROR(VLOOKUP(A:A,MASTER!A:M,13,0),0)</f>
        <v>23154054.054054055</v>
      </c>
      <c r="J19" s="4">
        <f>IFERROR(VLOOKUP($A:$A,MASTER!$A:$T,14,0),0)</f>
        <v>20226576.576576576</v>
      </c>
      <c r="K19" s="9">
        <f t="shared" si="2"/>
        <v>0.14473420484154742</v>
      </c>
      <c r="L19" s="4">
        <f>IFERROR(VLOOKUP($A:$A,MASTER!$A:$T,15,0),0)</f>
        <v>55015828.828828834</v>
      </c>
      <c r="M19" s="4">
        <f>IFERROR(VLOOKUP($A:$A,MASTER!$A:$T,16,0),0)</f>
        <v>53152927.927927926</v>
      </c>
      <c r="N19" s="9">
        <f t="shared" si="3"/>
        <v>3.5047945118411583E-2</v>
      </c>
      <c r="O19" s="4">
        <f>IFERROR(VLOOKUP($A:$A,MASTER!$A:$T,17,0),0)</f>
        <v>27229909.909909911</v>
      </c>
      <c r="P19" s="4">
        <f>IFERROR(VLOOKUP($A:$A,MASTER!$A:$T,18,0),0)</f>
        <v>20739099.0990991</v>
      </c>
      <c r="Q19" s="9">
        <f t="shared" si="4"/>
        <v>0.31297457906899973</v>
      </c>
      <c r="R19" s="4">
        <f>IFERROR(VLOOKUP($A:$A,MASTER!$A:$T,19,0),0)</f>
        <v>5952</v>
      </c>
      <c r="S19" s="4">
        <f>IFERROR(VLOOKUP($A:$A,MASTER!$A:$T,20,0),0)</f>
        <v>2808</v>
      </c>
      <c r="T19" s="9">
        <f t="shared" si="5"/>
        <v>1.1196581196581197</v>
      </c>
      <c r="U19" s="16">
        <f>IFERROR(VLOOKUP(A:A,MASTER!A:K,11,0),0)</f>
        <v>25</v>
      </c>
      <c r="V19" s="16">
        <f>IFERROR(VLOOKUP(A:A,MASTER!A:L,12,0),0)</f>
        <v>25</v>
      </c>
      <c r="W19" s="9">
        <f t="shared" si="6"/>
        <v>0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6">
        <f>IFERROR(VLOOKUP(A:A,MASTER!A:K,11,0),0)</f>
        <v>0</v>
      </c>
      <c r="V20" s="16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475053291.03286129</v>
      </c>
      <c r="D21" s="4">
        <f>IFERROR(VLOOKUP($A:$A,MASTER!$A:$T,4,0),0)</f>
        <v>445756632.36136365</v>
      </c>
      <c r="E21" s="9">
        <f t="shared" si="0"/>
        <v>6.5723438631301256E-2</v>
      </c>
      <c r="F21" s="4">
        <f>IFERROR(VLOOKUP(A:A,MASTER!A:E,5,0),0)</f>
        <v>6318918.9189189253</v>
      </c>
      <c r="G21" s="4">
        <f>IFERROR(VLOOKUP(A:A,MASTER!A:F,6,0),0)</f>
        <v>7280018.9189189225</v>
      </c>
      <c r="H21" s="9">
        <f t="shared" si="1"/>
        <v>-0.13201888768480285</v>
      </c>
      <c r="I21" s="4">
        <f>IFERROR(VLOOKUP(A:A,MASTER!A:M,13,0),0)</f>
        <v>177102027.02702704</v>
      </c>
      <c r="J21" s="4">
        <f>IFERROR(VLOOKUP($A:$A,MASTER!$A:$T,14,0),0)</f>
        <v>181679764.86486486</v>
      </c>
      <c r="K21" s="9">
        <f t="shared" si="2"/>
        <v>-2.5196740216186342E-2</v>
      </c>
      <c r="L21" s="4">
        <f>IFERROR(VLOOKUP($A:$A,MASTER!$A:$T,15,0),0)</f>
        <v>285670135.13513511</v>
      </c>
      <c r="M21" s="4">
        <f>IFERROR(VLOOKUP($A:$A,MASTER!$A:$T,16,0),0)</f>
        <v>279009504.5045045</v>
      </c>
      <c r="N21" s="9">
        <f t="shared" si="3"/>
        <v>2.3872414821349164E-2</v>
      </c>
      <c r="O21" s="4">
        <f>IFERROR(VLOOKUP($A:$A,MASTER!$A:$T,17,0),0)</f>
        <v>192270718.91891891</v>
      </c>
      <c r="P21" s="4">
        <f>IFERROR(VLOOKUP($A:$A,MASTER!$A:$T,18,0),0)</f>
        <v>208183063.06306309</v>
      </c>
      <c r="Q21" s="9">
        <f t="shared" si="4"/>
        <v>-7.6434383806352146E-2</v>
      </c>
      <c r="R21" s="4">
        <f>IFERROR(VLOOKUP($A:$A,MASTER!$A:$T,19,0),0)</f>
        <v>10672</v>
      </c>
      <c r="S21" s="4">
        <f>IFERROR(VLOOKUP($A:$A,MASTER!$A:$T,20,0),0)</f>
        <v>7168</v>
      </c>
      <c r="T21" s="9">
        <f t="shared" si="5"/>
        <v>0.48883928571428581</v>
      </c>
      <c r="U21" s="16">
        <f>IFERROR(VLOOKUP(A:A,MASTER!A:K,11,0),0)</f>
        <v>836</v>
      </c>
      <c r="V21" s="16">
        <f>IFERROR(VLOOKUP(A:A,MASTER!A:L,12,0),0)</f>
        <v>1015</v>
      </c>
      <c r="W21" s="9">
        <f t="shared" si="6"/>
        <v>-0.17635467980295572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240860680.16253296</v>
      </c>
      <c r="D22" s="4">
        <f>IFERROR(VLOOKUP($A:$A,MASTER!$A:$T,4,0),0)</f>
        <v>239444971.9093622</v>
      </c>
      <c r="E22" s="9">
        <f t="shared" si="0"/>
        <v>5.9124576385201077E-3</v>
      </c>
      <c r="F22" s="4">
        <f>IFERROR(VLOOKUP(A:A,MASTER!A:E,5,0),0)</f>
        <v>1682882.882882881</v>
      </c>
      <c r="G22" s="4">
        <f>IFERROR(VLOOKUP(A:A,MASTER!A:F,6,0),0)</f>
        <v>1779947.7477477491</v>
      </c>
      <c r="H22" s="9">
        <f t="shared" si="1"/>
        <v>-5.4532423767882365E-2</v>
      </c>
      <c r="I22" s="4">
        <f>IFERROR(VLOOKUP(A:A,MASTER!A:M,13,0),0)</f>
        <v>51436936.936936937</v>
      </c>
      <c r="J22" s="4">
        <f>IFERROR(VLOOKUP($A:$A,MASTER!$A:$T,14,0),0)</f>
        <v>52455705.40540541</v>
      </c>
      <c r="K22" s="9">
        <f t="shared" si="2"/>
        <v>-1.9421499731914649E-2</v>
      </c>
      <c r="L22" s="4">
        <f>IFERROR(VLOOKUP($A:$A,MASTER!$A:$T,15,0),0)</f>
        <v>80156396.396396399</v>
      </c>
      <c r="M22" s="4">
        <f>IFERROR(VLOOKUP($A:$A,MASTER!$A:$T,16,0),0)</f>
        <v>83526045.045045033</v>
      </c>
      <c r="N22" s="9">
        <f t="shared" si="3"/>
        <v>-4.0342490139828935E-2</v>
      </c>
      <c r="O22" s="4">
        <f>IFERROR(VLOOKUP($A:$A,MASTER!$A:$T,17,0),0)</f>
        <v>49132522.522522517</v>
      </c>
      <c r="P22" s="4">
        <f>IFERROR(VLOOKUP($A:$A,MASTER!$A:$T,18,0),0)</f>
        <v>45674504.504504502</v>
      </c>
      <c r="Q22" s="9">
        <f t="shared" si="4"/>
        <v>7.571002806778071E-2</v>
      </c>
      <c r="R22" s="4">
        <f>IFERROR(VLOOKUP($A:$A,MASTER!$A:$T,19,0),0)</f>
        <v>4211</v>
      </c>
      <c r="S22" s="4">
        <f>IFERROR(VLOOKUP($A:$A,MASTER!$A:$T,20,0),0)</f>
        <v>4032</v>
      </c>
      <c r="T22" s="9">
        <f t="shared" si="5"/>
        <v>4.4394841269841168E-2</v>
      </c>
      <c r="U22" s="16">
        <f>IFERROR(VLOOKUP(A:A,MASTER!A:K,11,0),0)</f>
        <v>41</v>
      </c>
      <c r="V22" s="16">
        <f>IFERROR(VLOOKUP(A:A,MASTER!A:L,12,0),0)</f>
        <v>40</v>
      </c>
      <c r="W22" s="9">
        <f t="shared" si="6"/>
        <v>2.4999999999999911E-2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0"/>
  <sheetViews>
    <sheetView tabSelected="1" workbookViewId="0">
      <pane xSplit="1" ySplit="2" topLeftCell="F568" activePane="bottomRight" state="frozen"/>
      <selection pane="topRight" activeCell="B1" sqref="B1"/>
      <selection pane="bottomLeft" activeCell="A3" sqref="A3"/>
      <selection pane="bottomRight" activeCell="A576" sqref="A571:XFD576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669</v>
      </c>
      <c r="J2" s="7" t="s">
        <v>669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47</v>
      </c>
      <c r="B4" s="12" t="s">
        <v>48</v>
      </c>
      <c r="C4">
        <v>749984240.88150465</v>
      </c>
      <c r="D4">
        <v>784283452.12487614</v>
      </c>
      <c r="E4">
        <v>3778828.8288288312</v>
      </c>
      <c r="F4">
        <v>3729398.1981982011</v>
      </c>
      <c r="G4">
        <v>123</v>
      </c>
      <c r="H4">
        <v>35</v>
      </c>
      <c r="K4">
        <v>204</v>
      </c>
      <c r="L4">
        <v>61</v>
      </c>
      <c r="M4">
        <v>63079819.819819823</v>
      </c>
      <c r="N4">
        <v>33163900</v>
      </c>
      <c r="O4">
        <v>93860016.216216221</v>
      </c>
      <c r="P4">
        <v>107695754.95495497</v>
      </c>
      <c r="Q4">
        <v>66687657.657657653</v>
      </c>
      <c r="R4">
        <v>39033243.24324324</v>
      </c>
      <c r="S4">
        <v>8830</v>
      </c>
      <c r="T4">
        <v>8320</v>
      </c>
    </row>
    <row r="5" spans="1:20" x14ac:dyDescent="0.35">
      <c r="A5" s="7" t="s">
        <v>49</v>
      </c>
      <c r="B5" s="12" t="s">
        <v>50</v>
      </c>
      <c r="C5">
        <v>1145540349.9770863</v>
      </c>
      <c r="D5">
        <v>1173212912.1434965</v>
      </c>
      <c r="E5">
        <v>18947747.747747753</v>
      </c>
      <c r="F5">
        <v>14978189.189189196</v>
      </c>
      <c r="G5">
        <v>1176</v>
      </c>
      <c r="H5">
        <v>694</v>
      </c>
      <c r="I5">
        <v>6</v>
      </c>
      <c r="K5">
        <v>1526</v>
      </c>
      <c r="L5">
        <v>1141</v>
      </c>
      <c r="M5">
        <v>335756306.3063063</v>
      </c>
      <c r="N5">
        <v>458245337.83783782</v>
      </c>
      <c r="O5">
        <v>362811545.04504508</v>
      </c>
      <c r="P5">
        <v>380591369.36936933</v>
      </c>
      <c r="Q5">
        <v>324408018.01801801</v>
      </c>
      <c r="R5">
        <v>450828828.82882881</v>
      </c>
      <c r="S5">
        <v>24679</v>
      </c>
      <c r="T5">
        <v>20619</v>
      </c>
    </row>
    <row r="6" spans="1:20" x14ac:dyDescent="0.35">
      <c r="A6" s="7" t="s">
        <v>51</v>
      </c>
      <c r="B6" s="12" t="s">
        <v>52</v>
      </c>
      <c r="C6">
        <v>286586145.05125111</v>
      </c>
      <c r="D6">
        <v>300872638.31823027</v>
      </c>
      <c r="E6">
        <v>9244144.1441441476</v>
      </c>
      <c r="F6">
        <v>5618598.1981981993</v>
      </c>
      <c r="G6">
        <v>154</v>
      </c>
      <c r="H6">
        <v>152</v>
      </c>
      <c r="I6">
        <v>1</v>
      </c>
      <c r="K6">
        <v>277</v>
      </c>
      <c r="L6">
        <v>182</v>
      </c>
      <c r="M6">
        <v>81606036.036036029</v>
      </c>
      <c r="N6">
        <v>60544726.126126125</v>
      </c>
      <c r="O6">
        <v>94997225.225225225</v>
      </c>
      <c r="P6">
        <v>100267990.990991</v>
      </c>
      <c r="Q6">
        <v>69813873.873873875</v>
      </c>
      <c r="R6">
        <v>57417387.387387387</v>
      </c>
      <c r="S6">
        <v>5448</v>
      </c>
      <c r="T6">
        <v>4851</v>
      </c>
    </row>
    <row r="7" spans="1:20" x14ac:dyDescent="0.35">
      <c r="A7" s="7" t="s">
        <v>53</v>
      </c>
      <c r="B7" s="12" t="s">
        <v>54</v>
      </c>
      <c r="C7">
        <v>155861413.77253169</v>
      </c>
      <c r="D7">
        <v>145585987.18949959</v>
      </c>
      <c r="E7">
        <v>2772747.7477477528</v>
      </c>
      <c r="F7">
        <v>3076252.2522522551</v>
      </c>
      <c r="G7">
        <v>45</v>
      </c>
      <c r="H7">
        <v>78</v>
      </c>
      <c r="K7">
        <v>95</v>
      </c>
      <c r="L7">
        <v>125</v>
      </c>
      <c r="M7">
        <v>17385315.315315317</v>
      </c>
      <c r="N7">
        <v>31987704.504504506</v>
      </c>
      <c r="O7">
        <v>48099542.79279279</v>
      </c>
      <c r="P7">
        <v>48059549.54954955</v>
      </c>
      <c r="Q7">
        <v>17219009.009009007</v>
      </c>
      <c r="R7">
        <v>29949909.909909911</v>
      </c>
      <c r="S7">
        <v>5597</v>
      </c>
      <c r="T7">
        <v>3549</v>
      </c>
    </row>
    <row r="8" spans="1:20" x14ac:dyDescent="0.35">
      <c r="A8" s="7" t="s">
        <v>55</v>
      </c>
      <c r="B8" s="12" t="s">
        <v>54</v>
      </c>
      <c r="C8">
        <v>256083662.35566816</v>
      </c>
      <c r="D8">
        <v>269397501.96974522</v>
      </c>
      <c r="E8">
        <v>4966216.2162162168</v>
      </c>
      <c r="F8">
        <v>6896793.6936936984</v>
      </c>
      <c r="G8">
        <v>339</v>
      </c>
      <c r="H8">
        <v>165</v>
      </c>
      <c r="K8">
        <v>751</v>
      </c>
      <c r="L8">
        <v>483</v>
      </c>
      <c r="M8">
        <v>99959189.189189181</v>
      </c>
      <c r="N8">
        <v>193202874.77477479</v>
      </c>
      <c r="O8">
        <v>72024585.585585579</v>
      </c>
      <c r="P8">
        <v>82504763.963963971</v>
      </c>
      <c r="Q8">
        <v>87472522.522522524</v>
      </c>
      <c r="R8">
        <v>134577207.2072072</v>
      </c>
      <c r="S8">
        <v>7382</v>
      </c>
      <c r="T8">
        <v>4525</v>
      </c>
    </row>
    <row r="9" spans="1:20" x14ac:dyDescent="0.35">
      <c r="A9" s="7" t="s">
        <v>56</v>
      </c>
      <c r="B9" s="12" t="s">
        <v>54</v>
      </c>
      <c r="C9">
        <v>125219658.06577437</v>
      </c>
      <c r="D9">
        <v>132049381.33261545</v>
      </c>
      <c r="E9">
        <v>2321621.6216216208</v>
      </c>
      <c r="F9">
        <v>3493920.7207207209</v>
      </c>
      <c r="G9">
        <v>34</v>
      </c>
      <c r="H9">
        <v>73</v>
      </c>
      <c r="K9">
        <v>40</v>
      </c>
      <c r="L9">
        <v>101</v>
      </c>
      <c r="M9">
        <v>19080720.72072072</v>
      </c>
      <c r="N9">
        <v>20420400</v>
      </c>
      <c r="O9">
        <v>36867315.315315314</v>
      </c>
      <c r="P9">
        <v>41809036.036036029</v>
      </c>
      <c r="Q9">
        <v>17447567.567567568</v>
      </c>
      <c r="R9">
        <v>19753333.333333332</v>
      </c>
      <c r="S9">
        <v>3400</v>
      </c>
      <c r="T9">
        <v>1707</v>
      </c>
    </row>
    <row r="10" spans="1:20" x14ac:dyDescent="0.35">
      <c r="A10" s="7" t="s">
        <v>57</v>
      </c>
      <c r="B10" s="12" t="s">
        <v>58</v>
      </c>
      <c r="C10">
        <v>329513405.93967438</v>
      </c>
      <c r="D10">
        <v>328214118.50026315</v>
      </c>
      <c r="E10">
        <v>1374774.7747747761</v>
      </c>
      <c r="F10">
        <v>517332.43243243499</v>
      </c>
      <c r="G10">
        <v>99</v>
      </c>
      <c r="H10">
        <v>90</v>
      </c>
      <c r="I10">
        <v>1</v>
      </c>
      <c r="K10">
        <v>106</v>
      </c>
      <c r="L10">
        <v>105</v>
      </c>
      <c r="M10">
        <v>4807207.2072072057</v>
      </c>
      <c r="N10">
        <v>7644702.702702703</v>
      </c>
      <c r="O10">
        <v>61016547.747747742</v>
      </c>
      <c r="P10">
        <v>65369747.747747749</v>
      </c>
      <c r="Q10">
        <v>4901891.8918918921</v>
      </c>
      <c r="R10">
        <v>7574234.2342342343</v>
      </c>
      <c r="S10">
        <v>5991</v>
      </c>
      <c r="T10">
        <v>5495</v>
      </c>
    </row>
    <row r="11" spans="1:20" x14ac:dyDescent="0.35">
      <c r="A11" s="7" t="s">
        <v>59</v>
      </c>
      <c r="B11" s="12" t="s">
        <v>60</v>
      </c>
      <c r="C11">
        <v>146937699.00514409</v>
      </c>
      <c r="D11">
        <v>150630954.02881959</v>
      </c>
      <c r="E11">
        <v>36980180.180180185</v>
      </c>
      <c r="F11">
        <v>603472719.81981981</v>
      </c>
      <c r="G11">
        <v>95</v>
      </c>
      <c r="H11">
        <v>46</v>
      </c>
      <c r="I11">
        <v>1</v>
      </c>
      <c r="K11">
        <v>267</v>
      </c>
      <c r="L11">
        <v>95</v>
      </c>
      <c r="M11">
        <v>21751955.855855856</v>
      </c>
      <c r="N11">
        <v>89798111.711711705</v>
      </c>
      <c r="O11">
        <v>67120054.054054052</v>
      </c>
      <c r="P11">
        <v>70910360.360360354</v>
      </c>
      <c r="Q11">
        <v>17353063.063063063</v>
      </c>
      <c r="R11">
        <v>86417027.027027026</v>
      </c>
      <c r="S11">
        <v>3542</v>
      </c>
      <c r="T11">
        <v>3202</v>
      </c>
    </row>
    <row r="12" spans="1:20" x14ac:dyDescent="0.35">
      <c r="A12" s="7" t="s">
        <v>61</v>
      </c>
      <c r="B12" s="12" t="s">
        <v>62</v>
      </c>
      <c r="C12">
        <v>662689421.96866524</v>
      </c>
      <c r="D12">
        <v>650137050.84919965</v>
      </c>
      <c r="E12">
        <v>198907837.83783785</v>
      </c>
      <c r="F12">
        <v>91024736.036036044</v>
      </c>
      <c r="G12">
        <v>98</v>
      </c>
      <c r="H12">
        <v>63</v>
      </c>
      <c r="K12">
        <v>106</v>
      </c>
      <c r="L12">
        <v>79</v>
      </c>
      <c r="M12">
        <v>139456936.93693691</v>
      </c>
      <c r="N12">
        <v>83411893.693693697</v>
      </c>
      <c r="O12">
        <v>70339502.702702701</v>
      </c>
      <c r="P12">
        <v>79363463.06306307</v>
      </c>
      <c r="Q12">
        <v>133996486.48648648</v>
      </c>
      <c r="R12">
        <v>80911261.261261269</v>
      </c>
      <c r="S12">
        <v>9479</v>
      </c>
      <c r="T12">
        <v>8390</v>
      </c>
    </row>
    <row r="13" spans="1:20" x14ac:dyDescent="0.35">
      <c r="A13" s="7" t="s">
        <v>63</v>
      </c>
      <c r="B13" s="12" t="s">
        <v>50</v>
      </c>
      <c r="C13">
        <v>351832501.72108328</v>
      </c>
      <c r="D13">
        <v>343969022.55365604</v>
      </c>
      <c r="E13">
        <v>4051351.3513513552</v>
      </c>
      <c r="F13">
        <v>5102997.297297297</v>
      </c>
      <c r="G13">
        <v>119</v>
      </c>
      <c r="H13">
        <v>106</v>
      </c>
      <c r="K13">
        <v>152</v>
      </c>
      <c r="L13">
        <v>118</v>
      </c>
      <c r="M13">
        <v>108361441.44144145</v>
      </c>
      <c r="N13">
        <v>175598229.72972974</v>
      </c>
      <c r="O13">
        <v>134789450.45045045</v>
      </c>
      <c r="P13">
        <v>138936972.97297299</v>
      </c>
      <c r="Q13">
        <v>104260270.27027027</v>
      </c>
      <c r="R13">
        <v>175817387.38738739</v>
      </c>
      <c r="S13">
        <v>5732</v>
      </c>
      <c r="T13">
        <v>5547</v>
      </c>
    </row>
    <row r="14" spans="1:20" x14ac:dyDescent="0.35">
      <c r="A14" s="7" t="s">
        <v>64</v>
      </c>
      <c r="B14" s="12" t="s">
        <v>50</v>
      </c>
      <c r="C14">
        <v>359674355.4698441</v>
      </c>
      <c r="D14">
        <v>350529672.21759379</v>
      </c>
      <c r="E14">
        <v>5011711.7117117103</v>
      </c>
      <c r="F14">
        <v>5202974.7747747749</v>
      </c>
      <c r="G14">
        <v>81</v>
      </c>
      <c r="H14">
        <v>52</v>
      </c>
      <c r="K14">
        <v>95</v>
      </c>
      <c r="L14">
        <v>62</v>
      </c>
      <c r="M14">
        <v>48973783.783783786</v>
      </c>
      <c r="N14">
        <v>63096393.693693697</v>
      </c>
      <c r="O14">
        <v>134992536.03603604</v>
      </c>
      <c r="P14">
        <v>136457324.32432431</v>
      </c>
      <c r="Q14">
        <v>45576846.846846849</v>
      </c>
      <c r="R14">
        <v>53521261.261261262</v>
      </c>
      <c r="S14">
        <v>5632</v>
      </c>
      <c r="T14">
        <v>5545</v>
      </c>
    </row>
    <row r="15" spans="1:20" x14ac:dyDescent="0.35">
      <c r="A15" s="7" t="s">
        <v>65</v>
      </c>
      <c r="B15" s="12" t="s">
        <v>66</v>
      </c>
      <c r="C15">
        <v>364172132.641478</v>
      </c>
      <c r="D15">
        <v>350549438.47123814</v>
      </c>
      <c r="E15">
        <v>11552702.702702709</v>
      </c>
      <c r="F15">
        <v>19120805.40540541</v>
      </c>
      <c r="G15">
        <v>92</v>
      </c>
      <c r="H15">
        <v>106</v>
      </c>
      <c r="K15">
        <v>107</v>
      </c>
      <c r="L15">
        <v>131</v>
      </c>
      <c r="M15">
        <v>186339369.36936939</v>
      </c>
      <c r="N15">
        <v>257173033.33333334</v>
      </c>
      <c r="O15">
        <v>185992441.44144145</v>
      </c>
      <c r="P15">
        <v>177370621.62162164</v>
      </c>
      <c r="Q15">
        <v>180185765.76576576</v>
      </c>
      <c r="R15">
        <v>253532972.97297296</v>
      </c>
      <c r="S15">
        <v>9568</v>
      </c>
      <c r="T15">
        <v>5601</v>
      </c>
    </row>
    <row r="16" spans="1:20" x14ac:dyDescent="0.35">
      <c r="A16" s="7" t="s">
        <v>67</v>
      </c>
      <c r="B16" s="12" t="s">
        <v>68</v>
      </c>
      <c r="C16">
        <v>210271009.51538137</v>
      </c>
      <c r="D16">
        <v>205462121.72282568</v>
      </c>
      <c r="E16">
        <v>110398530.63063063</v>
      </c>
      <c r="F16">
        <v>129299623.42342342</v>
      </c>
      <c r="G16">
        <v>82</v>
      </c>
      <c r="H16">
        <v>45</v>
      </c>
      <c r="K16">
        <v>86</v>
      </c>
      <c r="L16">
        <v>52</v>
      </c>
      <c r="M16">
        <v>56499639.639639638</v>
      </c>
      <c r="N16">
        <v>75066468.468468457</v>
      </c>
      <c r="O16">
        <v>57636288.288288288</v>
      </c>
      <c r="P16">
        <v>59751702.702702701</v>
      </c>
      <c r="Q16">
        <v>27970180.180180181</v>
      </c>
      <c r="R16">
        <v>26318693.693693694</v>
      </c>
      <c r="S16">
        <v>3499</v>
      </c>
      <c r="T16">
        <v>3165</v>
      </c>
    </row>
    <row r="17" spans="1:20" x14ac:dyDescent="0.35">
      <c r="A17" s="7" t="s">
        <v>69</v>
      </c>
      <c r="B17" s="12" t="s">
        <v>70</v>
      </c>
      <c r="C17">
        <v>16349598.653650507</v>
      </c>
      <c r="D17">
        <v>16077862.236697491</v>
      </c>
      <c r="E17">
        <v>193466270.27027026</v>
      </c>
      <c r="F17">
        <v>248760972.07207206</v>
      </c>
      <c r="G17">
        <v>5</v>
      </c>
      <c r="H17">
        <v>5</v>
      </c>
      <c r="K17">
        <v>5</v>
      </c>
      <c r="L17">
        <v>6</v>
      </c>
      <c r="M17">
        <v>68711946.846846849</v>
      </c>
      <c r="N17">
        <v>88714100.9009009</v>
      </c>
      <c r="O17">
        <v>4943346.8468468469</v>
      </c>
      <c r="P17">
        <v>5075801.8018018017</v>
      </c>
      <c r="Q17">
        <v>404054.05405405402</v>
      </c>
      <c r="R17">
        <v>1768918.9189189191</v>
      </c>
      <c r="S17">
        <v>502</v>
      </c>
      <c r="T17">
        <v>316</v>
      </c>
    </row>
    <row r="18" spans="1:20" x14ac:dyDescent="0.35">
      <c r="A18" s="7" t="s">
        <v>71</v>
      </c>
      <c r="B18" s="12" t="s">
        <v>72</v>
      </c>
      <c r="C18">
        <v>2766030605.6357937</v>
      </c>
      <c r="D18">
        <v>2816616418.2279162</v>
      </c>
      <c r="E18">
        <v>668946678.37837839</v>
      </c>
      <c r="F18">
        <v>927426606.30630636</v>
      </c>
      <c r="G18">
        <v>989</v>
      </c>
      <c r="H18">
        <v>1143</v>
      </c>
      <c r="I18">
        <v>25</v>
      </c>
      <c r="K18">
        <v>1451</v>
      </c>
      <c r="L18">
        <v>1612</v>
      </c>
      <c r="M18">
        <v>409281538.73873878</v>
      </c>
      <c r="N18">
        <v>464876081.08108109</v>
      </c>
      <c r="O18">
        <v>569499074.77477479</v>
      </c>
      <c r="P18">
        <v>693382936.03603613</v>
      </c>
      <c r="Q18">
        <v>268093016.21621624</v>
      </c>
      <c r="R18">
        <v>313928691.8918919</v>
      </c>
      <c r="S18">
        <v>50949</v>
      </c>
      <c r="T18">
        <v>47654</v>
      </c>
    </row>
    <row r="19" spans="1:20" x14ac:dyDescent="0.35">
      <c r="A19" s="7" t="s">
        <v>73</v>
      </c>
      <c r="B19" s="12" t="s">
        <v>72</v>
      </c>
      <c r="C19">
        <v>260640694.28533712</v>
      </c>
      <c r="D19">
        <v>270103844.39052838</v>
      </c>
      <c r="E19">
        <v>295495.49549549702</v>
      </c>
      <c r="F19">
        <v>245045.045045045</v>
      </c>
      <c r="G19">
        <v>58</v>
      </c>
      <c r="H19">
        <v>49</v>
      </c>
      <c r="I19">
        <v>1</v>
      </c>
      <c r="K19">
        <v>69</v>
      </c>
      <c r="L19">
        <v>55</v>
      </c>
      <c r="M19">
        <v>8178378.3783783782</v>
      </c>
      <c r="N19">
        <v>8312612.6126126125</v>
      </c>
      <c r="O19">
        <v>38466189.189189181</v>
      </c>
      <c r="P19">
        <v>39813909.909909911</v>
      </c>
      <c r="Q19">
        <v>7173693.6936936937</v>
      </c>
      <c r="R19">
        <v>6493153.1531531531</v>
      </c>
      <c r="S19">
        <v>3757</v>
      </c>
      <c r="T19">
        <v>3650</v>
      </c>
    </row>
    <row r="20" spans="1:20" x14ac:dyDescent="0.35">
      <c r="A20" s="7" t="s">
        <v>74</v>
      </c>
      <c r="B20" s="12" t="s">
        <v>70</v>
      </c>
      <c r="C20">
        <v>291968919.51471519</v>
      </c>
      <c r="D20">
        <v>286683241.31318688</v>
      </c>
      <c r="E20">
        <v>7134234.2342342362</v>
      </c>
      <c r="F20">
        <v>15290418.018018013</v>
      </c>
      <c r="G20">
        <v>90</v>
      </c>
      <c r="H20">
        <v>79</v>
      </c>
      <c r="I20">
        <v>1</v>
      </c>
      <c r="K20">
        <v>246</v>
      </c>
      <c r="L20">
        <v>129</v>
      </c>
      <c r="M20">
        <v>64050450.45045045</v>
      </c>
      <c r="N20">
        <v>365885432.43243247</v>
      </c>
      <c r="O20">
        <v>107757225.22522523</v>
      </c>
      <c r="P20">
        <v>105836405.4054054</v>
      </c>
      <c r="Q20">
        <v>62137207.20720721</v>
      </c>
      <c r="R20">
        <v>353301261.26126122</v>
      </c>
      <c r="S20">
        <v>5874</v>
      </c>
      <c r="T20">
        <v>4681</v>
      </c>
    </row>
    <row r="21" spans="1:20" x14ac:dyDescent="0.35">
      <c r="A21" s="7" t="s">
        <v>75</v>
      </c>
      <c r="B21" s="12" t="s">
        <v>76</v>
      </c>
      <c r="C21">
        <v>84543818.755069003</v>
      </c>
      <c r="D21">
        <v>87149048.788763508</v>
      </c>
      <c r="E21">
        <v>661261.26126126095</v>
      </c>
      <c r="F21">
        <v>498198.19819819898</v>
      </c>
      <c r="G21">
        <v>28</v>
      </c>
      <c r="H21">
        <v>34</v>
      </c>
      <c r="K21">
        <v>28</v>
      </c>
      <c r="L21">
        <v>36</v>
      </c>
      <c r="M21">
        <v>10251711.711711712</v>
      </c>
      <c r="N21">
        <v>12130630.630630633</v>
      </c>
      <c r="O21">
        <v>21195774.774774775</v>
      </c>
      <c r="P21">
        <v>24226378.37837838</v>
      </c>
      <c r="Q21">
        <v>7876936.9369369373</v>
      </c>
      <c r="R21">
        <v>9844864.8648648653</v>
      </c>
      <c r="S21">
        <v>1815</v>
      </c>
      <c r="T21">
        <v>1509</v>
      </c>
    </row>
    <row r="22" spans="1:20" x14ac:dyDescent="0.35">
      <c r="A22" s="7" t="s">
        <v>77</v>
      </c>
      <c r="B22" s="12" t="s">
        <v>78</v>
      </c>
      <c r="C22">
        <v>182813245.21838233</v>
      </c>
      <c r="D22">
        <v>183235548.39823106</v>
      </c>
      <c r="E22">
        <v>2737837.8378378372</v>
      </c>
      <c r="F22">
        <v>3897974.7747747758</v>
      </c>
      <c r="G22">
        <v>40</v>
      </c>
      <c r="H22">
        <v>69</v>
      </c>
      <c r="I22">
        <v>2</v>
      </c>
      <c r="K22">
        <v>71</v>
      </c>
      <c r="L22">
        <v>94</v>
      </c>
      <c r="M22">
        <v>21527027.027027026</v>
      </c>
      <c r="N22">
        <v>35015245.945945941</v>
      </c>
      <c r="O22">
        <v>59588783.783783786</v>
      </c>
      <c r="P22">
        <v>60363484.684684679</v>
      </c>
      <c r="Q22">
        <v>24157567.567567568</v>
      </c>
      <c r="R22">
        <v>32392342.342342339</v>
      </c>
      <c r="S22">
        <v>2869</v>
      </c>
      <c r="T22">
        <v>2432</v>
      </c>
    </row>
    <row r="23" spans="1:20" x14ac:dyDescent="0.35">
      <c r="A23" s="7" t="s">
        <v>79</v>
      </c>
      <c r="B23" s="12" t="s">
        <v>80</v>
      </c>
      <c r="C23">
        <v>1660284180.9543445</v>
      </c>
      <c r="D23">
        <v>1747934453.6624277</v>
      </c>
      <c r="E23">
        <v>10845720.720720729</v>
      </c>
      <c r="F23">
        <v>19051350.450450458</v>
      </c>
      <c r="G23">
        <v>1096</v>
      </c>
      <c r="H23">
        <v>1060</v>
      </c>
      <c r="I23">
        <v>7</v>
      </c>
      <c r="K23">
        <v>1239</v>
      </c>
      <c r="L23">
        <v>1410</v>
      </c>
      <c r="M23">
        <v>586878378.37837839</v>
      </c>
      <c r="N23">
        <v>222067657.65765765</v>
      </c>
      <c r="O23">
        <v>433454457.2072072</v>
      </c>
      <c r="P23">
        <v>533578805.4054054</v>
      </c>
      <c r="Q23">
        <v>210162162.16216218</v>
      </c>
      <c r="R23">
        <v>199676486.48648649</v>
      </c>
      <c r="S23">
        <v>33335</v>
      </c>
      <c r="T23">
        <v>26141</v>
      </c>
    </row>
    <row r="24" spans="1:20" x14ac:dyDescent="0.35">
      <c r="A24" s="7" t="s">
        <v>81</v>
      </c>
      <c r="B24" s="12" t="s">
        <v>54</v>
      </c>
      <c r="C24">
        <v>52151788.975262925</v>
      </c>
      <c r="D24">
        <v>49127456.929309309</v>
      </c>
      <c r="E24">
        <v>493693.69369369501</v>
      </c>
      <c r="F24">
        <v>354054.05405405501</v>
      </c>
      <c r="G24">
        <v>17</v>
      </c>
      <c r="H24">
        <v>12</v>
      </c>
      <c r="K24">
        <v>23</v>
      </c>
      <c r="L24">
        <v>13</v>
      </c>
      <c r="M24">
        <v>3847567.5675675692</v>
      </c>
      <c r="N24">
        <v>4199999.9999999981</v>
      </c>
      <c r="O24">
        <v>12013045.045045044</v>
      </c>
      <c r="P24">
        <v>13370846.846846847</v>
      </c>
      <c r="Q24">
        <v>3157927.927927929</v>
      </c>
      <c r="R24">
        <v>3782072.072072072</v>
      </c>
      <c r="S24">
        <v>1735</v>
      </c>
      <c r="T24">
        <v>1366</v>
      </c>
    </row>
    <row r="25" spans="1:20" x14ac:dyDescent="0.35">
      <c r="A25" s="7" t="s">
        <v>82</v>
      </c>
      <c r="B25" s="12" t="s">
        <v>83</v>
      </c>
      <c r="C25">
        <v>1207883739.106153</v>
      </c>
      <c r="D25">
        <v>1182750769.5312252</v>
      </c>
      <c r="E25">
        <v>13712837.837837841</v>
      </c>
      <c r="F25">
        <v>19519622.52252252</v>
      </c>
      <c r="G25">
        <v>240</v>
      </c>
      <c r="H25">
        <v>191</v>
      </c>
      <c r="I25">
        <v>2</v>
      </c>
      <c r="K25">
        <v>277</v>
      </c>
      <c r="L25">
        <v>261</v>
      </c>
      <c r="M25">
        <v>229992342.34234235</v>
      </c>
      <c r="N25">
        <v>290268449.54954958</v>
      </c>
      <c r="O25">
        <v>349921208.55855852</v>
      </c>
      <c r="P25">
        <v>364450441.44144148</v>
      </c>
      <c r="Q25">
        <v>177878648.64864865</v>
      </c>
      <c r="R25">
        <v>203282522.52252254</v>
      </c>
      <c r="S25">
        <v>16065</v>
      </c>
      <c r="T25">
        <v>15051</v>
      </c>
    </row>
    <row r="26" spans="1:20" x14ac:dyDescent="0.35">
      <c r="A26" s="7" t="s">
        <v>84</v>
      </c>
      <c r="B26" s="12" t="s">
        <v>85</v>
      </c>
      <c r="C26">
        <v>114687685.92748651</v>
      </c>
      <c r="D26">
        <v>111750187.63443321</v>
      </c>
      <c r="E26">
        <v>2294144.1441441472</v>
      </c>
      <c r="F26">
        <v>7806118.9189189188</v>
      </c>
      <c r="G26">
        <v>61</v>
      </c>
      <c r="H26">
        <v>157</v>
      </c>
      <c r="K26">
        <v>74</v>
      </c>
      <c r="L26">
        <v>171</v>
      </c>
      <c r="M26">
        <v>219870720.72072071</v>
      </c>
      <c r="N26">
        <v>157232377.47747746</v>
      </c>
      <c r="O26">
        <v>39543990.990990989</v>
      </c>
      <c r="P26">
        <v>49807540.540540546</v>
      </c>
      <c r="Q26">
        <v>195892522.52252254</v>
      </c>
      <c r="R26">
        <v>123348735.13513513</v>
      </c>
      <c r="S26">
        <v>2447</v>
      </c>
      <c r="T26">
        <v>2192</v>
      </c>
    </row>
    <row r="27" spans="1:20" x14ac:dyDescent="0.35">
      <c r="A27" s="7" t="s">
        <v>86</v>
      </c>
      <c r="B27" s="12" t="s">
        <v>87</v>
      </c>
      <c r="C27">
        <v>4387883.2135589588</v>
      </c>
      <c r="D27">
        <v>8176946.4301285818</v>
      </c>
      <c r="G27">
        <v>4</v>
      </c>
      <c r="K27">
        <v>4</v>
      </c>
      <c r="O27">
        <v>1797801.801801801</v>
      </c>
      <c r="P27">
        <v>2551576.576576577</v>
      </c>
      <c r="S27">
        <v>174</v>
      </c>
      <c r="T27">
        <v>173</v>
      </c>
    </row>
    <row r="28" spans="1:20" x14ac:dyDescent="0.35">
      <c r="A28" s="7" t="s">
        <v>88</v>
      </c>
      <c r="B28" s="12" t="s">
        <v>89</v>
      </c>
      <c r="C28">
        <v>247641068.01960993</v>
      </c>
      <c r="D28">
        <v>259534709.31654134</v>
      </c>
      <c r="E28">
        <v>5360360.360360357</v>
      </c>
      <c r="F28">
        <v>4567757.6576576577</v>
      </c>
      <c r="G28">
        <v>40</v>
      </c>
      <c r="H28">
        <v>49</v>
      </c>
      <c r="K28">
        <v>44</v>
      </c>
      <c r="L28">
        <v>56</v>
      </c>
      <c r="M28">
        <v>45049729.729729727</v>
      </c>
      <c r="N28">
        <v>45706227.027027026</v>
      </c>
      <c r="O28">
        <v>87331711.711711705</v>
      </c>
      <c r="P28">
        <v>91328018.018018022</v>
      </c>
      <c r="Q28">
        <v>44413783.783783786</v>
      </c>
      <c r="R28">
        <v>47908108.108108111</v>
      </c>
      <c r="S28">
        <v>3771</v>
      </c>
      <c r="T28">
        <v>3108</v>
      </c>
    </row>
    <row r="29" spans="1:20" x14ac:dyDescent="0.35">
      <c r="A29" s="7" t="s">
        <v>90</v>
      </c>
      <c r="B29" s="12" t="s">
        <v>60</v>
      </c>
      <c r="C29">
        <v>86275410.029408559</v>
      </c>
      <c r="D29">
        <v>89942810.477351293</v>
      </c>
      <c r="E29">
        <v>353153.15315315401</v>
      </c>
      <c r="F29">
        <v>1634684.6846846859</v>
      </c>
      <c r="G29">
        <v>29</v>
      </c>
      <c r="H29">
        <v>59</v>
      </c>
      <c r="K29">
        <v>209</v>
      </c>
      <c r="L29">
        <v>182</v>
      </c>
      <c r="M29">
        <v>6181981.9819819834</v>
      </c>
      <c r="N29">
        <v>10303603.603603603</v>
      </c>
      <c r="O29">
        <v>50573765.765765771</v>
      </c>
      <c r="P29">
        <v>52676099.0990991</v>
      </c>
      <c r="Q29">
        <v>5773963.963963964</v>
      </c>
      <c r="R29">
        <v>10432612.612612613</v>
      </c>
      <c r="S29">
        <v>2107</v>
      </c>
      <c r="T29">
        <v>1546</v>
      </c>
    </row>
    <row r="30" spans="1:20" x14ac:dyDescent="0.35">
      <c r="A30" s="7" t="s">
        <v>91</v>
      </c>
      <c r="B30" s="12" t="s">
        <v>92</v>
      </c>
      <c r="C30">
        <v>72897726.428195924</v>
      </c>
      <c r="D30">
        <v>67203827.857679084</v>
      </c>
      <c r="E30">
        <v>2323423.423423423</v>
      </c>
      <c r="F30">
        <v>1539189.1891891891</v>
      </c>
      <c r="G30">
        <v>19</v>
      </c>
      <c r="H30">
        <v>11</v>
      </c>
      <c r="K30">
        <v>23</v>
      </c>
      <c r="L30">
        <v>12</v>
      </c>
      <c r="M30">
        <v>16568108.108108109</v>
      </c>
      <c r="N30">
        <v>20117567.567567568</v>
      </c>
      <c r="O30">
        <v>23481855.855855856</v>
      </c>
      <c r="P30">
        <v>24179531.531531531</v>
      </c>
      <c r="Q30">
        <v>16798738.738738742</v>
      </c>
      <c r="R30">
        <v>19512252.252252251</v>
      </c>
      <c r="S30">
        <v>1143</v>
      </c>
      <c r="T30">
        <v>1066</v>
      </c>
    </row>
    <row r="31" spans="1:20" x14ac:dyDescent="0.35">
      <c r="A31" s="7" t="s">
        <v>93</v>
      </c>
      <c r="B31" s="12" t="s">
        <v>94</v>
      </c>
      <c r="C31">
        <v>303136729.61462933</v>
      </c>
      <c r="D31">
        <v>314117501.73918837</v>
      </c>
      <c r="E31">
        <v>614864.86486486602</v>
      </c>
      <c r="F31">
        <v>1118553.153153155</v>
      </c>
      <c r="G31">
        <v>52</v>
      </c>
      <c r="H31">
        <v>22</v>
      </c>
      <c r="K31">
        <v>61</v>
      </c>
      <c r="L31">
        <v>28</v>
      </c>
      <c r="M31">
        <v>37155405.40540541</v>
      </c>
      <c r="N31">
        <v>43420193.693693697</v>
      </c>
      <c r="O31">
        <v>43669214.414414413</v>
      </c>
      <c r="P31">
        <v>52698669.369369365</v>
      </c>
      <c r="Q31">
        <v>31713333.333333332</v>
      </c>
      <c r="R31">
        <v>40066216.216216214</v>
      </c>
      <c r="S31">
        <v>4532</v>
      </c>
      <c r="T31">
        <v>4492</v>
      </c>
    </row>
    <row r="32" spans="1:20" x14ac:dyDescent="0.35">
      <c r="A32" s="7" t="s">
        <v>95</v>
      </c>
      <c r="B32" s="12" t="s">
        <v>96</v>
      </c>
      <c r="C32">
        <v>331987007.03908145</v>
      </c>
      <c r="D32">
        <v>336504993.37254</v>
      </c>
      <c r="E32">
        <v>2529729.7297297288</v>
      </c>
      <c r="F32">
        <v>5721223.4234234234</v>
      </c>
      <c r="G32">
        <v>77</v>
      </c>
      <c r="H32">
        <v>132</v>
      </c>
      <c r="I32">
        <v>5</v>
      </c>
      <c r="K32">
        <v>83</v>
      </c>
      <c r="L32">
        <v>151</v>
      </c>
      <c r="M32">
        <v>74662162.162162155</v>
      </c>
      <c r="N32">
        <v>60866981.981981985</v>
      </c>
      <c r="O32">
        <v>164531009.00900903</v>
      </c>
      <c r="P32">
        <v>170129684.68468466</v>
      </c>
      <c r="Q32">
        <v>60791891.891891897</v>
      </c>
      <c r="R32">
        <v>63192702.702702701</v>
      </c>
      <c r="S32">
        <v>7252</v>
      </c>
      <c r="T32">
        <v>5923</v>
      </c>
    </row>
    <row r="33" spans="1:20" x14ac:dyDescent="0.35">
      <c r="A33" s="7" t="s">
        <v>97</v>
      </c>
      <c r="B33" s="12" t="s">
        <v>98</v>
      </c>
      <c r="C33">
        <v>1160134301.5534177</v>
      </c>
      <c r="D33">
        <v>1152119055.5635951</v>
      </c>
      <c r="E33">
        <v>13471846.846846849</v>
      </c>
      <c r="F33">
        <v>13779127.027027028</v>
      </c>
      <c r="G33">
        <v>470</v>
      </c>
      <c r="H33">
        <v>356</v>
      </c>
      <c r="K33">
        <v>571</v>
      </c>
      <c r="L33">
        <v>403</v>
      </c>
      <c r="M33">
        <v>294422522.52252251</v>
      </c>
      <c r="N33">
        <v>261400182.88288289</v>
      </c>
      <c r="O33">
        <v>299757705.85585588</v>
      </c>
      <c r="P33">
        <v>316390945.94594592</v>
      </c>
      <c r="Q33">
        <v>239846126.12612611</v>
      </c>
      <c r="R33">
        <v>205537252.25225225</v>
      </c>
      <c r="S33">
        <v>27921</v>
      </c>
      <c r="T33">
        <v>22058</v>
      </c>
    </row>
    <row r="34" spans="1:20" x14ac:dyDescent="0.35">
      <c r="A34" s="7" t="s">
        <v>99</v>
      </c>
      <c r="B34" s="12" t="s">
        <v>98</v>
      </c>
      <c r="C34">
        <v>1877868105.7836962</v>
      </c>
      <c r="D34">
        <v>1875822720.3645682</v>
      </c>
      <c r="E34">
        <v>8091915.3153153211</v>
      </c>
      <c r="F34">
        <v>10495206.30630631</v>
      </c>
      <c r="G34">
        <v>590</v>
      </c>
      <c r="H34">
        <v>582</v>
      </c>
      <c r="I34">
        <v>25</v>
      </c>
      <c r="K34">
        <v>888</v>
      </c>
      <c r="L34">
        <v>733</v>
      </c>
      <c r="M34">
        <v>106104054.05405405</v>
      </c>
      <c r="N34">
        <v>309088171.17117119</v>
      </c>
      <c r="O34">
        <v>356108579.72972971</v>
      </c>
      <c r="P34">
        <v>378152592.7927928</v>
      </c>
      <c r="Q34">
        <v>103511621.62162161</v>
      </c>
      <c r="R34">
        <v>124921666.66666667</v>
      </c>
      <c r="S34">
        <v>40801</v>
      </c>
      <c r="T34">
        <v>29673</v>
      </c>
    </row>
    <row r="35" spans="1:20" x14ac:dyDescent="0.35">
      <c r="A35" s="7" t="s">
        <v>100</v>
      </c>
      <c r="B35" s="12" t="s">
        <v>98</v>
      </c>
      <c r="C35">
        <v>2476727706.6599016</v>
      </c>
      <c r="D35">
        <v>2414311414.2983913</v>
      </c>
      <c r="E35">
        <v>203120405.4054054</v>
      </c>
      <c r="F35">
        <v>337799222.52252257</v>
      </c>
      <c r="G35">
        <v>554</v>
      </c>
      <c r="H35">
        <v>455</v>
      </c>
      <c r="I35">
        <v>21</v>
      </c>
      <c r="K35">
        <v>2038</v>
      </c>
      <c r="L35">
        <v>1190</v>
      </c>
      <c r="M35">
        <v>1021712432.4324324</v>
      </c>
      <c r="N35">
        <v>318335616.21621621</v>
      </c>
      <c r="O35">
        <v>1052791604.054054</v>
      </c>
      <c r="P35">
        <v>977677230.63063061</v>
      </c>
      <c r="Q35">
        <v>347412747.74774778</v>
      </c>
      <c r="R35">
        <v>206329007.2072072</v>
      </c>
      <c r="S35">
        <v>46899</v>
      </c>
      <c r="T35">
        <v>32910</v>
      </c>
    </row>
    <row r="36" spans="1:20" x14ac:dyDescent="0.35">
      <c r="A36" s="7" t="s">
        <v>101</v>
      </c>
      <c r="B36" s="12" t="s">
        <v>98</v>
      </c>
      <c r="C36">
        <v>1082424872.3947346</v>
      </c>
      <c r="D36">
        <v>1087134019.8024938</v>
      </c>
      <c r="E36">
        <v>6571171.1711711697</v>
      </c>
      <c r="F36">
        <v>6934183.783783786</v>
      </c>
      <c r="G36">
        <v>336</v>
      </c>
      <c r="H36">
        <v>265</v>
      </c>
      <c r="I36">
        <v>7</v>
      </c>
      <c r="K36">
        <v>396</v>
      </c>
      <c r="L36">
        <v>329</v>
      </c>
      <c r="M36">
        <v>89268918.918918908</v>
      </c>
      <c r="N36">
        <v>87702863.963963971</v>
      </c>
      <c r="O36">
        <v>235822396.3963964</v>
      </c>
      <c r="P36">
        <v>243566261.26126125</v>
      </c>
      <c r="Q36">
        <v>84718018.018018022</v>
      </c>
      <c r="R36">
        <v>88099189.189189181</v>
      </c>
      <c r="S36">
        <v>30207</v>
      </c>
      <c r="T36">
        <v>21389</v>
      </c>
    </row>
    <row r="37" spans="1:20" x14ac:dyDescent="0.35">
      <c r="A37" s="7" t="s">
        <v>102</v>
      </c>
      <c r="B37" s="12" t="s">
        <v>98</v>
      </c>
      <c r="C37">
        <v>1218419331.7112477</v>
      </c>
      <c r="D37">
        <v>1242663490.3732288</v>
      </c>
      <c r="E37">
        <v>12687387.387387391</v>
      </c>
      <c r="F37">
        <v>17161659.459459461</v>
      </c>
      <c r="G37">
        <v>266</v>
      </c>
      <c r="H37">
        <v>154</v>
      </c>
      <c r="I37">
        <v>1</v>
      </c>
      <c r="K37">
        <v>349</v>
      </c>
      <c r="L37">
        <v>255</v>
      </c>
      <c r="M37">
        <v>185713513.51351351</v>
      </c>
      <c r="N37">
        <v>274794952.25225228</v>
      </c>
      <c r="O37">
        <v>353389328.82882881</v>
      </c>
      <c r="P37">
        <v>361469421.62162161</v>
      </c>
      <c r="Q37">
        <v>209511711.7117117</v>
      </c>
      <c r="R37">
        <v>224157117.11711711</v>
      </c>
      <c r="S37">
        <v>35683</v>
      </c>
      <c r="T37">
        <v>25689</v>
      </c>
    </row>
    <row r="38" spans="1:20" x14ac:dyDescent="0.35">
      <c r="A38" s="7" t="s">
        <v>103</v>
      </c>
      <c r="B38" s="12" t="s">
        <v>98</v>
      </c>
      <c r="C38">
        <v>3147878034.087512</v>
      </c>
      <c r="D38">
        <v>3127796741.3527799</v>
      </c>
      <c r="E38">
        <v>964274492.7927928</v>
      </c>
      <c r="F38">
        <v>2377760512.6126127</v>
      </c>
      <c r="G38">
        <v>955</v>
      </c>
      <c r="H38">
        <v>660</v>
      </c>
      <c r="I38">
        <v>18</v>
      </c>
      <c r="K38">
        <v>1339</v>
      </c>
      <c r="L38">
        <v>784</v>
      </c>
      <c r="M38">
        <v>349745793.6936937</v>
      </c>
      <c r="N38">
        <v>1659755266.6666667</v>
      </c>
      <c r="O38">
        <v>662583142.34234238</v>
      </c>
      <c r="P38">
        <v>680570428.82882881</v>
      </c>
      <c r="Q38">
        <v>315620630.63063061</v>
      </c>
      <c r="R38">
        <v>1410636126.1261261</v>
      </c>
      <c r="S38">
        <v>74294</v>
      </c>
      <c r="T38">
        <v>55921</v>
      </c>
    </row>
    <row r="39" spans="1:20" x14ac:dyDescent="0.35">
      <c r="A39" s="7" t="s">
        <v>104</v>
      </c>
      <c r="B39" s="12" t="s">
        <v>105</v>
      </c>
      <c r="C39">
        <v>219963412.2025767</v>
      </c>
      <c r="D39">
        <v>208631405.03797731</v>
      </c>
      <c r="E39">
        <v>1273873.8738738741</v>
      </c>
      <c r="F39">
        <v>167567.56756756801</v>
      </c>
      <c r="G39">
        <v>50</v>
      </c>
      <c r="H39">
        <v>25</v>
      </c>
      <c r="I39">
        <v>1</v>
      </c>
      <c r="K39">
        <v>52</v>
      </c>
      <c r="L39">
        <v>26</v>
      </c>
      <c r="M39">
        <v>1724324.324324324</v>
      </c>
      <c r="N39">
        <v>167567.56756756801</v>
      </c>
      <c r="O39">
        <v>47811468.468468472</v>
      </c>
      <c r="P39">
        <v>49510963.963963971</v>
      </c>
      <c r="Q39">
        <v>1200360.36036036</v>
      </c>
      <c r="R39">
        <v>358558.558558558</v>
      </c>
      <c r="S39">
        <v>2790</v>
      </c>
      <c r="T39">
        <v>2606</v>
      </c>
    </row>
    <row r="40" spans="1:20" x14ac:dyDescent="0.35">
      <c r="A40" s="7" t="s">
        <v>106</v>
      </c>
      <c r="B40" s="12" t="s">
        <v>54</v>
      </c>
      <c r="C40">
        <v>75608441.307642534</v>
      </c>
      <c r="D40">
        <v>70262914.200676277</v>
      </c>
      <c r="E40">
        <v>205405.405405406</v>
      </c>
      <c r="F40">
        <v>858558.55855855998</v>
      </c>
      <c r="G40">
        <v>40</v>
      </c>
      <c r="H40">
        <v>73</v>
      </c>
      <c r="I40">
        <v>21</v>
      </c>
      <c r="K40">
        <v>64</v>
      </c>
      <c r="L40">
        <v>80</v>
      </c>
      <c r="M40">
        <v>2668648.648648649</v>
      </c>
      <c r="N40">
        <v>24909819.819819819</v>
      </c>
      <c r="O40">
        <v>19895351.351351351</v>
      </c>
      <c r="P40">
        <v>19190882.882882886</v>
      </c>
      <c r="Q40">
        <v>2632612.612612613</v>
      </c>
      <c r="R40">
        <v>24138648.648648649</v>
      </c>
      <c r="S40">
        <v>2165</v>
      </c>
      <c r="T40">
        <v>1559</v>
      </c>
    </row>
    <row r="41" spans="1:20" x14ac:dyDescent="0.35">
      <c r="A41" s="7" t="s">
        <v>107</v>
      </c>
      <c r="B41" s="12" t="s">
        <v>108</v>
      </c>
      <c r="C41">
        <v>604789375.30038393</v>
      </c>
      <c r="D41">
        <v>630116227.79016614</v>
      </c>
      <c r="E41">
        <v>6279729.7297297316</v>
      </c>
      <c r="F41">
        <v>9520866.6666666679</v>
      </c>
      <c r="G41">
        <v>175</v>
      </c>
      <c r="H41">
        <v>149</v>
      </c>
      <c r="I41">
        <v>1</v>
      </c>
      <c r="K41">
        <v>211</v>
      </c>
      <c r="L41">
        <v>173</v>
      </c>
      <c r="M41">
        <v>88493873.873873875</v>
      </c>
      <c r="N41">
        <v>130055036.93693693</v>
      </c>
      <c r="O41">
        <v>130008972.97297297</v>
      </c>
      <c r="P41">
        <v>137797585.58558559</v>
      </c>
      <c r="Q41">
        <v>74972252.252252251</v>
      </c>
      <c r="R41">
        <v>121427117.11711712</v>
      </c>
      <c r="S41">
        <v>14065</v>
      </c>
      <c r="T41">
        <v>9782</v>
      </c>
    </row>
    <row r="42" spans="1:20" x14ac:dyDescent="0.35">
      <c r="A42" s="7" t="s">
        <v>109</v>
      </c>
      <c r="B42" s="12" t="s">
        <v>108</v>
      </c>
      <c r="C42">
        <v>857535422.74500251</v>
      </c>
      <c r="D42">
        <v>886210753.00415397</v>
      </c>
      <c r="E42">
        <v>103946743.24324325</v>
      </c>
      <c r="F42">
        <v>721073418.01801801</v>
      </c>
      <c r="G42">
        <v>326</v>
      </c>
      <c r="H42">
        <v>326</v>
      </c>
      <c r="I42">
        <v>1</v>
      </c>
      <c r="K42">
        <v>704</v>
      </c>
      <c r="L42">
        <v>612</v>
      </c>
      <c r="M42">
        <v>67497197.297297299</v>
      </c>
      <c r="N42">
        <v>616390564.86486495</v>
      </c>
      <c r="O42">
        <v>242087846.84684685</v>
      </c>
      <c r="P42">
        <v>242414792.7927928</v>
      </c>
      <c r="Q42">
        <v>191938288.2882883</v>
      </c>
      <c r="R42">
        <v>421411891.8918919</v>
      </c>
      <c r="S42">
        <v>20930</v>
      </c>
      <c r="T42">
        <v>16237</v>
      </c>
    </row>
    <row r="43" spans="1:20" x14ac:dyDescent="0.35">
      <c r="A43" s="7" t="s">
        <v>110</v>
      </c>
      <c r="B43" s="12" t="s">
        <v>111</v>
      </c>
      <c r="C43">
        <v>993420450.70024765</v>
      </c>
      <c r="D43">
        <v>1018508665.9570773</v>
      </c>
      <c r="E43">
        <v>99053063.06306307</v>
      </c>
      <c r="F43">
        <v>1039780619.8198198</v>
      </c>
      <c r="G43">
        <v>392</v>
      </c>
      <c r="H43">
        <v>311</v>
      </c>
      <c r="K43">
        <v>694</v>
      </c>
      <c r="L43">
        <v>568</v>
      </c>
      <c r="M43">
        <v>136349573.87387386</v>
      </c>
      <c r="N43">
        <v>121897542.34234233</v>
      </c>
      <c r="O43">
        <v>342686304.5045045</v>
      </c>
      <c r="P43">
        <v>368652909.9099099</v>
      </c>
      <c r="Q43">
        <v>120112115.31531531</v>
      </c>
      <c r="R43">
        <v>115519189.18918918</v>
      </c>
      <c r="S43">
        <v>28732</v>
      </c>
      <c r="T43">
        <v>18932</v>
      </c>
    </row>
    <row r="44" spans="1:20" x14ac:dyDescent="0.35">
      <c r="A44" s="7" t="s">
        <v>112</v>
      </c>
      <c r="B44" s="12" t="s">
        <v>111</v>
      </c>
      <c r="C44">
        <v>1273043815.0440171</v>
      </c>
      <c r="D44">
        <v>1305228015.7949471</v>
      </c>
      <c r="E44">
        <v>18100000</v>
      </c>
      <c r="F44">
        <v>57915292.792792797</v>
      </c>
      <c r="G44">
        <v>539</v>
      </c>
      <c r="H44">
        <v>441</v>
      </c>
      <c r="I44">
        <v>1</v>
      </c>
      <c r="K44">
        <v>995</v>
      </c>
      <c r="L44">
        <v>597</v>
      </c>
      <c r="M44">
        <v>107662715.31531531</v>
      </c>
      <c r="N44">
        <v>328989092.7927928</v>
      </c>
      <c r="O44">
        <v>468699245.94594592</v>
      </c>
      <c r="P44">
        <v>486160666.66666669</v>
      </c>
      <c r="Q44">
        <v>105738468.46846846</v>
      </c>
      <c r="R44">
        <v>364297971.17117119</v>
      </c>
      <c r="S44">
        <v>41365</v>
      </c>
      <c r="T44">
        <v>27132</v>
      </c>
    </row>
    <row r="45" spans="1:20" x14ac:dyDescent="0.35">
      <c r="A45" s="7" t="s">
        <v>113</v>
      </c>
      <c r="B45" s="12" t="s">
        <v>111</v>
      </c>
      <c r="C45">
        <v>1717444499.1151962</v>
      </c>
      <c r="D45">
        <v>894161382.59161377</v>
      </c>
      <c r="E45">
        <v>14338738.738738744</v>
      </c>
      <c r="F45">
        <v>20020924.324324328</v>
      </c>
      <c r="G45">
        <v>549</v>
      </c>
      <c r="H45">
        <v>383</v>
      </c>
      <c r="I45">
        <v>5</v>
      </c>
      <c r="K45">
        <v>947</v>
      </c>
      <c r="L45">
        <v>636</v>
      </c>
      <c r="M45">
        <v>527322177.47747749</v>
      </c>
      <c r="N45">
        <v>1165569611.7117116</v>
      </c>
      <c r="O45">
        <v>1128613277.4774776</v>
      </c>
      <c r="P45">
        <v>294741090.0900901</v>
      </c>
      <c r="Q45">
        <v>62552926.126126125</v>
      </c>
      <c r="R45">
        <v>117939639.63963963</v>
      </c>
      <c r="S45">
        <v>21968</v>
      </c>
      <c r="T45">
        <v>16296</v>
      </c>
    </row>
    <row r="46" spans="1:20" x14ac:dyDescent="0.35">
      <c r="A46" s="7" t="s">
        <v>114</v>
      </c>
      <c r="B46" s="12" t="s">
        <v>111</v>
      </c>
      <c r="C46">
        <v>1012280740.1848047</v>
      </c>
      <c r="D46">
        <v>1640545487.3903067</v>
      </c>
      <c r="E46">
        <v>15446621.621621625</v>
      </c>
      <c r="F46">
        <v>16431728.828828832</v>
      </c>
      <c r="G46">
        <v>1039</v>
      </c>
      <c r="H46">
        <v>413</v>
      </c>
      <c r="I46">
        <v>15</v>
      </c>
      <c r="K46">
        <v>2217</v>
      </c>
      <c r="L46">
        <v>747</v>
      </c>
      <c r="M46">
        <v>124151621.62162161</v>
      </c>
      <c r="N46">
        <v>393794166.66666669</v>
      </c>
      <c r="O46">
        <v>303135810.8108108</v>
      </c>
      <c r="P46">
        <v>899899018.01801801</v>
      </c>
      <c r="Q46">
        <v>113039549.54954955</v>
      </c>
      <c r="R46">
        <v>386591171.17117119</v>
      </c>
      <c r="S46">
        <v>29021</v>
      </c>
      <c r="T46">
        <v>25436</v>
      </c>
    </row>
    <row r="47" spans="1:20" x14ac:dyDescent="0.35">
      <c r="A47" s="7" t="s">
        <v>115</v>
      </c>
      <c r="B47" s="12" t="s">
        <v>111</v>
      </c>
      <c r="C47">
        <v>1279842532.3241744</v>
      </c>
      <c r="D47">
        <v>1226534521.4913409</v>
      </c>
      <c r="E47">
        <v>1701234163.963964</v>
      </c>
      <c r="F47">
        <v>2526220426.1261263</v>
      </c>
      <c r="G47">
        <v>594</v>
      </c>
      <c r="H47">
        <v>599</v>
      </c>
      <c r="I47">
        <v>1</v>
      </c>
      <c r="K47">
        <v>901</v>
      </c>
      <c r="L47">
        <v>840</v>
      </c>
      <c r="M47">
        <v>907209288.28828824</v>
      </c>
      <c r="N47">
        <v>1114160069.3693693</v>
      </c>
      <c r="O47">
        <v>394177913.06306303</v>
      </c>
      <c r="P47">
        <v>348294603.6036036</v>
      </c>
      <c r="Q47">
        <v>866169005.4054054</v>
      </c>
      <c r="R47">
        <v>517641261.26126122</v>
      </c>
      <c r="S47">
        <v>34757</v>
      </c>
      <c r="T47">
        <v>22985</v>
      </c>
    </row>
    <row r="48" spans="1:20" x14ac:dyDescent="0.35">
      <c r="A48" s="7" t="s">
        <v>116</v>
      </c>
      <c r="B48" s="12" t="s">
        <v>54</v>
      </c>
      <c r="C48">
        <v>70874720.659196511</v>
      </c>
      <c r="D48">
        <v>67583794.75891909</v>
      </c>
      <c r="E48">
        <v>1370945.945945946</v>
      </c>
      <c r="F48">
        <v>1852842.3423423429</v>
      </c>
      <c r="G48">
        <v>13</v>
      </c>
      <c r="H48">
        <v>14</v>
      </c>
      <c r="K48">
        <v>13</v>
      </c>
      <c r="L48">
        <v>17</v>
      </c>
      <c r="M48">
        <v>5583333.3333333312</v>
      </c>
      <c r="N48">
        <v>9958136.0360360369</v>
      </c>
      <c r="O48">
        <v>16983441.441441443</v>
      </c>
      <c r="P48">
        <v>16068585.585585587</v>
      </c>
      <c r="Q48">
        <v>5087927.927927928</v>
      </c>
      <c r="R48">
        <v>9543963.9639639631</v>
      </c>
      <c r="S48">
        <v>1168</v>
      </c>
      <c r="T48">
        <v>1205</v>
      </c>
    </row>
    <row r="49" spans="1:20" x14ac:dyDescent="0.35">
      <c r="A49" s="7" t="s">
        <v>118</v>
      </c>
      <c r="B49" s="12" t="s">
        <v>78</v>
      </c>
      <c r="C49">
        <v>589522387.15090382</v>
      </c>
      <c r="D49">
        <v>629215691.73969352</v>
      </c>
      <c r="E49">
        <v>417881715.31531531</v>
      </c>
      <c r="F49">
        <v>1031528694.5945946</v>
      </c>
      <c r="G49">
        <v>437</v>
      </c>
      <c r="H49">
        <v>422</v>
      </c>
      <c r="I49">
        <v>8</v>
      </c>
      <c r="K49">
        <v>625</v>
      </c>
      <c r="L49">
        <v>537</v>
      </c>
      <c r="M49">
        <v>129640540.54054055</v>
      </c>
      <c r="N49">
        <v>310343094.5945946</v>
      </c>
      <c r="O49">
        <v>237521378.82882884</v>
      </c>
      <c r="P49">
        <v>252206108.1081081</v>
      </c>
      <c r="Q49">
        <v>122011531.53153154</v>
      </c>
      <c r="R49">
        <v>306539279.27927929</v>
      </c>
      <c r="S49">
        <v>14220</v>
      </c>
      <c r="T49">
        <v>11455</v>
      </c>
    </row>
    <row r="50" spans="1:20" x14ac:dyDescent="0.35">
      <c r="A50" s="7" t="s">
        <v>119</v>
      </c>
      <c r="B50" s="12" t="s">
        <v>50</v>
      </c>
      <c r="C50">
        <v>187294223.78147259</v>
      </c>
      <c r="D50">
        <v>181900625.64733437</v>
      </c>
      <c r="E50">
        <v>581764381.08108103</v>
      </c>
      <c r="F50">
        <v>393021502.7027027</v>
      </c>
      <c r="G50">
        <v>64</v>
      </c>
      <c r="H50">
        <v>34</v>
      </c>
      <c r="K50">
        <v>71</v>
      </c>
      <c r="L50">
        <v>36</v>
      </c>
      <c r="M50">
        <v>202384684.68468466</v>
      </c>
      <c r="N50">
        <v>169596873.87387389</v>
      </c>
      <c r="O50">
        <v>67191792.792792797</v>
      </c>
      <c r="P50">
        <v>70634675.675675675</v>
      </c>
      <c r="Q50">
        <v>101449369.36936937</v>
      </c>
      <c r="R50">
        <v>55668738.738738738</v>
      </c>
      <c r="S50">
        <v>2582</v>
      </c>
      <c r="T50">
        <v>2481</v>
      </c>
    </row>
    <row r="51" spans="1:20" x14ac:dyDescent="0.35">
      <c r="A51" s="7" t="s">
        <v>120</v>
      </c>
      <c r="B51" s="12" t="s">
        <v>121</v>
      </c>
      <c r="C51">
        <v>628021957.60689783</v>
      </c>
      <c r="D51">
        <v>580499207.2747736</v>
      </c>
      <c r="E51">
        <v>5250000.0000000009</v>
      </c>
      <c r="F51">
        <v>4254255.8558558589</v>
      </c>
      <c r="G51">
        <v>243</v>
      </c>
      <c r="H51">
        <v>304</v>
      </c>
      <c r="K51">
        <v>272</v>
      </c>
      <c r="L51">
        <v>451</v>
      </c>
      <c r="M51">
        <v>24801801.801801801</v>
      </c>
      <c r="N51">
        <v>29160335.135135133</v>
      </c>
      <c r="O51">
        <v>52282603.603603609</v>
      </c>
      <c r="P51">
        <v>56850153.153153151</v>
      </c>
      <c r="Q51">
        <v>21398738.738738734</v>
      </c>
      <c r="R51">
        <v>26354324.324324321</v>
      </c>
      <c r="S51">
        <v>8866</v>
      </c>
      <c r="T51">
        <v>7955</v>
      </c>
    </row>
    <row r="52" spans="1:20" x14ac:dyDescent="0.35">
      <c r="A52" s="7" t="s">
        <v>122</v>
      </c>
      <c r="B52" s="12" t="s">
        <v>123</v>
      </c>
      <c r="C52">
        <v>323179160.5463568</v>
      </c>
      <c r="D52">
        <v>330233046.10703254</v>
      </c>
      <c r="E52">
        <v>1533558.558558559</v>
      </c>
      <c r="F52">
        <v>4117896.3963963962</v>
      </c>
      <c r="G52">
        <v>52</v>
      </c>
      <c r="H52">
        <v>36</v>
      </c>
      <c r="K52">
        <v>60</v>
      </c>
      <c r="L52">
        <v>39</v>
      </c>
      <c r="M52">
        <v>71718108.108108118</v>
      </c>
      <c r="N52">
        <v>85972394.594594598</v>
      </c>
      <c r="O52">
        <v>149303923.42342341</v>
      </c>
      <c r="P52">
        <v>150329138.73873875</v>
      </c>
      <c r="Q52">
        <v>72777387.387387395</v>
      </c>
      <c r="R52">
        <v>88906345.945945948</v>
      </c>
      <c r="S52">
        <v>4931</v>
      </c>
      <c r="T52">
        <v>4404</v>
      </c>
    </row>
    <row r="53" spans="1:20" x14ac:dyDescent="0.35">
      <c r="A53" s="7" t="s">
        <v>124</v>
      </c>
      <c r="B53" s="12" t="s">
        <v>125</v>
      </c>
      <c r="C53">
        <v>428905912.92247534</v>
      </c>
      <c r="D53">
        <v>438607857.22297722</v>
      </c>
      <c r="E53">
        <v>64178179.279279277</v>
      </c>
      <c r="F53">
        <v>48999900</v>
      </c>
      <c r="G53">
        <v>113</v>
      </c>
      <c r="H53">
        <v>83</v>
      </c>
      <c r="K53">
        <v>173</v>
      </c>
      <c r="L53">
        <v>97</v>
      </c>
      <c r="M53">
        <v>122809009.009009</v>
      </c>
      <c r="N53">
        <v>116534633.33333333</v>
      </c>
      <c r="O53">
        <v>131223778.37837839</v>
      </c>
      <c r="P53">
        <v>139002805.4054054</v>
      </c>
      <c r="Q53">
        <v>115993693.6936937</v>
      </c>
      <c r="R53">
        <v>113292342.34234233</v>
      </c>
      <c r="S53">
        <v>6807</v>
      </c>
      <c r="T53">
        <v>6459</v>
      </c>
    </row>
    <row r="54" spans="1:20" x14ac:dyDescent="0.35">
      <c r="A54" s="7" t="s">
        <v>126</v>
      </c>
      <c r="B54" s="12" t="s">
        <v>78</v>
      </c>
      <c r="C54">
        <v>286294565.96124303</v>
      </c>
      <c r="D54">
        <v>276711254.65069228</v>
      </c>
      <c r="E54">
        <v>7319819.819819822</v>
      </c>
      <c r="F54">
        <v>7315812.6126126144</v>
      </c>
      <c r="G54">
        <v>94</v>
      </c>
      <c r="H54">
        <v>63</v>
      </c>
      <c r="I54">
        <v>1</v>
      </c>
      <c r="K54">
        <v>103</v>
      </c>
      <c r="L54">
        <v>66</v>
      </c>
      <c r="M54">
        <v>55364864.864864863</v>
      </c>
      <c r="N54">
        <v>62691940.540540546</v>
      </c>
      <c r="O54">
        <v>116611207.2072072</v>
      </c>
      <c r="P54">
        <v>113361990.990991</v>
      </c>
      <c r="Q54">
        <v>48837567.567567565</v>
      </c>
      <c r="R54">
        <v>59814234.234234229</v>
      </c>
      <c r="S54">
        <v>5212</v>
      </c>
      <c r="T54">
        <v>4976</v>
      </c>
    </row>
    <row r="55" spans="1:20" x14ac:dyDescent="0.35">
      <c r="A55" s="7" t="s">
        <v>127</v>
      </c>
      <c r="B55" s="12" t="s">
        <v>78</v>
      </c>
      <c r="C55">
        <v>47578202.206187502</v>
      </c>
      <c r="D55">
        <v>47581350.635085806</v>
      </c>
      <c r="E55">
        <v>1347747.7477477479</v>
      </c>
      <c r="F55">
        <v>1080338.7387387389</v>
      </c>
      <c r="G55">
        <v>17</v>
      </c>
      <c r="H55">
        <v>10</v>
      </c>
      <c r="K55">
        <v>21</v>
      </c>
      <c r="L55">
        <v>11</v>
      </c>
      <c r="M55">
        <v>19230630.630630631</v>
      </c>
      <c r="N55">
        <v>21351565.765765768</v>
      </c>
      <c r="O55">
        <v>27419324.324324325</v>
      </c>
      <c r="P55">
        <v>25651657.657657657</v>
      </c>
      <c r="Q55">
        <v>21315045.045045044</v>
      </c>
      <c r="R55">
        <v>16412162.162162161</v>
      </c>
      <c r="S55">
        <v>1437</v>
      </c>
      <c r="T55">
        <v>1256</v>
      </c>
    </row>
    <row r="56" spans="1:20" x14ac:dyDescent="0.35">
      <c r="A56" s="7" t="s">
        <v>128</v>
      </c>
      <c r="B56" s="12" t="s">
        <v>78</v>
      </c>
      <c r="C56">
        <v>273152795.93034649</v>
      </c>
      <c r="D56">
        <v>274505609.70897019</v>
      </c>
      <c r="E56">
        <v>4053828.8288288331</v>
      </c>
      <c r="F56">
        <v>4354054.0540540554</v>
      </c>
      <c r="G56">
        <v>219</v>
      </c>
      <c r="H56">
        <v>93</v>
      </c>
      <c r="K56">
        <v>247</v>
      </c>
      <c r="L56">
        <v>150</v>
      </c>
      <c r="M56">
        <v>35445045.045045048</v>
      </c>
      <c r="N56">
        <v>47265315.315315321</v>
      </c>
      <c r="O56">
        <v>103573646.84684685</v>
      </c>
      <c r="P56">
        <v>110500099.0990991</v>
      </c>
      <c r="Q56">
        <v>33366756.756756756</v>
      </c>
      <c r="R56">
        <v>46339729.729729727</v>
      </c>
      <c r="S56">
        <v>6252</v>
      </c>
      <c r="T56">
        <v>5912</v>
      </c>
    </row>
    <row r="57" spans="1:20" x14ac:dyDescent="0.35">
      <c r="A57" s="7" t="s">
        <v>666</v>
      </c>
      <c r="B57" s="12" t="s">
        <v>94</v>
      </c>
      <c r="E57">
        <v>68783333.333333343</v>
      </c>
      <c r="F57">
        <v>93378378.378378391</v>
      </c>
      <c r="M57">
        <v>13725675.675675675</v>
      </c>
      <c r="N57">
        <v>5967567.5675675683</v>
      </c>
    </row>
    <row r="58" spans="1:20" x14ac:dyDescent="0.35">
      <c r="A58" s="7" t="s">
        <v>129</v>
      </c>
      <c r="B58" s="12" t="s">
        <v>85</v>
      </c>
      <c r="C58">
        <v>80842025.490672946</v>
      </c>
      <c r="D58">
        <v>84120750.172893003</v>
      </c>
      <c r="E58">
        <v>136227927.92792794</v>
      </c>
      <c r="F58">
        <v>299583517.11711711</v>
      </c>
      <c r="G58">
        <v>16</v>
      </c>
      <c r="H58">
        <v>59</v>
      </c>
      <c r="K58">
        <v>18</v>
      </c>
      <c r="L58">
        <v>62</v>
      </c>
      <c r="M58">
        <v>95309639.639639646</v>
      </c>
      <c r="N58">
        <v>85209463.063063055</v>
      </c>
      <c r="O58">
        <v>37410027.027027026</v>
      </c>
      <c r="P58">
        <v>46194090.090090089</v>
      </c>
      <c r="Q58">
        <v>76545045.045045033</v>
      </c>
      <c r="R58">
        <v>72389909.909909904</v>
      </c>
      <c r="S58">
        <v>1397</v>
      </c>
      <c r="T58">
        <v>1200</v>
      </c>
    </row>
    <row r="59" spans="1:20" x14ac:dyDescent="0.35">
      <c r="A59" s="7" t="s">
        <v>130</v>
      </c>
      <c r="B59" s="12" t="s">
        <v>89</v>
      </c>
      <c r="C59">
        <v>747985733.18717146</v>
      </c>
      <c r="D59">
        <v>734188124.30021095</v>
      </c>
      <c r="E59">
        <v>5232882.8828828894</v>
      </c>
      <c r="F59">
        <v>10976673.87387388</v>
      </c>
      <c r="G59">
        <v>91</v>
      </c>
      <c r="H59">
        <v>122</v>
      </c>
      <c r="K59">
        <v>122</v>
      </c>
      <c r="L59">
        <v>150</v>
      </c>
      <c r="M59">
        <v>78185045.045045033</v>
      </c>
      <c r="N59">
        <v>88617618.018018022</v>
      </c>
      <c r="O59">
        <v>232281158.55855855</v>
      </c>
      <c r="P59">
        <v>236690000</v>
      </c>
      <c r="Q59">
        <v>74540176.576576576</v>
      </c>
      <c r="R59">
        <v>85493333.333333328</v>
      </c>
      <c r="S59">
        <v>12665</v>
      </c>
      <c r="T59">
        <v>10634</v>
      </c>
    </row>
    <row r="60" spans="1:20" x14ac:dyDescent="0.35">
      <c r="A60" s="7" t="s">
        <v>131</v>
      </c>
      <c r="B60" s="12" t="s">
        <v>132</v>
      </c>
      <c r="C60">
        <v>411584824.9765681</v>
      </c>
      <c r="D60">
        <v>391419439.04434669</v>
      </c>
      <c r="E60">
        <v>56998177.477477483</v>
      </c>
      <c r="F60">
        <v>86216414.414414421</v>
      </c>
      <c r="G60">
        <v>231</v>
      </c>
      <c r="H60">
        <v>164</v>
      </c>
      <c r="K60">
        <v>241</v>
      </c>
      <c r="L60">
        <v>174</v>
      </c>
      <c r="M60">
        <v>45833333.333333336</v>
      </c>
      <c r="N60">
        <v>74991945.945945948</v>
      </c>
      <c r="O60">
        <v>129417050</v>
      </c>
      <c r="P60">
        <v>130625252.25225225</v>
      </c>
      <c r="Q60">
        <v>36426666.666666672</v>
      </c>
      <c r="R60">
        <v>58820810.810810804</v>
      </c>
      <c r="S60">
        <v>6821</v>
      </c>
      <c r="T60">
        <v>7299</v>
      </c>
    </row>
    <row r="61" spans="1:20" x14ac:dyDescent="0.35">
      <c r="A61" s="7" t="s">
        <v>133</v>
      </c>
      <c r="B61" s="12" t="s">
        <v>134</v>
      </c>
      <c r="C61">
        <v>49286462.817100197</v>
      </c>
      <c r="D61">
        <v>65515426.742285497</v>
      </c>
      <c r="G61">
        <v>3</v>
      </c>
      <c r="H61">
        <v>4</v>
      </c>
      <c r="K61">
        <v>3</v>
      </c>
      <c r="L61">
        <v>6</v>
      </c>
      <c r="O61">
        <v>7466475.6756756762</v>
      </c>
      <c r="P61">
        <v>10468117.117117116</v>
      </c>
      <c r="S61">
        <v>2348</v>
      </c>
      <c r="T61">
        <v>2150</v>
      </c>
    </row>
    <row r="62" spans="1:20" x14ac:dyDescent="0.35">
      <c r="A62" s="7" t="s">
        <v>135</v>
      </c>
      <c r="B62" s="12" t="s">
        <v>136</v>
      </c>
      <c r="C62">
        <v>330475590.1210326</v>
      </c>
      <c r="D62">
        <v>327596607.07989103</v>
      </c>
      <c r="E62">
        <v>1210810.8108108139</v>
      </c>
      <c r="F62">
        <v>2214899.099099101</v>
      </c>
      <c r="G62">
        <v>89</v>
      </c>
      <c r="H62">
        <v>74</v>
      </c>
      <c r="I62">
        <v>4</v>
      </c>
      <c r="K62">
        <v>92</v>
      </c>
      <c r="L62">
        <v>78</v>
      </c>
      <c r="M62">
        <v>27291891.891891893</v>
      </c>
      <c r="N62">
        <v>34306823.423423424</v>
      </c>
      <c r="O62">
        <v>50574477.477477483</v>
      </c>
      <c r="P62">
        <v>58564088.288288288</v>
      </c>
      <c r="Q62">
        <v>23835495.495495494</v>
      </c>
      <c r="R62">
        <v>28145315.315315317</v>
      </c>
      <c r="S62">
        <v>3912</v>
      </c>
      <c r="T62">
        <v>3492</v>
      </c>
    </row>
    <row r="63" spans="1:20" x14ac:dyDescent="0.35">
      <c r="A63" s="7" t="s">
        <v>137</v>
      </c>
      <c r="B63" s="12" t="s">
        <v>89</v>
      </c>
      <c r="C63">
        <v>370351051.32302326</v>
      </c>
      <c r="D63">
        <v>375811804.09218836</v>
      </c>
      <c r="E63">
        <v>5074549.5495495535</v>
      </c>
      <c r="F63">
        <v>7265502.7027027039</v>
      </c>
      <c r="G63">
        <v>136</v>
      </c>
      <c r="H63">
        <v>51</v>
      </c>
      <c r="I63">
        <v>10</v>
      </c>
      <c r="K63">
        <v>300</v>
      </c>
      <c r="L63">
        <v>113</v>
      </c>
      <c r="M63">
        <v>64583333.333333328</v>
      </c>
      <c r="N63">
        <v>94141841.441441447</v>
      </c>
      <c r="O63">
        <v>132507439.63963963</v>
      </c>
      <c r="P63">
        <v>137167477.47747746</v>
      </c>
      <c r="Q63">
        <v>58157387.387387395</v>
      </c>
      <c r="R63">
        <v>96246666.666666672</v>
      </c>
      <c r="S63">
        <v>5018</v>
      </c>
      <c r="T63">
        <v>4813</v>
      </c>
    </row>
    <row r="64" spans="1:20" x14ac:dyDescent="0.35">
      <c r="A64" s="7" t="s">
        <v>138</v>
      </c>
      <c r="B64" s="12" t="s">
        <v>78</v>
      </c>
      <c r="C64">
        <v>265503445.42033237</v>
      </c>
      <c r="D64">
        <v>266243627.87875465</v>
      </c>
      <c r="E64">
        <v>7121621.6216216218</v>
      </c>
      <c r="F64">
        <v>7807763.0630630637</v>
      </c>
      <c r="G64">
        <v>319</v>
      </c>
      <c r="H64">
        <v>124</v>
      </c>
      <c r="I64">
        <v>13</v>
      </c>
      <c r="K64">
        <v>350</v>
      </c>
      <c r="L64">
        <v>132</v>
      </c>
      <c r="M64">
        <v>36770270.270270273</v>
      </c>
      <c r="N64">
        <v>48200135.135135137</v>
      </c>
      <c r="O64">
        <v>114114074.32432432</v>
      </c>
      <c r="P64">
        <v>116205720.72072072</v>
      </c>
      <c r="Q64">
        <v>36618828.828828834</v>
      </c>
      <c r="R64">
        <v>43855135.135135137</v>
      </c>
      <c r="S64">
        <v>5897</v>
      </c>
      <c r="T64">
        <v>5206</v>
      </c>
    </row>
    <row r="65" spans="1:20" x14ac:dyDescent="0.35">
      <c r="A65" s="7" t="s">
        <v>139</v>
      </c>
      <c r="B65" s="12" t="s">
        <v>140</v>
      </c>
      <c r="C65">
        <v>367223014.85316169</v>
      </c>
      <c r="D65">
        <v>398708463.91166323</v>
      </c>
      <c r="E65">
        <v>113797747.74774775</v>
      </c>
      <c r="F65">
        <v>175305320.72072071</v>
      </c>
      <c r="G65">
        <v>30</v>
      </c>
      <c r="H65">
        <v>20</v>
      </c>
      <c r="K65">
        <v>32</v>
      </c>
      <c r="L65">
        <v>35</v>
      </c>
      <c r="M65">
        <v>39582252.252252258</v>
      </c>
      <c r="N65">
        <v>40378523.423423424</v>
      </c>
      <c r="O65">
        <v>64405216.216216214</v>
      </c>
      <c r="P65">
        <v>71775174.774774775</v>
      </c>
      <c r="Q65">
        <v>30187207.207207207</v>
      </c>
      <c r="R65">
        <v>32007207.207207207</v>
      </c>
      <c r="S65">
        <v>4891</v>
      </c>
      <c r="T65">
        <v>4835</v>
      </c>
    </row>
    <row r="66" spans="1:20" x14ac:dyDescent="0.35">
      <c r="A66" s="7" t="s">
        <v>141</v>
      </c>
      <c r="B66" s="12" t="s">
        <v>62</v>
      </c>
      <c r="C66">
        <v>242509257.72388372</v>
      </c>
      <c r="D66">
        <v>254437479.66622838</v>
      </c>
      <c r="E66">
        <v>3663938.738738738</v>
      </c>
      <c r="F66">
        <v>10200196.396396397</v>
      </c>
      <c r="G66">
        <v>152</v>
      </c>
      <c r="H66">
        <v>57</v>
      </c>
      <c r="I66">
        <v>5</v>
      </c>
      <c r="K66">
        <v>171</v>
      </c>
      <c r="L66">
        <v>87</v>
      </c>
      <c r="M66">
        <v>125569091.89189188</v>
      </c>
      <c r="N66">
        <v>273279737.83783782</v>
      </c>
      <c r="O66">
        <v>53588594.59459459</v>
      </c>
      <c r="P66">
        <v>58035270.270270273</v>
      </c>
      <c r="Q66">
        <v>127860990.990991</v>
      </c>
      <c r="R66">
        <v>278371711.7117117</v>
      </c>
      <c r="S66">
        <v>4421</v>
      </c>
      <c r="T66">
        <v>3917</v>
      </c>
    </row>
    <row r="67" spans="1:20" x14ac:dyDescent="0.35">
      <c r="A67" s="7" t="s">
        <v>142</v>
      </c>
      <c r="B67" s="12" t="s">
        <v>143</v>
      </c>
      <c r="C67">
        <v>2621863.1984872702</v>
      </c>
      <c r="D67">
        <v>2583392.6918568732</v>
      </c>
      <c r="G67">
        <v>1</v>
      </c>
      <c r="K67">
        <v>1</v>
      </c>
      <c r="O67">
        <v>164504.50450450499</v>
      </c>
      <c r="P67">
        <v>284279.279279279</v>
      </c>
      <c r="S67">
        <v>319</v>
      </c>
      <c r="T67">
        <v>132</v>
      </c>
    </row>
    <row r="68" spans="1:20" x14ac:dyDescent="0.35">
      <c r="A68" s="7" t="s">
        <v>144</v>
      </c>
      <c r="B68" s="12" t="s">
        <v>140</v>
      </c>
      <c r="C68">
        <v>517532682.19812989</v>
      </c>
      <c r="D68">
        <v>521348470.20933771</v>
      </c>
      <c r="E68">
        <v>3513063.0630630641</v>
      </c>
      <c r="F68">
        <v>4189154.0540540549</v>
      </c>
      <c r="G68">
        <v>134</v>
      </c>
      <c r="H68">
        <v>72</v>
      </c>
      <c r="K68">
        <v>152</v>
      </c>
      <c r="L68">
        <v>87</v>
      </c>
      <c r="M68">
        <v>57879639.639639638</v>
      </c>
      <c r="N68">
        <v>67846179.279279277</v>
      </c>
      <c r="O68">
        <v>96461189.189189181</v>
      </c>
      <c r="P68">
        <v>102842414.41441442</v>
      </c>
      <c r="Q68">
        <v>55321621.621621616</v>
      </c>
      <c r="R68">
        <v>65822522.522522517</v>
      </c>
      <c r="S68">
        <v>8076</v>
      </c>
      <c r="T68">
        <v>7595</v>
      </c>
    </row>
    <row r="69" spans="1:20" x14ac:dyDescent="0.35">
      <c r="A69" s="7" t="s">
        <v>145</v>
      </c>
      <c r="B69" s="12" t="s">
        <v>78</v>
      </c>
      <c r="C69">
        <v>370605509.6411612</v>
      </c>
      <c r="D69">
        <v>372319329.22245938</v>
      </c>
      <c r="E69">
        <v>4729729.7297297316</v>
      </c>
      <c r="F69">
        <v>5313854.0540540554</v>
      </c>
      <c r="G69">
        <v>110</v>
      </c>
      <c r="H69">
        <v>112</v>
      </c>
      <c r="K69">
        <v>122</v>
      </c>
      <c r="L69">
        <v>123</v>
      </c>
      <c r="M69">
        <v>35859459.459459461</v>
      </c>
      <c r="N69">
        <v>45308750.45045045</v>
      </c>
      <c r="O69">
        <v>104812738.73873873</v>
      </c>
      <c r="P69">
        <v>108972502.7027027</v>
      </c>
      <c r="Q69">
        <v>35824054.054054052</v>
      </c>
      <c r="R69">
        <v>40816666.666666664</v>
      </c>
      <c r="S69">
        <v>6758</v>
      </c>
      <c r="T69">
        <v>6382</v>
      </c>
    </row>
    <row r="70" spans="1:20" x14ac:dyDescent="0.35">
      <c r="A70" s="7" t="s">
        <v>146</v>
      </c>
      <c r="B70" s="12" t="s">
        <v>147</v>
      </c>
      <c r="C70">
        <v>243125395.38894463</v>
      </c>
      <c r="D70">
        <v>235631681.95319089</v>
      </c>
      <c r="E70">
        <v>5521621.6216216236</v>
      </c>
      <c r="F70">
        <v>4620659.4594594631</v>
      </c>
      <c r="G70">
        <v>52</v>
      </c>
      <c r="H70">
        <v>35</v>
      </c>
      <c r="K70">
        <v>54</v>
      </c>
      <c r="L70">
        <v>37</v>
      </c>
      <c r="M70">
        <v>88778912.612612605</v>
      </c>
      <c r="N70">
        <v>82102401.801801801</v>
      </c>
      <c r="O70">
        <v>76169072.072072059</v>
      </c>
      <c r="P70">
        <v>76089935.135135129</v>
      </c>
      <c r="Q70">
        <v>86244054.054054052</v>
      </c>
      <c r="R70">
        <v>80329099.0990991</v>
      </c>
      <c r="S70">
        <v>4259</v>
      </c>
      <c r="T70">
        <v>3872</v>
      </c>
    </row>
    <row r="71" spans="1:20" x14ac:dyDescent="0.35">
      <c r="A71" s="7" t="s">
        <v>148</v>
      </c>
      <c r="B71" s="12" t="s">
        <v>94</v>
      </c>
      <c r="C71">
        <v>17.531949365999999</v>
      </c>
      <c r="D71">
        <v>43.232840234000001</v>
      </c>
    </row>
    <row r="72" spans="1:20" x14ac:dyDescent="0.35">
      <c r="A72" s="7" t="s">
        <v>149</v>
      </c>
      <c r="B72" s="12" t="s">
        <v>50</v>
      </c>
      <c r="C72">
        <v>216196997.8112112</v>
      </c>
      <c r="D72">
        <v>214704386.13190943</v>
      </c>
      <c r="E72">
        <v>924324.32432432496</v>
      </c>
      <c r="F72">
        <v>1511393.6936936961</v>
      </c>
      <c r="G72">
        <v>66</v>
      </c>
      <c r="H72">
        <v>36</v>
      </c>
      <c r="I72">
        <v>1</v>
      </c>
      <c r="K72">
        <v>68</v>
      </c>
      <c r="L72">
        <v>40</v>
      </c>
      <c r="M72">
        <v>13378828.82882883</v>
      </c>
      <c r="N72">
        <v>120019599.0990991</v>
      </c>
      <c r="O72">
        <v>95528468.468468457</v>
      </c>
      <c r="P72">
        <v>98199126.126126125</v>
      </c>
      <c r="Q72">
        <v>12657387.387387387</v>
      </c>
      <c r="R72">
        <v>118779549.54954955</v>
      </c>
      <c r="S72">
        <v>3582</v>
      </c>
      <c r="T72">
        <v>3446</v>
      </c>
    </row>
    <row r="73" spans="1:20" x14ac:dyDescent="0.35">
      <c r="A73" s="7" t="s">
        <v>150</v>
      </c>
      <c r="B73" s="12" t="s">
        <v>151</v>
      </c>
      <c r="C73">
        <v>65728300.366144642</v>
      </c>
      <c r="D73">
        <v>60662032.941634886</v>
      </c>
      <c r="E73">
        <v>900900.90090090199</v>
      </c>
      <c r="F73">
        <v>504504.50450450502</v>
      </c>
      <c r="G73">
        <v>12</v>
      </c>
      <c r="H73">
        <v>7</v>
      </c>
      <c r="K73">
        <v>14</v>
      </c>
      <c r="L73">
        <v>7</v>
      </c>
      <c r="M73">
        <v>48828828.828828834</v>
      </c>
      <c r="N73">
        <v>55702702.702702701</v>
      </c>
      <c r="O73">
        <v>18377963.963963963</v>
      </c>
      <c r="P73">
        <v>17266972.97297297</v>
      </c>
      <c r="Q73">
        <v>28027387.387387387</v>
      </c>
      <c r="R73">
        <v>33655315.315315314</v>
      </c>
      <c r="S73">
        <v>880</v>
      </c>
      <c r="T73">
        <v>865</v>
      </c>
    </row>
    <row r="74" spans="1:20" x14ac:dyDescent="0.35">
      <c r="A74" s="7" t="s">
        <v>152</v>
      </c>
      <c r="B74" s="12" t="s">
        <v>151</v>
      </c>
      <c r="C74">
        <v>639264219.34582925</v>
      </c>
      <c r="D74">
        <v>616771753.13054955</v>
      </c>
      <c r="E74">
        <v>842103120.72072077</v>
      </c>
      <c r="F74">
        <v>575715633.33333325</v>
      </c>
      <c r="G74">
        <v>423</v>
      </c>
      <c r="H74">
        <v>233</v>
      </c>
      <c r="I74">
        <v>2</v>
      </c>
      <c r="K74">
        <v>440</v>
      </c>
      <c r="L74">
        <v>273</v>
      </c>
      <c r="M74">
        <v>486131153.15315318</v>
      </c>
      <c r="N74">
        <v>458281869.36936933</v>
      </c>
      <c r="O74">
        <v>228581297.29729727</v>
      </c>
      <c r="P74">
        <v>223599747.74774775</v>
      </c>
      <c r="Q74">
        <v>353129942.34234232</v>
      </c>
      <c r="R74">
        <v>348592609.009009</v>
      </c>
      <c r="S74">
        <v>8702</v>
      </c>
      <c r="T74">
        <v>7899</v>
      </c>
    </row>
    <row r="75" spans="1:20" x14ac:dyDescent="0.35">
      <c r="A75" s="7" t="s">
        <v>153</v>
      </c>
      <c r="B75" s="12" t="s">
        <v>154</v>
      </c>
      <c r="C75">
        <v>534024082.88299561</v>
      </c>
      <c r="D75">
        <v>525374593.63816053</v>
      </c>
      <c r="E75">
        <v>373263560.36036038</v>
      </c>
      <c r="F75">
        <v>421950727.02702701</v>
      </c>
      <c r="G75">
        <v>73</v>
      </c>
      <c r="H75">
        <v>56</v>
      </c>
      <c r="K75">
        <v>81</v>
      </c>
      <c r="L75">
        <v>61</v>
      </c>
      <c r="M75">
        <v>134007207.2072072</v>
      </c>
      <c r="N75">
        <v>132172742.34234233</v>
      </c>
      <c r="O75">
        <v>230050828.82882884</v>
      </c>
      <c r="P75">
        <v>236174702.7027027</v>
      </c>
      <c r="Q75">
        <v>101077387.38738739</v>
      </c>
      <c r="R75">
        <v>101467747.74774775</v>
      </c>
      <c r="S75">
        <v>7986</v>
      </c>
      <c r="T75">
        <v>7167</v>
      </c>
    </row>
    <row r="76" spans="1:20" x14ac:dyDescent="0.35">
      <c r="A76" s="7" t="s">
        <v>155</v>
      </c>
      <c r="B76" s="12" t="s">
        <v>154</v>
      </c>
      <c r="C76">
        <v>57328688.956177808</v>
      </c>
      <c r="D76">
        <v>65964693.422821879</v>
      </c>
      <c r="E76">
        <v>244144.144144144</v>
      </c>
      <c r="F76">
        <v>2552027.0270270272</v>
      </c>
      <c r="G76">
        <v>16</v>
      </c>
      <c r="H76">
        <v>9</v>
      </c>
      <c r="K76">
        <v>19</v>
      </c>
      <c r="L76">
        <v>9</v>
      </c>
      <c r="M76">
        <v>5353153.1531531531</v>
      </c>
      <c r="N76">
        <v>34606306.30630631</v>
      </c>
      <c r="O76">
        <v>14887738.73873874</v>
      </c>
      <c r="P76">
        <v>19571747.747747749</v>
      </c>
      <c r="Q76">
        <v>4678018.0180180185</v>
      </c>
      <c r="R76">
        <v>35870900.9009009</v>
      </c>
      <c r="S76">
        <v>2131</v>
      </c>
      <c r="T76">
        <v>1944</v>
      </c>
    </row>
    <row r="77" spans="1:20" x14ac:dyDescent="0.35">
      <c r="A77" s="7" t="s">
        <v>156</v>
      </c>
      <c r="B77" s="12" t="s">
        <v>154</v>
      </c>
      <c r="C77">
        <v>630765279.85467136</v>
      </c>
      <c r="D77">
        <v>598702999.30710101</v>
      </c>
      <c r="E77">
        <v>5465990.9909909926</v>
      </c>
      <c r="F77">
        <v>15499008.108108113</v>
      </c>
      <c r="G77">
        <v>75</v>
      </c>
      <c r="H77">
        <v>75</v>
      </c>
      <c r="K77">
        <v>161</v>
      </c>
      <c r="L77">
        <v>221</v>
      </c>
      <c r="M77">
        <v>197343243.24324322</v>
      </c>
      <c r="N77">
        <v>245213881.08108109</v>
      </c>
      <c r="O77">
        <v>244038666.66666666</v>
      </c>
      <c r="P77">
        <v>254691351.35135135</v>
      </c>
      <c r="Q77">
        <v>209969459.45945945</v>
      </c>
      <c r="R77">
        <v>222658378.37837836</v>
      </c>
      <c r="S77">
        <v>8238</v>
      </c>
      <c r="T77">
        <v>7926</v>
      </c>
    </row>
    <row r="78" spans="1:20" x14ac:dyDescent="0.35">
      <c r="A78" s="7" t="s">
        <v>157</v>
      </c>
      <c r="B78" s="12" t="s">
        <v>134</v>
      </c>
      <c r="C78">
        <v>286828830.22561067</v>
      </c>
      <c r="D78">
        <v>274643018.23186481</v>
      </c>
      <c r="E78">
        <v>1407207.207207209</v>
      </c>
      <c r="F78">
        <v>3071000.0000000028</v>
      </c>
      <c r="G78">
        <v>56</v>
      </c>
      <c r="H78">
        <v>63</v>
      </c>
      <c r="K78">
        <v>60</v>
      </c>
      <c r="L78">
        <v>104</v>
      </c>
      <c r="M78">
        <v>34690999.0990991</v>
      </c>
      <c r="N78">
        <v>30117553.153153151</v>
      </c>
      <c r="O78">
        <v>28149360.360360362</v>
      </c>
      <c r="P78">
        <v>29960522.522522524</v>
      </c>
      <c r="Q78">
        <v>17494504.504504506</v>
      </c>
      <c r="R78">
        <v>17357927.927927926</v>
      </c>
      <c r="S78">
        <v>4886</v>
      </c>
      <c r="T78">
        <v>5308</v>
      </c>
    </row>
    <row r="79" spans="1:20" x14ac:dyDescent="0.35">
      <c r="A79" s="7" t="s">
        <v>1</v>
      </c>
      <c r="B79" s="12" t="s">
        <v>158</v>
      </c>
      <c r="C79">
        <v>515379129.96050423</v>
      </c>
      <c r="D79">
        <v>510028495.30856544</v>
      </c>
      <c r="E79">
        <v>5206306.3063063044</v>
      </c>
      <c r="F79">
        <v>8936545.9459459446</v>
      </c>
      <c r="G79">
        <v>367</v>
      </c>
      <c r="H79">
        <v>142</v>
      </c>
      <c r="I79">
        <v>1</v>
      </c>
      <c r="K79">
        <v>534</v>
      </c>
      <c r="L79">
        <v>488</v>
      </c>
      <c r="M79">
        <v>62274684.684684679</v>
      </c>
      <c r="N79">
        <v>204066018.01801801</v>
      </c>
      <c r="O79">
        <v>245843405.4054054</v>
      </c>
      <c r="P79">
        <v>251169441.44144145</v>
      </c>
      <c r="Q79">
        <v>58132522.522522517</v>
      </c>
      <c r="R79">
        <v>205267567.56756756</v>
      </c>
      <c r="S79">
        <v>9583</v>
      </c>
      <c r="T79">
        <v>7724</v>
      </c>
    </row>
    <row r="80" spans="1:20" x14ac:dyDescent="0.35">
      <c r="A80" s="7" t="s">
        <v>159</v>
      </c>
      <c r="B80" s="12" t="s">
        <v>121</v>
      </c>
      <c r="C80">
        <v>19231445.991329487</v>
      </c>
      <c r="D80">
        <v>16587201.142960828</v>
      </c>
      <c r="G80">
        <v>8</v>
      </c>
      <c r="H80">
        <v>12</v>
      </c>
      <c r="K80">
        <v>8</v>
      </c>
      <c r="L80">
        <v>13</v>
      </c>
      <c r="O80">
        <v>1791036.036036036</v>
      </c>
      <c r="P80">
        <v>1963153.1531531529</v>
      </c>
      <c r="Q80">
        <v>96396.396396395998</v>
      </c>
      <c r="R80">
        <v>116216.21621621599</v>
      </c>
      <c r="S80">
        <v>636</v>
      </c>
      <c r="T80">
        <v>476</v>
      </c>
    </row>
    <row r="81" spans="1:20" x14ac:dyDescent="0.35">
      <c r="A81" s="7" t="s">
        <v>160</v>
      </c>
      <c r="B81" s="12" t="s">
        <v>161</v>
      </c>
      <c r="C81">
        <v>273038801.87612534</v>
      </c>
      <c r="D81">
        <v>284316866.06430894</v>
      </c>
      <c r="E81">
        <v>7407207.2072072113</v>
      </c>
      <c r="F81">
        <v>6909084.6846846975</v>
      </c>
      <c r="G81">
        <v>196</v>
      </c>
      <c r="H81">
        <v>336</v>
      </c>
      <c r="I81">
        <v>1</v>
      </c>
      <c r="K81">
        <v>320</v>
      </c>
      <c r="L81">
        <v>530</v>
      </c>
      <c r="M81">
        <v>130426447.74774775</v>
      </c>
      <c r="N81">
        <v>129974847.74774775</v>
      </c>
      <c r="O81">
        <v>118844666.66666667</v>
      </c>
      <c r="P81">
        <v>126193340.54054055</v>
      </c>
      <c r="Q81">
        <v>123252432.43243243</v>
      </c>
      <c r="R81">
        <v>128206531.53153154</v>
      </c>
      <c r="S81">
        <v>15889</v>
      </c>
      <c r="T81">
        <v>7353</v>
      </c>
    </row>
    <row r="82" spans="1:20" x14ac:dyDescent="0.35">
      <c r="A82" s="7" t="s">
        <v>162</v>
      </c>
      <c r="B82" s="12" t="s">
        <v>76</v>
      </c>
      <c r="C82">
        <v>122937031.89847398</v>
      </c>
      <c r="D82">
        <v>128494377.59238482</v>
      </c>
      <c r="E82">
        <v>507207.20720720798</v>
      </c>
      <c r="F82">
        <v>229729.72972973</v>
      </c>
      <c r="G82">
        <v>51</v>
      </c>
      <c r="H82">
        <v>18</v>
      </c>
      <c r="K82">
        <v>55</v>
      </c>
      <c r="L82">
        <v>19</v>
      </c>
      <c r="M82">
        <v>1831531.5315315321</v>
      </c>
      <c r="N82">
        <v>1755855.8558558561</v>
      </c>
      <c r="O82">
        <v>6904531.5315315323</v>
      </c>
      <c r="P82">
        <v>6392756.7567567574</v>
      </c>
      <c r="Q82">
        <v>1703693.693693694</v>
      </c>
      <c r="R82">
        <v>1888738.738738738</v>
      </c>
      <c r="S82">
        <v>1048</v>
      </c>
      <c r="T82">
        <v>969</v>
      </c>
    </row>
    <row r="83" spans="1:20" x14ac:dyDescent="0.35">
      <c r="A83" s="7" t="s">
        <v>163</v>
      </c>
      <c r="B83" s="12" t="s">
        <v>52</v>
      </c>
      <c r="C83">
        <v>97016470.574160427</v>
      </c>
      <c r="D83">
        <v>89539385.983226582</v>
      </c>
      <c r="E83">
        <v>1504504.5045045051</v>
      </c>
      <c r="F83">
        <v>1716305.4054054059</v>
      </c>
      <c r="G83">
        <v>28</v>
      </c>
      <c r="H83">
        <v>32</v>
      </c>
      <c r="K83">
        <v>30</v>
      </c>
      <c r="L83">
        <v>41</v>
      </c>
      <c r="M83">
        <v>1901261.261261262</v>
      </c>
      <c r="N83">
        <v>5708524.3243243238</v>
      </c>
      <c r="O83">
        <v>47368108.108108111</v>
      </c>
      <c r="P83">
        <v>41432504.504504502</v>
      </c>
      <c r="Q83">
        <v>1873243.243243244</v>
      </c>
      <c r="R83">
        <v>5447387.3873873875</v>
      </c>
      <c r="S83">
        <v>1940</v>
      </c>
      <c r="T83">
        <v>1488</v>
      </c>
    </row>
    <row r="84" spans="1:20" x14ac:dyDescent="0.35">
      <c r="A84" s="7" t="s">
        <v>164</v>
      </c>
      <c r="B84" s="12" t="s">
        <v>87</v>
      </c>
      <c r="C84">
        <v>54407492.99845019</v>
      </c>
      <c r="D84">
        <v>66059968.790957749</v>
      </c>
      <c r="E84">
        <v>95417632.432432428</v>
      </c>
      <c r="F84">
        <v>110109580.18018018</v>
      </c>
      <c r="G84">
        <v>18</v>
      </c>
      <c r="H84">
        <v>20</v>
      </c>
      <c r="K84">
        <v>20</v>
      </c>
      <c r="L84">
        <v>22</v>
      </c>
      <c r="M84">
        <v>5319819.8198198192</v>
      </c>
      <c r="N84">
        <v>4110810.8108108118</v>
      </c>
      <c r="O84">
        <v>5636441.441441441</v>
      </c>
      <c r="P84">
        <v>9617036.0360360369</v>
      </c>
      <c r="Q84">
        <v>3507837.8378378381</v>
      </c>
      <c r="R84">
        <v>2046126.1261261271</v>
      </c>
      <c r="S84">
        <v>1258</v>
      </c>
      <c r="T84">
        <v>1182</v>
      </c>
    </row>
    <row r="85" spans="1:20" x14ac:dyDescent="0.35">
      <c r="A85" s="7" t="s">
        <v>165</v>
      </c>
      <c r="B85" s="12" t="s">
        <v>143</v>
      </c>
      <c r="C85">
        <v>16387832.353147935</v>
      </c>
      <c r="D85">
        <v>15981355.433492463</v>
      </c>
      <c r="E85">
        <v>265765.76576576597</v>
      </c>
      <c r="F85">
        <v>321046.84684684698</v>
      </c>
      <c r="G85">
        <v>10</v>
      </c>
      <c r="K85">
        <v>10</v>
      </c>
      <c r="M85">
        <v>2220720.72072072</v>
      </c>
      <c r="N85">
        <v>772746.84684684698</v>
      </c>
      <c r="O85">
        <v>2011369.369369369</v>
      </c>
      <c r="P85">
        <v>1859540.5405405411</v>
      </c>
      <c r="Q85">
        <v>937477.47747747705</v>
      </c>
      <c r="R85">
        <v>962972.97297297302</v>
      </c>
      <c r="S85">
        <v>391</v>
      </c>
      <c r="T85">
        <v>351</v>
      </c>
    </row>
    <row r="86" spans="1:20" x14ac:dyDescent="0.35">
      <c r="A86" s="7" t="s">
        <v>166</v>
      </c>
      <c r="B86" s="12" t="s">
        <v>167</v>
      </c>
      <c r="C86">
        <v>64839653.18308676</v>
      </c>
      <c r="D86">
        <v>61490700.929378577</v>
      </c>
      <c r="E86">
        <v>856756.75675675599</v>
      </c>
      <c r="F86">
        <v>3042342.3423423432</v>
      </c>
      <c r="G86">
        <v>20</v>
      </c>
      <c r="H86">
        <v>12</v>
      </c>
      <c r="K86">
        <v>22</v>
      </c>
      <c r="L86">
        <v>14</v>
      </c>
      <c r="M86">
        <v>9168018.0180180166</v>
      </c>
      <c r="N86">
        <v>9696396.3963963985</v>
      </c>
      <c r="O86">
        <v>31143610.810810812</v>
      </c>
      <c r="P86">
        <v>32921081.081081081</v>
      </c>
      <c r="Q86">
        <v>7129279.2792792786</v>
      </c>
      <c r="R86">
        <v>7491621.6216216218</v>
      </c>
      <c r="S86">
        <v>1393</v>
      </c>
      <c r="T86">
        <v>1360</v>
      </c>
    </row>
    <row r="87" spans="1:20" x14ac:dyDescent="0.35">
      <c r="A87" s="7" t="s">
        <v>168</v>
      </c>
      <c r="B87" s="12" t="s">
        <v>169</v>
      </c>
      <c r="C87">
        <v>313595334.03959596</v>
      </c>
      <c r="D87">
        <v>323637485.18637878</v>
      </c>
      <c r="E87">
        <v>2086486.4864864871</v>
      </c>
      <c r="F87">
        <v>5096543.2432432435</v>
      </c>
      <c r="G87">
        <v>62</v>
      </c>
      <c r="H87">
        <v>52</v>
      </c>
      <c r="K87">
        <v>68</v>
      </c>
      <c r="L87">
        <v>59</v>
      </c>
      <c r="M87">
        <v>49051609.009009011</v>
      </c>
      <c r="N87">
        <v>75589438.738738731</v>
      </c>
      <c r="O87">
        <v>94718394.144144148</v>
      </c>
      <c r="P87">
        <v>105791855.85585585</v>
      </c>
      <c r="Q87">
        <v>49123423.423423424</v>
      </c>
      <c r="R87">
        <v>70664774.774774775</v>
      </c>
      <c r="S87">
        <v>6889</v>
      </c>
      <c r="T87">
        <v>5906</v>
      </c>
    </row>
    <row r="88" spans="1:20" x14ac:dyDescent="0.35">
      <c r="A88" s="7" t="s">
        <v>170</v>
      </c>
      <c r="B88" s="12" t="s">
        <v>54</v>
      </c>
      <c r="C88">
        <v>46175167.900832497</v>
      </c>
      <c r="D88">
        <v>53499177.146732353</v>
      </c>
      <c r="E88">
        <v>621621.62162162201</v>
      </c>
      <c r="F88">
        <v>276300.90090090199</v>
      </c>
      <c r="G88">
        <v>7</v>
      </c>
      <c r="H88">
        <v>5</v>
      </c>
      <c r="K88">
        <v>7</v>
      </c>
      <c r="L88">
        <v>6</v>
      </c>
      <c r="M88">
        <v>4632882.8828828828</v>
      </c>
      <c r="N88">
        <v>7978846.8468468478</v>
      </c>
      <c r="O88">
        <v>7436036.036036036</v>
      </c>
      <c r="P88">
        <v>9025675.6756756753</v>
      </c>
      <c r="Q88">
        <v>5257297.2972972961</v>
      </c>
      <c r="R88">
        <v>7063333.333333333</v>
      </c>
      <c r="S88">
        <v>793</v>
      </c>
      <c r="T88">
        <v>670</v>
      </c>
    </row>
    <row r="89" spans="1:20" x14ac:dyDescent="0.35">
      <c r="A89" s="7" t="s">
        <v>171</v>
      </c>
      <c r="B89" s="12" t="s">
        <v>60</v>
      </c>
      <c r="C89">
        <v>986107675.33845353</v>
      </c>
      <c r="D89">
        <v>961384582.13531339</v>
      </c>
      <c r="E89">
        <v>13469144.144144144</v>
      </c>
      <c r="F89">
        <v>7765200.0000000019</v>
      </c>
      <c r="G89">
        <v>266</v>
      </c>
      <c r="H89">
        <v>103</v>
      </c>
      <c r="K89">
        <v>300</v>
      </c>
      <c r="L89">
        <v>138</v>
      </c>
      <c r="M89">
        <v>51582882.882882878</v>
      </c>
      <c r="N89">
        <v>51691200.9009009</v>
      </c>
      <c r="O89">
        <v>358400009.009009</v>
      </c>
      <c r="P89">
        <v>350189374.77477479</v>
      </c>
      <c r="Q89">
        <v>49009639.639639631</v>
      </c>
      <c r="R89">
        <v>48285495.495495498</v>
      </c>
      <c r="S89">
        <v>12688</v>
      </c>
      <c r="T89">
        <v>11976</v>
      </c>
    </row>
    <row r="90" spans="1:20" x14ac:dyDescent="0.35">
      <c r="A90" s="7" t="s">
        <v>172</v>
      </c>
      <c r="B90" s="12" t="s">
        <v>121</v>
      </c>
      <c r="C90">
        <v>402887397.98496127</v>
      </c>
      <c r="D90">
        <v>382784424.92581022</v>
      </c>
      <c r="E90">
        <v>2766666.666666667</v>
      </c>
      <c r="F90">
        <v>2291600.0000000051</v>
      </c>
      <c r="G90">
        <v>186</v>
      </c>
      <c r="H90">
        <v>191</v>
      </c>
      <c r="K90">
        <v>198</v>
      </c>
      <c r="L90">
        <v>210</v>
      </c>
      <c r="M90">
        <v>26762162.162162159</v>
      </c>
      <c r="N90">
        <v>30807563.063063063</v>
      </c>
      <c r="O90">
        <v>54581565.315315314</v>
      </c>
      <c r="P90">
        <v>62823331.531531535</v>
      </c>
      <c r="Q90">
        <v>18468828.828828827</v>
      </c>
      <c r="R90">
        <v>21803333.333333336</v>
      </c>
      <c r="S90">
        <v>5974</v>
      </c>
      <c r="T90">
        <v>5775</v>
      </c>
    </row>
    <row r="91" spans="1:20" x14ac:dyDescent="0.35">
      <c r="A91" s="7" t="s">
        <v>173</v>
      </c>
      <c r="B91" s="12" t="s">
        <v>174</v>
      </c>
      <c r="C91">
        <v>288725106.4992727</v>
      </c>
      <c r="D91">
        <v>299918132.72750103</v>
      </c>
      <c r="E91">
        <v>6524099.0990991006</v>
      </c>
      <c r="F91">
        <v>5252676.5765765784</v>
      </c>
      <c r="G91">
        <v>157</v>
      </c>
      <c r="H91">
        <v>56</v>
      </c>
      <c r="K91">
        <v>177</v>
      </c>
      <c r="L91">
        <v>75</v>
      </c>
      <c r="M91">
        <v>42696396.396396391</v>
      </c>
      <c r="N91">
        <v>52316260.360360362</v>
      </c>
      <c r="O91">
        <v>34988828.828828827</v>
      </c>
      <c r="P91">
        <v>41416198.198198199</v>
      </c>
      <c r="Q91">
        <v>39047027.027027026</v>
      </c>
      <c r="R91">
        <v>43569279.279279277</v>
      </c>
      <c r="S91">
        <v>6145</v>
      </c>
      <c r="T91">
        <v>4542</v>
      </c>
    </row>
    <row r="92" spans="1:20" x14ac:dyDescent="0.35">
      <c r="A92" s="7" t="s">
        <v>175</v>
      </c>
      <c r="B92" s="12" t="s">
        <v>174</v>
      </c>
      <c r="C92">
        <v>449568705.41605282</v>
      </c>
      <c r="D92">
        <v>462258921.758793</v>
      </c>
      <c r="E92">
        <v>3525900.900900906</v>
      </c>
      <c r="F92">
        <v>4855763.9639639677</v>
      </c>
      <c r="G92">
        <v>230</v>
      </c>
      <c r="H92">
        <v>213</v>
      </c>
      <c r="I92">
        <v>1</v>
      </c>
      <c r="K92">
        <v>272</v>
      </c>
      <c r="L92">
        <v>257</v>
      </c>
      <c r="M92">
        <v>62901801.801801801</v>
      </c>
      <c r="N92">
        <v>61402937.837837838</v>
      </c>
      <c r="O92">
        <v>78750603.603603601</v>
      </c>
      <c r="P92">
        <v>75655828.828828827</v>
      </c>
      <c r="Q92">
        <v>53443106.306306303</v>
      </c>
      <c r="R92">
        <v>48942702.702702701</v>
      </c>
      <c r="S92">
        <v>12472</v>
      </c>
      <c r="T92">
        <v>8531</v>
      </c>
    </row>
    <row r="93" spans="1:20" x14ac:dyDescent="0.35">
      <c r="A93" s="7" t="s">
        <v>176</v>
      </c>
      <c r="B93" s="12" t="s">
        <v>174</v>
      </c>
      <c r="C93">
        <v>613789603.94614017</v>
      </c>
      <c r="D93">
        <v>618692202.04872</v>
      </c>
      <c r="E93">
        <v>177088179.27927929</v>
      </c>
      <c r="F93">
        <v>182948746.84684685</v>
      </c>
      <c r="G93">
        <v>294</v>
      </c>
      <c r="H93">
        <v>292</v>
      </c>
      <c r="K93">
        <v>364</v>
      </c>
      <c r="L93">
        <v>387</v>
      </c>
      <c r="M93">
        <v>89096846.846846849</v>
      </c>
      <c r="N93">
        <v>91679916.216216221</v>
      </c>
      <c r="O93">
        <v>92151854.054054052</v>
      </c>
      <c r="P93">
        <v>97538354.954954967</v>
      </c>
      <c r="Q93">
        <v>56783873.873873875</v>
      </c>
      <c r="R93">
        <v>67690720.720720723</v>
      </c>
      <c r="S93">
        <v>17165</v>
      </c>
      <c r="T93">
        <v>12414</v>
      </c>
    </row>
    <row r="94" spans="1:20" x14ac:dyDescent="0.35">
      <c r="A94" s="7" t="s">
        <v>177</v>
      </c>
      <c r="B94" s="12" t="s">
        <v>178</v>
      </c>
      <c r="C94">
        <v>208647479.51677284</v>
      </c>
      <c r="D94">
        <v>187828107.01925769</v>
      </c>
      <c r="E94">
        <v>311842342.34234232</v>
      </c>
      <c r="F94">
        <v>290863063.06306303</v>
      </c>
      <c r="G94">
        <v>39</v>
      </c>
      <c r="H94">
        <v>72</v>
      </c>
      <c r="K94">
        <v>48</v>
      </c>
      <c r="L94">
        <v>118</v>
      </c>
      <c r="M94">
        <v>21206711.711711712</v>
      </c>
      <c r="N94">
        <v>16120270.270270269</v>
      </c>
      <c r="O94">
        <v>82270034.234234244</v>
      </c>
      <c r="P94">
        <v>74994594.594594598</v>
      </c>
      <c r="Q94">
        <v>14768243.243243244</v>
      </c>
      <c r="R94">
        <v>10187027.027027026</v>
      </c>
      <c r="S94">
        <v>3773</v>
      </c>
      <c r="T94">
        <v>3600</v>
      </c>
    </row>
    <row r="95" spans="1:20" x14ac:dyDescent="0.35">
      <c r="A95" s="7" t="s">
        <v>179</v>
      </c>
      <c r="B95" s="12" t="s">
        <v>167</v>
      </c>
      <c r="C95">
        <v>248341429.33471838</v>
      </c>
      <c r="D95">
        <v>265767486.27191865</v>
      </c>
      <c r="E95">
        <v>6058333.333333333</v>
      </c>
      <c r="F95">
        <v>7529020.7207207195</v>
      </c>
      <c r="G95">
        <v>38</v>
      </c>
      <c r="H95">
        <v>26</v>
      </c>
      <c r="K95">
        <v>52</v>
      </c>
      <c r="L95">
        <v>27</v>
      </c>
      <c r="M95">
        <v>22644144.144144144</v>
      </c>
      <c r="N95">
        <v>23983938.738738742</v>
      </c>
      <c r="O95">
        <v>61991513.513513513</v>
      </c>
      <c r="P95">
        <v>82223855.855855852</v>
      </c>
      <c r="Q95">
        <v>21163513.513513517</v>
      </c>
      <c r="R95">
        <v>19034954.954954956</v>
      </c>
      <c r="S95">
        <v>4977</v>
      </c>
      <c r="T95">
        <v>4654</v>
      </c>
    </row>
    <row r="96" spans="1:20" x14ac:dyDescent="0.35">
      <c r="A96" s="7" t="s">
        <v>180</v>
      </c>
      <c r="B96" s="12" t="s">
        <v>181</v>
      </c>
      <c r="C96">
        <v>195650853.20600665</v>
      </c>
      <c r="D96">
        <v>207705035.16357034</v>
      </c>
      <c r="E96">
        <v>513513.51351351402</v>
      </c>
      <c r="F96">
        <v>2911026.1261261278</v>
      </c>
      <c r="G96">
        <v>32</v>
      </c>
      <c r="H96">
        <v>47</v>
      </c>
      <c r="K96">
        <v>35</v>
      </c>
      <c r="L96">
        <v>48</v>
      </c>
      <c r="M96">
        <v>13325045.045045044</v>
      </c>
      <c r="N96">
        <v>35520468.468468465</v>
      </c>
      <c r="O96">
        <v>48495858.108108111</v>
      </c>
      <c r="P96">
        <v>50481927.927927926</v>
      </c>
      <c r="Q96">
        <v>13524414.414414415</v>
      </c>
      <c r="R96">
        <v>31434774.774774775</v>
      </c>
      <c r="S96">
        <v>3339</v>
      </c>
      <c r="T96">
        <v>3087</v>
      </c>
    </row>
    <row r="97" spans="1:20" x14ac:dyDescent="0.35">
      <c r="A97" s="7" t="s">
        <v>182</v>
      </c>
      <c r="B97" s="12" t="s">
        <v>94</v>
      </c>
      <c r="C97">
        <v>185478192.7406691</v>
      </c>
      <c r="D97">
        <v>195705114.22113132</v>
      </c>
      <c r="E97">
        <v>81081.081081081997</v>
      </c>
      <c r="F97">
        <v>203611.71171171201</v>
      </c>
      <c r="G97">
        <v>59</v>
      </c>
      <c r="H97">
        <v>58</v>
      </c>
      <c r="K97">
        <v>68</v>
      </c>
      <c r="L97">
        <v>67</v>
      </c>
      <c r="M97">
        <v>4504504.5045045037</v>
      </c>
      <c r="N97">
        <v>2006646.8468468471</v>
      </c>
      <c r="O97">
        <v>18900171.17117117</v>
      </c>
      <c r="P97">
        <v>28399765.765765768</v>
      </c>
      <c r="Q97">
        <v>2034954.954954955</v>
      </c>
      <c r="R97">
        <v>1234234.2342342341</v>
      </c>
      <c r="S97">
        <v>3884</v>
      </c>
      <c r="T97">
        <v>3630</v>
      </c>
    </row>
    <row r="98" spans="1:20" x14ac:dyDescent="0.35">
      <c r="A98" s="7" t="s">
        <v>183</v>
      </c>
      <c r="B98" s="12" t="s">
        <v>94</v>
      </c>
      <c r="C98">
        <v>1162251414.7015691</v>
      </c>
      <c r="D98">
        <v>1228243269.2160397</v>
      </c>
      <c r="E98">
        <v>1246189687.3873873</v>
      </c>
      <c r="F98">
        <v>244149269.36936939</v>
      </c>
      <c r="G98">
        <v>228</v>
      </c>
      <c r="H98">
        <v>328</v>
      </c>
      <c r="K98">
        <v>287</v>
      </c>
      <c r="L98">
        <v>390</v>
      </c>
      <c r="M98">
        <v>75626576.576576576</v>
      </c>
      <c r="N98">
        <v>87998922.522522524</v>
      </c>
      <c r="O98">
        <v>140628365.31531531</v>
      </c>
      <c r="P98">
        <v>175606684.68468466</v>
      </c>
      <c r="Q98">
        <v>62236486.486486487</v>
      </c>
      <c r="R98">
        <v>69203603.603603601</v>
      </c>
      <c r="S98">
        <v>16951</v>
      </c>
      <c r="T98">
        <v>16156</v>
      </c>
    </row>
    <row r="99" spans="1:20" x14ac:dyDescent="0.35">
      <c r="A99" s="7" t="s">
        <v>184</v>
      </c>
      <c r="B99" s="12" t="s">
        <v>89</v>
      </c>
      <c r="C99">
        <v>107802518.70733188</v>
      </c>
      <c r="D99">
        <v>96474405.587444037</v>
      </c>
      <c r="E99">
        <v>1214189.1891891891</v>
      </c>
      <c r="F99">
        <v>2581756.756756756</v>
      </c>
      <c r="G99">
        <v>21</v>
      </c>
      <c r="H99">
        <v>12</v>
      </c>
      <c r="K99">
        <v>22</v>
      </c>
      <c r="L99">
        <v>12</v>
      </c>
      <c r="M99">
        <v>5001261.2612612611</v>
      </c>
      <c r="N99">
        <v>7279279.2792792786</v>
      </c>
      <c r="O99">
        <v>36017369.369369365</v>
      </c>
      <c r="P99">
        <v>35775513.513513513</v>
      </c>
      <c r="Q99">
        <v>4885405.4054054059</v>
      </c>
      <c r="R99">
        <v>7378288.2882882878</v>
      </c>
      <c r="S99">
        <v>1898</v>
      </c>
      <c r="T99">
        <v>1551</v>
      </c>
    </row>
    <row r="100" spans="1:20" x14ac:dyDescent="0.35">
      <c r="A100" s="7" t="s">
        <v>185</v>
      </c>
      <c r="B100" s="12" t="s">
        <v>60</v>
      </c>
      <c r="C100">
        <v>65896397.381386369</v>
      </c>
      <c r="D100">
        <v>67371287.662981525</v>
      </c>
      <c r="E100">
        <v>270270.27027027198</v>
      </c>
      <c r="F100">
        <v>1294369.3693693711</v>
      </c>
      <c r="G100">
        <v>15</v>
      </c>
      <c r="H100">
        <v>11</v>
      </c>
      <c r="K100">
        <v>15</v>
      </c>
      <c r="L100">
        <v>13</v>
      </c>
      <c r="M100">
        <v>1756756.756756759</v>
      </c>
      <c r="N100">
        <v>3565765.7657657661</v>
      </c>
      <c r="O100">
        <v>22383623.873873871</v>
      </c>
      <c r="P100">
        <v>23397243.243243244</v>
      </c>
      <c r="Q100">
        <v>1677927.927927928</v>
      </c>
      <c r="R100">
        <v>4584054.0540540526</v>
      </c>
      <c r="S100">
        <v>958</v>
      </c>
      <c r="T100">
        <v>764</v>
      </c>
    </row>
    <row r="101" spans="1:20" x14ac:dyDescent="0.35">
      <c r="A101" s="7" t="s">
        <v>186</v>
      </c>
      <c r="B101" s="12" t="s">
        <v>167</v>
      </c>
      <c r="C101">
        <v>160534226.82310659</v>
      </c>
      <c r="D101">
        <v>151075889.38781238</v>
      </c>
      <c r="E101">
        <v>2497972.9729729728</v>
      </c>
      <c r="F101">
        <v>6638513.5135135138</v>
      </c>
      <c r="G101">
        <v>6</v>
      </c>
      <c r="H101">
        <v>8</v>
      </c>
      <c r="K101">
        <v>7</v>
      </c>
      <c r="L101">
        <v>13</v>
      </c>
      <c r="M101">
        <v>7998198.1981981983</v>
      </c>
      <c r="N101">
        <v>10952252.252252253</v>
      </c>
      <c r="O101">
        <v>41874081.081081077</v>
      </c>
      <c r="P101">
        <v>45268556.756756753</v>
      </c>
      <c r="Q101">
        <v>7635495.4954954945</v>
      </c>
      <c r="R101">
        <v>12037477.477477478</v>
      </c>
      <c r="S101">
        <v>3070</v>
      </c>
      <c r="T101">
        <v>2840</v>
      </c>
    </row>
    <row r="102" spans="1:20" x14ac:dyDescent="0.35">
      <c r="A102" s="7" t="s">
        <v>187</v>
      </c>
      <c r="B102" s="12" t="s">
        <v>167</v>
      </c>
      <c r="C102">
        <v>420429053.78016037</v>
      </c>
      <c r="D102">
        <v>447972571.59042764</v>
      </c>
      <c r="E102">
        <v>3534234.2342342348</v>
      </c>
      <c r="F102">
        <v>4538288.2882882878</v>
      </c>
      <c r="G102">
        <v>67</v>
      </c>
      <c r="H102">
        <v>25</v>
      </c>
      <c r="K102">
        <v>74</v>
      </c>
      <c r="L102">
        <v>30</v>
      </c>
      <c r="M102">
        <v>23758139.639639638</v>
      </c>
      <c r="N102">
        <v>28874774.774774775</v>
      </c>
      <c r="O102">
        <v>87248243.243243247</v>
      </c>
      <c r="P102">
        <v>104649331.53153154</v>
      </c>
      <c r="Q102">
        <v>21418648.648648649</v>
      </c>
      <c r="R102">
        <v>26320360.360360362</v>
      </c>
      <c r="S102">
        <v>6568</v>
      </c>
      <c r="T102">
        <v>5624</v>
      </c>
    </row>
    <row r="103" spans="1:20" x14ac:dyDescent="0.35">
      <c r="A103" s="7" t="s">
        <v>188</v>
      </c>
      <c r="B103" s="12" t="s">
        <v>189</v>
      </c>
      <c r="C103">
        <v>185808262.53123721</v>
      </c>
      <c r="D103">
        <v>190608831.70883363</v>
      </c>
      <c r="E103">
        <v>297297.29729729699</v>
      </c>
      <c r="F103">
        <v>270270.27027027</v>
      </c>
      <c r="G103">
        <v>25</v>
      </c>
      <c r="H103">
        <v>41</v>
      </c>
      <c r="I103">
        <v>1</v>
      </c>
      <c r="K103">
        <v>25</v>
      </c>
      <c r="L103">
        <v>42</v>
      </c>
      <c r="M103">
        <v>4117117.1171171181</v>
      </c>
      <c r="N103">
        <v>6981981.9819819815</v>
      </c>
      <c r="O103">
        <v>14017738.73873874</v>
      </c>
      <c r="P103">
        <v>16025180.180180181</v>
      </c>
      <c r="Q103">
        <v>2454504.5045045051</v>
      </c>
      <c r="R103">
        <v>2378648.648648649</v>
      </c>
      <c r="S103">
        <v>1905</v>
      </c>
      <c r="T103">
        <v>2537</v>
      </c>
    </row>
    <row r="104" spans="1:20" x14ac:dyDescent="0.35">
      <c r="A104" s="7" t="s">
        <v>190</v>
      </c>
      <c r="B104" s="12" t="s">
        <v>134</v>
      </c>
      <c r="C104">
        <v>44362747.682401754</v>
      </c>
      <c r="D104">
        <v>41154218.278902434</v>
      </c>
      <c r="E104">
        <v>13513.513513514001</v>
      </c>
      <c r="G104">
        <v>23</v>
      </c>
      <c r="H104">
        <v>34</v>
      </c>
      <c r="K104">
        <v>26</v>
      </c>
      <c r="L104">
        <v>36</v>
      </c>
      <c r="M104">
        <v>58558.558558559002</v>
      </c>
      <c r="O104">
        <v>2911396.3963963971</v>
      </c>
      <c r="P104">
        <v>3411162.1621621619</v>
      </c>
      <c r="Q104">
        <v>200900.900900901</v>
      </c>
      <c r="S104">
        <v>1022</v>
      </c>
      <c r="T104">
        <v>933</v>
      </c>
    </row>
    <row r="105" spans="1:20" x14ac:dyDescent="0.35">
      <c r="A105" s="7" t="s">
        <v>191</v>
      </c>
      <c r="B105" s="12" t="s">
        <v>60</v>
      </c>
      <c r="C105">
        <v>264086592.64376488</v>
      </c>
      <c r="D105">
        <v>270527175.98860705</v>
      </c>
      <c r="E105">
        <v>4165540.5405405411</v>
      </c>
      <c r="F105">
        <v>3877127.927927929</v>
      </c>
      <c r="G105">
        <v>62</v>
      </c>
      <c r="H105">
        <v>49</v>
      </c>
      <c r="K105">
        <v>91</v>
      </c>
      <c r="L105">
        <v>105</v>
      </c>
      <c r="M105">
        <v>23863063.063063063</v>
      </c>
      <c r="N105">
        <v>83153505.405405402</v>
      </c>
      <c r="O105">
        <v>87120477.477477476</v>
      </c>
      <c r="P105">
        <v>91377684.684684694</v>
      </c>
      <c r="Q105">
        <v>21879279.27927928</v>
      </c>
      <c r="R105">
        <v>82651981.981981978</v>
      </c>
      <c r="S105">
        <v>4455</v>
      </c>
      <c r="T105">
        <v>3865</v>
      </c>
    </row>
    <row r="106" spans="1:20" x14ac:dyDescent="0.35">
      <c r="A106" s="7" t="s">
        <v>192</v>
      </c>
      <c r="B106" s="12" t="s">
        <v>60</v>
      </c>
      <c r="C106">
        <v>467546758.9063108</v>
      </c>
      <c r="D106">
        <v>468596772.72969872</v>
      </c>
      <c r="E106">
        <v>4941441.441441441</v>
      </c>
      <c r="F106">
        <v>4505104.5045045055</v>
      </c>
      <c r="G106">
        <v>45</v>
      </c>
      <c r="H106">
        <v>50</v>
      </c>
      <c r="I106">
        <v>2</v>
      </c>
      <c r="K106">
        <v>61</v>
      </c>
      <c r="L106">
        <v>65</v>
      </c>
      <c r="M106">
        <v>26184684.684684683</v>
      </c>
      <c r="N106">
        <v>86489667.567567572</v>
      </c>
      <c r="O106">
        <v>108192180.18018018</v>
      </c>
      <c r="P106">
        <v>108728313.51351352</v>
      </c>
      <c r="Q106">
        <v>22607027.02702703</v>
      </c>
      <c r="R106">
        <v>84473556.756756753</v>
      </c>
      <c r="S106">
        <v>6681</v>
      </c>
      <c r="T106">
        <v>6891</v>
      </c>
    </row>
    <row r="107" spans="1:20" x14ac:dyDescent="0.35">
      <c r="A107" s="7" t="s">
        <v>2</v>
      </c>
      <c r="B107" s="12" t="s">
        <v>193</v>
      </c>
      <c r="C107">
        <v>52696692.954297103</v>
      </c>
      <c r="D107">
        <v>34312438.506123811</v>
      </c>
      <c r="E107">
        <v>315809146.84684682</v>
      </c>
      <c r="F107">
        <v>396091828.82882881</v>
      </c>
      <c r="G107">
        <v>8</v>
      </c>
      <c r="H107">
        <v>4</v>
      </c>
      <c r="K107">
        <v>9</v>
      </c>
      <c r="L107">
        <v>4</v>
      </c>
      <c r="M107">
        <v>49355855.855855852</v>
      </c>
      <c r="N107">
        <v>53283783.783783786</v>
      </c>
      <c r="O107">
        <v>29349477.477477476</v>
      </c>
      <c r="P107">
        <v>21179207.207207207</v>
      </c>
      <c r="Q107">
        <v>6763063.0630630637</v>
      </c>
      <c r="R107">
        <v>11959009.009009007</v>
      </c>
      <c r="S107">
        <v>1333</v>
      </c>
      <c r="T107">
        <v>1527</v>
      </c>
    </row>
    <row r="108" spans="1:20" x14ac:dyDescent="0.35">
      <c r="A108" s="7" t="s">
        <v>194</v>
      </c>
      <c r="B108" s="12" t="s">
        <v>195</v>
      </c>
      <c r="C108">
        <v>1596904021.7999959</v>
      </c>
      <c r="D108">
        <v>1623052678.7883804</v>
      </c>
      <c r="E108">
        <v>75687162.162162155</v>
      </c>
      <c r="F108">
        <v>68331306.306306317</v>
      </c>
      <c r="G108">
        <v>479</v>
      </c>
      <c r="H108">
        <v>185</v>
      </c>
      <c r="I108">
        <v>2</v>
      </c>
      <c r="K108">
        <v>680</v>
      </c>
      <c r="L108">
        <v>258</v>
      </c>
      <c r="M108">
        <v>106879639.63963965</v>
      </c>
      <c r="N108">
        <v>148441203.6036036</v>
      </c>
      <c r="O108">
        <v>309444630.63063067</v>
      </c>
      <c r="P108">
        <v>323916810.8108108</v>
      </c>
      <c r="Q108">
        <v>93141441.441441447</v>
      </c>
      <c r="R108">
        <v>139379819.81981984</v>
      </c>
      <c r="S108">
        <v>19627</v>
      </c>
      <c r="T108">
        <v>18583</v>
      </c>
    </row>
    <row r="109" spans="1:20" x14ac:dyDescent="0.35">
      <c r="A109" s="7" t="s">
        <v>196</v>
      </c>
      <c r="B109" s="12" t="s">
        <v>80</v>
      </c>
      <c r="C109">
        <v>490464347.37363917</v>
      </c>
      <c r="D109">
        <v>463887793.96533656</v>
      </c>
      <c r="E109">
        <v>2512612.6126126149</v>
      </c>
      <c r="F109">
        <v>4210742.3423423432</v>
      </c>
      <c r="G109">
        <v>126</v>
      </c>
      <c r="H109">
        <v>75</v>
      </c>
      <c r="K109">
        <v>135</v>
      </c>
      <c r="L109">
        <v>92</v>
      </c>
      <c r="M109">
        <v>61725585.585585587</v>
      </c>
      <c r="N109">
        <v>74784305.405405402</v>
      </c>
      <c r="O109">
        <v>132624756.75675675</v>
      </c>
      <c r="P109">
        <v>128762423.42342342</v>
      </c>
      <c r="Q109">
        <v>62320630.630630635</v>
      </c>
      <c r="R109">
        <v>74970540.540540546</v>
      </c>
      <c r="S109">
        <v>7403</v>
      </c>
      <c r="T109">
        <v>6922</v>
      </c>
    </row>
    <row r="110" spans="1:20" x14ac:dyDescent="0.35">
      <c r="A110" s="7" t="s">
        <v>197</v>
      </c>
      <c r="B110" s="12" t="s">
        <v>108</v>
      </c>
      <c r="C110">
        <v>393900498.94183648</v>
      </c>
      <c r="D110">
        <v>406125889.0195455</v>
      </c>
      <c r="E110">
        <v>4172972.9729729742</v>
      </c>
      <c r="F110">
        <v>5372522.5225225249</v>
      </c>
      <c r="G110">
        <v>142</v>
      </c>
      <c r="H110">
        <v>114</v>
      </c>
      <c r="I110">
        <v>1</v>
      </c>
      <c r="K110">
        <v>156</v>
      </c>
      <c r="L110">
        <v>143</v>
      </c>
      <c r="M110">
        <v>22826126.126126125</v>
      </c>
      <c r="N110">
        <v>64047927.927927934</v>
      </c>
      <c r="O110">
        <v>119168198.1981982</v>
      </c>
      <c r="P110">
        <v>124534675.67567568</v>
      </c>
      <c r="Q110">
        <v>20577117.117117114</v>
      </c>
      <c r="R110">
        <v>63534324.324324325</v>
      </c>
      <c r="S110">
        <v>8919</v>
      </c>
      <c r="T110">
        <v>7402</v>
      </c>
    </row>
    <row r="111" spans="1:20" x14ac:dyDescent="0.35">
      <c r="A111" s="7" t="s">
        <v>198</v>
      </c>
      <c r="B111" s="12" t="s">
        <v>92</v>
      </c>
      <c r="C111">
        <v>214392498.96882412</v>
      </c>
      <c r="D111">
        <v>218853731.71831751</v>
      </c>
      <c r="E111">
        <v>6258558.558558559</v>
      </c>
      <c r="F111">
        <v>5603603.6036036033</v>
      </c>
      <c r="G111">
        <v>239</v>
      </c>
      <c r="H111">
        <v>40</v>
      </c>
      <c r="K111">
        <v>260</v>
      </c>
      <c r="L111">
        <v>45</v>
      </c>
      <c r="M111">
        <v>63644954.954954959</v>
      </c>
      <c r="N111">
        <v>46859009.009009011</v>
      </c>
      <c r="O111">
        <v>57693648.648648649</v>
      </c>
      <c r="P111">
        <v>58063414.414414413</v>
      </c>
      <c r="Q111">
        <v>61856036.036036037</v>
      </c>
      <c r="R111">
        <v>46594864.864864863</v>
      </c>
      <c r="S111">
        <v>3144</v>
      </c>
      <c r="T111">
        <v>2851</v>
      </c>
    </row>
    <row r="112" spans="1:20" x14ac:dyDescent="0.35">
      <c r="A112" s="7" t="s">
        <v>199</v>
      </c>
      <c r="B112" s="12" t="s">
        <v>123</v>
      </c>
      <c r="C112">
        <v>199113225.67445242</v>
      </c>
      <c r="D112">
        <v>161939745.85957283</v>
      </c>
      <c r="E112">
        <v>201604324.32432431</v>
      </c>
      <c r="F112">
        <v>430391891.8918919</v>
      </c>
      <c r="G112">
        <v>68</v>
      </c>
      <c r="H112">
        <v>25</v>
      </c>
      <c r="K112">
        <v>71</v>
      </c>
      <c r="L112">
        <v>28</v>
      </c>
      <c r="M112">
        <v>6752837.8378378376</v>
      </c>
      <c r="N112">
        <v>10806576.576576576</v>
      </c>
      <c r="O112">
        <v>37594054.054054059</v>
      </c>
      <c r="P112">
        <v>36111414.414414413</v>
      </c>
      <c r="Q112">
        <v>8910540.5405405406</v>
      </c>
      <c r="R112">
        <v>7945495.4954954963</v>
      </c>
      <c r="S112">
        <v>2615</v>
      </c>
      <c r="T112">
        <v>2427</v>
      </c>
    </row>
    <row r="113" spans="1:20" x14ac:dyDescent="0.35">
      <c r="A113" s="7" t="s">
        <v>200</v>
      </c>
      <c r="B113" s="12" t="s">
        <v>60</v>
      </c>
      <c r="C113">
        <v>146750547.96317443</v>
      </c>
      <c r="D113">
        <v>146061693.98882222</v>
      </c>
      <c r="E113">
        <v>3790990.9909909922</v>
      </c>
      <c r="F113">
        <v>2368918.918918923</v>
      </c>
      <c r="G113">
        <v>32</v>
      </c>
      <c r="H113">
        <v>11</v>
      </c>
      <c r="I113">
        <v>1</v>
      </c>
      <c r="K113">
        <v>37</v>
      </c>
      <c r="L113">
        <v>22</v>
      </c>
      <c r="M113">
        <v>20547747.747747749</v>
      </c>
      <c r="N113">
        <v>24342342.342342343</v>
      </c>
      <c r="O113">
        <v>26562490.990990993</v>
      </c>
      <c r="P113">
        <v>26833522.52252252</v>
      </c>
      <c r="Q113">
        <v>19565495.495495494</v>
      </c>
      <c r="R113">
        <v>21461261.261261266</v>
      </c>
      <c r="S113">
        <v>4317</v>
      </c>
      <c r="T113">
        <v>3505</v>
      </c>
    </row>
    <row r="114" spans="1:20" x14ac:dyDescent="0.35">
      <c r="A114" s="7" t="s">
        <v>201</v>
      </c>
      <c r="B114" s="12" t="s">
        <v>60</v>
      </c>
      <c r="C114">
        <v>49157385.681231357</v>
      </c>
      <c r="D114">
        <v>47812658.71731361</v>
      </c>
      <c r="E114">
        <v>328828.82882883103</v>
      </c>
      <c r="F114">
        <v>614127.02702702698</v>
      </c>
      <c r="G114">
        <v>16</v>
      </c>
      <c r="H114">
        <v>8</v>
      </c>
      <c r="K114">
        <v>19</v>
      </c>
      <c r="L114">
        <v>10</v>
      </c>
      <c r="M114">
        <v>2986486.4864864871</v>
      </c>
      <c r="N114">
        <v>3200598.1981981969</v>
      </c>
      <c r="O114">
        <v>8722324.3243243247</v>
      </c>
      <c r="P114">
        <v>9697963.9639639631</v>
      </c>
      <c r="Q114">
        <v>1613063.063063062</v>
      </c>
      <c r="R114">
        <v>2585945.945945947</v>
      </c>
      <c r="S114">
        <v>1475</v>
      </c>
      <c r="T114">
        <v>1242</v>
      </c>
    </row>
    <row r="115" spans="1:20" x14ac:dyDescent="0.35">
      <c r="A115" s="7" t="s">
        <v>202</v>
      </c>
      <c r="B115" s="12" t="s">
        <v>121</v>
      </c>
      <c r="C115">
        <v>92340668.792356059</v>
      </c>
      <c r="D115">
        <v>82793107.339418083</v>
      </c>
      <c r="E115">
        <v>93104367.567567572</v>
      </c>
      <c r="F115">
        <v>74603677.477477476</v>
      </c>
      <c r="G115">
        <v>51</v>
      </c>
      <c r="H115">
        <v>44</v>
      </c>
      <c r="K115">
        <v>54</v>
      </c>
      <c r="L115">
        <v>49</v>
      </c>
      <c r="M115">
        <v>16844007.207207207</v>
      </c>
      <c r="N115">
        <v>3651351.3513513519</v>
      </c>
      <c r="O115">
        <v>8543072.072072072</v>
      </c>
      <c r="P115">
        <v>8131072.072072072</v>
      </c>
      <c r="Q115">
        <v>1427477.4774774781</v>
      </c>
      <c r="R115">
        <v>1824324.3243243231</v>
      </c>
      <c r="S115">
        <v>1680</v>
      </c>
      <c r="T115">
        <v>1400</v>
      </c>
    </row>
    <row r="116" spans="1:20" x14ac:dyDescent="0.35">
      <c r="A116" s="7" t="s">
        <v>203</v>
      </c>
      <c r="B116" s="12" t="s">
        <v>54</v>
      </c>
      <c r="C116">
        <v>149640442.67568761</v>
      </c>
      <c r="D116">
        <v>153603800.73919648</v>
      </c>
      <c r="E116">
        <v>1192792.792792792</v>
      </c>
      <c r="F116">
        <v>1755590.090090092</v>
      </c>
      <c r="G116">
        <v>34</v>
      </c>
      <c r="H116">
        <v>25</v>
      </c>
      <c r="K116">
        <v>36</v>
      </c>
      <c r="L116">
        <v>25</v>
      </c>
      <c r="M116">
        <v>7710810.8108108109</v>
      </c>
      <c r="N116">
        <v>9483698.1981981993</v>
      </c>
      <c r="O116">
        <v>38681693.693693697</v>
      </c>
      <c r="P116">
        <v>40244900.9009009</v>
      </c>
      <c r="Q116">
        <v>7834504.5045045037</v>
      </c>
      <c r="R116">
        <v>9569639.6396396402</v>
      </c>
      <c r="S116">
        <v>4449</v>
      </c>
      <c r="T116">
        <v>3786</v>
      </c>
    </row>
    <row r="117" spans="1:20" x14ac:dyDescent="0.35">
      <c r="A117" s="7" t="s">
        <v>204</v>
      </c>
      <c r="B117" s="12" t="s">
        <v>136</v>
      </c>
      <c r="C117">
        <v>525032408.53627211</v>
      </c>
      <c r="D117">
        <v>501022783.00190824</v>
      </c>
      <c r="E117">
        <v>1101801.801801797</v>
      </c>
      <c r="F117">
        <v>4140441.4414414391</v>
      </c>
      <c r="G117">
        <v>80</v>
      </c>
      <c r="H117">
        <v>89</v>
      </c>
      <c r="I117">
        <v>2</v>
      </c>
      <c r="K117">
        <v>89</v>
      </c>
      <c r="L117">
        <v>93</v>
      </c>
      <c r="M117">
        <v>43218918.918918923</v>
      </c>
      <c r="N117">
        <v>46741597.297297299</v>
      </c>
      <c r="O117">
        <v>90182939.639639631</v>
      </c>
      <c r="P117">
        <v>95629009.009009004</v>
      </c>
      <c r="Q117">
        <v>37187207.20720721</v>
      </c>
      <c r="R117">
        <v>42061171.171171166</v>
      </c>
      <c r="S117">
        <v>6084</v>
      </c>
      <c r="T117">
        <v>5669</v>
      </c>
    </row>
    <row r="118" spans="1:20" x14ac:dyDescent="0.35">
      <c r="A118" s="7" t="s">
        <v>205</v>
      </c>
      <c r="B118" s="12" t="s">
        <v>136</v>
      </c>
      <c r="C118">
        <v>259330790.3914158</v>
      </c>
      <c r="D118">
        <v>250222971.83248186</v>
      </c>
      <c r="E118">
        <v>863063.06306306296</v>
      </c>
      <c r="F118">
        <v>373460.36036036198</v>
      </c>
      <c r="G118">
        <v>50</v>
      </c>
      <c r="H118">
        <v>34</v>
      </c>
      <c r="K118">
        <v>54</v>
      </c>
      <c r="L118">
        <v>37</v>
      </c>
      <c r="M118">
        <v>9448648.6486486476</v>
      </c>
      <c r="N118">
        <v>8537118.0180180185</v>
      </c>
      <c r="O118">
        <v>50709971.171171166</v>
      </c>
      <c r="P118">
        <v>56828252.252252258</v>
      </c>
      <c r="Q118">
        <v>5224324.3243243257</v>
      </c>
      <c r="R118">
        <v>4643603.6036036024</v>
      </c>
      <c r="S118">
        <v>3283</v>
      </c>
      <c r="T118">
        <v>3157</v>
      </c>
    </row>
    <row r="119" spans="1:20" x14ac:dyDescent="0.35">
      <c r="A119" s="7" t="s">
        <v>206</v>
      </c>
      <c r="B119" s="12" t="s">
        <v>169</v>
      </c>
      <c r="C119">
        <v>613207953.82861125</v>
      </c>
      <c r="D119">
        <v>630628839.34892738</v>
      </c>
      <c r="E119">
        <v>973563963.96396387</v>
      </c>
      <c r="F119">
        <v>2141332744.1441441</v>
      </c>
      <c r="G119">
        <v>23</v>
      </c>
      <c r="H119">
        <v>28</v>
      </c>
      <c r="K119">
        <v>25</v>
      </c>
      <c r="L119">
        <v>31</v>
      </c>
      <c r="M119">
        <v>2511262725.2252254</v>
      </c>
      <c r="N119">
        <v>1878348869.3693693</v>
      </c>
      <c r="O119">
        <v>291685117.11711711</v>
      </c>
      <c r="P119">
        <v>304615234.23423421</v>
      </c>
      <c r="Q119">
        <v>789231272.07207203</v>
      </c>
      <c r="R119">
        <v>1179587351.3513513</v>
      </c>
      <c r="S119">
        <v>7887</v>
      </c>
      <c r="T119">
        <v>7492</v>
      </c>
    </row>
    <row r="120" spans="1:20" x14ac:dyDescent="0.35">
      <c r="A120" s="7" t="s">
        <v>207</v>
      </c>
      <c r="B120" s="12" t="s">
        <v>161</v>
      </c>
      <c r="C120">
        <v>678190217.70192361</v>
      </c>
      <c r="D120">
        <v>690173469.73662794</v>
      </c>
      <c r="E120">
        <v>186736394.5945946</v>
      </c>
      <c r="F120">
        <v>196246821.62162164</v>
      </c>
      <c r="G120">
        <v>462</v>
      </c>
      <c r="H120">
        <v>197</v>
      </c>
      <c r="K120">
        <v>686</v>
      </c>
      <c r="L120">
        <v>626</v>
      </c>
      <c r="M120">
        <v>136432423.42342341</v>
      </c>
      <c r="N120">
        <v>160718793.6936937</v>
      </c>
      <c r="O120">
        <v>196926986.48648649</v>
      </c>
      <c r="P120">
        <v>223178619.81981981</v>
      </c>
      <c r="Q120">
        <v>114100709.9099099</v>
      </c>
      <c r="R120">
        <v>137180394.5945946</v>
      </c>
      <c r="S120">
        <v>36800</v>
      </c>
      <c r="T120">
        <v>12704</v>
      </c>
    </row>
    <row r="121" spans="1:20" x14ac:dyDescent="0.35">
      <c r="A121" s="7" t="s">
        <v>208</v>
      </c>
      <c r="B121" s="12" t="s">
        <v>76</v>
      </c>
      <c r="C121">
        <v>21133217.282126255</v>
      </c>
      <c r="D121">
        <v>22879812.902464774</v>
      </c>
      <c r="H121">
        <v>3</v>
      </c>
      <c r="L121">
        <v>3</v>
      </c>
      <c r="N121">
        <v>9009.0090090089998</v>
      </c>
      <c r="O121">
        <v>1278153.1531531529</v>
      </c>
      <c r="P121">
        <v>1622207.2072072071</v>
      </c>
      <c r="S121">
        <v>601</v>
      </c>
      <c r="T121">
        <v>572</v>
      </c>
    </row>
    <row r="122" spans="1:20" x14ac:dyDescent="0.35">
      <c r="A122" s="7" t="s">
        <v>209</v>
      </c>
      <c r="B122" s="12" t="s">
        <v>76</v>
      </c>
      <c r="C122">
        <v>310402478.2763893</v>
      </c>
      <c r="D122">
        <v>300560887.92517543</v>
      </c>
      <c r="E122">
        <v>377467695.4954955</v>
      </c>
      <c r="F122">
        <v>306144932.43243247</v>
      </c>
      <c r="G122">
        <v>176</v>
      </c>
      <c r="H122">
        <v>199</v>
      </c>
      <c r="I122">
        <v>9</v>
      </c>
      <c r="K122">
        <v>270</v>
      </c>
      <c r="L122">
        <v>250</v>
      </c>
      <c r="M122">
        <v>42170450.45045045</v>
      </c>
      <c r="N122">
        <v>45103416.216216214</v>
      </c>
      <c r="O122">
        <v>46515801.801801801</v>
      </c>
      <c r="P122">
        <v>52228000</v>
      </c>
      <c r="Q122">
        <v>40603963.963963963</v>
      </c>
      <c r="R122">
        <v>40690720.720720723</v>
      </c>
      <c r="S122">
        <v>5473</v>
      </c>
      <c r="T122">
        <v>5011</v>
      </c>
    </row>
    <row r="123" spans="1:20" x14ac:dyDescent="0.35">
      <c r="A123" s="7" t="s">
        <v>210</v>
      </c>
      <c r="B123" s="12" t="s">
        <v>76</v>
      </c>
      <c r="C123">
        <v>383770954.86214894</v>
      </c>
      <c r="D123">
        <v>414577844.04737258</v>
      </c>
      <c r="E123">
        <v>5777252.2522522574</v>
      </c>
      <c r="F123">
        <v>11361670.270270268</v>
      </c>
      <c r="G123">
        <v>232</v>
      </c>
      <c r="H123">
        <v>445</v>
      </c>
      <c r="I123">
        <v>1</v>
      </c>
      <c r="K123">
        <v>301</v>
      </c>
      <c r="L123">
        <v>492</v>
      </c>
      <c r="M123">
        <v>189784234.23423424</v>
      </c>
      <c r="N123">
        <v>163404492.7927928</v>
      </c>
      <c r="O123">
        <v>116264200.9009009</v>
      </c>
      <c r="P123">
        <v>142227522.52252254</v>
      </c>
      <c r="Q123">
        <v>153146439.63963965</v>
      </c>
      <c r="R123">
        <v>130267837.83783785</v>
      </c>
      <c r="S123">
        <v>7310</v>
      </c>
      <c r="T123">
        <v>6977</v>
      </c>
    </row>
    <row r="124" spans="1:20" x14ac:dyDescent="0.35">
      <c r="A124" s="7" t="s">
        <v>211</v>
      </c>
      <c r="B124" s="12" t="s">
        <v>76</v>
      </c>
      <c r="C124">
        <v>278181615.29784101</v>
      </c>
      <c r="D124">
        <v>277823209.58609074</v>
      </c>
      <c r="E124">
        <v>4265540.5405405462</v>
      </c>
      <c r="F124">
        <v>3732427.9279279299</v>
      </c>
      <c r="G124">
        <v>130</v>
      </c>
      <c r="H124">
        <v>180</v>
      </c>
      <c r="K124">
        <v>140</v>
      </c>
      <c r="L124">
        <v>196</v>
      </c>
      <c r="M124">
        <v>29629189.189189192</v>
      </c>
      <c r="N124">
        <v>37776153.153153151</v>
      </c>
      <c r="O124">
        <v>42510551.801801801</v>
      </c>
      <c r="P124">
        <v>45456909.909909911</v>
      </c>
      <c r="Q124">
        <v>26985135.135135137</v>
      </c>
      <c r="R124">
        <v>34088468.468468465</v>
      </c>
      <c r="S124">
        <v>4433</v>
      </c>
      <c r="T124">
        <v>4042</v>
      </c>
    </row>
    <row r="125" spans="1:20" x14ac:dyDescent="0.35">
      <c r="A125" s="7" t="s">
        <v>212</v>
      </c>
      <c r="B125" s="12" t="s">
        <v>76</v>
      </c>
      <c r="C125">
        <v>100045424.02266985</v>
      </c>
      <c r="D125">
        <v>114838343.28416301</v>
      </c>
      <c r="E125">
        <v>67567.567567567006</v>
      </c>
      <c r="F125">
        <v>163963.963963963</v>
      </c>
      <c r="G125">
        <v>23</v>
      </c>
      <c r="H125">
        <v>17</v>
      </c>
      <c r="K125">
        <v>23</v>
      </c>
      <c r="L125">
        <v>17</v>
      </c>
      <c r="M125">
        <v>1542522.522522521</v>
      </c>
      <c r="N125">
        <v>5411711.7117117113</v>
      </c>
      <c r="O125">
        <v>15514603.603603603</v>
      </c>
      <c r="P125">
        <v>18533189.189189188</v>
      </c>
      <c r="Q125">
        <v>2212522.5225225231</v>
      </c>
      <c r="R125">
        <v>4942792.7927927934</v>
      </c>
      <c r="S125">
        <v>1900</v>
      </c>
      <c r="T125">
        <v>2409</v>
      </c>
    </row>
    <row r="126" spans="1:20" x14ac:dyDescent="0.35">
      <c r="A126" s="7" t="s">
        <v>213</v>
      </c>
      <c r="B126" s="12" t="s">
        <v>214</v>
      </c>
      <c r="C126">
        <v>139135323.28842103</v>
      </c>
      <c r="D126">
        <v>146372646.60457152</v>
      </c>
      <c r="E126">
        <v>2694594.594594595</v>
      </c>
      <c r="F126">
        <v>2164369.3693693681</v>
      </c>
      <c r="G126">
        <v>43</v>
      </c>
      <c r="H126">
        <v>27</v>
      </c>
      <c r="I126">
        <v>1</v>
      </c>
      <c r="K126">
        <v>49</v>
      </c>
      <c r="L126">
        <v>30</v>
      </c>
      <c r="M126">
        <v>16045513.513513515</v>
      </c>
      <c r="N126">
        <v>38754338.738738738</v>
      </c>
      <c r="O126">
        <v>63397872.072072074</v>
      </c>
      <c r="P126">
        <v>72166099.0990991</v>
      </c>
      <c r="Q126">
        <v>14303873.873873873</v>
      </c>
      <c r="R126">
        <v>43030360.360360362</v>
      </c>
      <c r="S126">
        <v>2811</v>
      </c>
      <c r="T126">
        <v>2318</v>
      </c>
    </row>
    <row r="127" spans="1:20" x14ac:dyDescent="0.35">
      <c r="A127" s="7" t="s">
        <v>215</v>
      </c>
      <c r="B127" s="12" t="s">
        <v>167</v>
      </c>
      <c r="C127">
        <v>147733046.41127962</v>
      </c>
      <c r="D127">
        <v>150169669.88137496</v>
      </c>
      <c r="E127">
        <v>3414414.4144144142</v>
      </c>
      <c r="F127">
        <v>2747747.7477477482</v>
      </c>
      <c r="G127">
        <v>8</v>
      </c>
      <c r="H127">
        <v>1</v>
      </c>
      <c r="K127">
        <v>8</v>
      </c>
      <c r="L127">
        <v>1</v>
      </c>
      <c r="M127">
        <v>11502702.702702701</v>
      </c>
      <c r="N127">
        <v>5639639.6396396402</v>
      </c>
      <c r="O127">
        <v>25731351.351351351</v>
      </c>
      <c r="P127">
        <v>39554180.180180177</v>
      </c>
      <c r="Q127">
        <v>9568918.9189189207</v>
      </c>
      <c r="R127">
        <v>5286576.5765765756</v>
      </c>
      <c r="S127">
        <v>1911</v>
      </c>
      <c r="T127">
        <v>1854</v>
      </c>
    </row>
    <row r="128" spans="1:20" x14ac:dyDescent="0.35">
      <c r="A128" s="7" t="s">
        <v>216</v>
      </c>
      <c r="B128" s="12" t="s">
        <v>85</v>
      </c>
      <c r="C128">
        <v>34856110.216170102</v>
      </c>
      <c r="D128">
        <v>39503236.573851913</v>
      </c>
      <c r="E128">
        <v>1436936.936936937</v>
      </c>
      <c r="F128">
        <v>5945558.55855856</v>
      </c>
      <c r="G128">
        <v>11</v>
      </c>
      <c r="H128">
        <v>8</v>
      </c>
      <c r="K128">
        <v>12</v>
      </c>
      <c r="L128">
        <v>8</v>
      </c>
      <c r="M128">
        <v>67954504.504504502</v>
      </c>
      <c r="N128">
        <v>60927663.063063063</v>
      </c>
      <c r="O128">
        <v>10747504.504504504</v>
      </c>
      <c r="P128">
        <v>13607781.981981982</v>
      </c>
      <c r="Q128">
        <v>59291081.081081077</v>
      </c>
      <c r="R128">
        <v>51575405.40540541</v>
      </c>
      <c r="S128">
        <v>656</v>
      </c>
      <c r="T128">
        <v>625</v>
      </c>
    </row>
    <row r="129" spans="1:20" x14ac:dyDescent="0.35">
      <c r="A129" s="7" t="s">
        <v>217</v>
      </c>
      <c r="B129" s="12" t="s">
        <v>85</v>
      </c>
      <c r="C129">
        <v>141563834.20825693</v>
      </c>
      <c r="D129">
        <v>143658948.85658118</v>
      </c>
      <c r="E129">
        <v>392052686.48648643</v>
      </c>
      <c r="F129">
        <v>539630062.16216218</v>
      </c>
      <c r="G129">
        <v>59</v>
      </c>
      <c r="H129">
        <v>21</v>
      </c>
      <c r="K129">
        <v>66</v>
      </c>
      <c r="L129">
        <v>26</v>
      </c>
      <c r="M129">
        <v>91631711.711711705</v>
      </c>
      <c r="N129">
        <v>65256764.864864863</v>
      </c>
      <c r="O129">
        <v>26992684.684684683</v>
      </c>
      <c r="P129">
        <v>28586720.72072072</v>
      </c>
      <c r="Q129">
        <v>43551351.351351351</v>
      </c>
      <c r="R129">
        <v>22937657.657657657</v>
      </c>
      <c r="S129">
        <v>2652</v>
      </c>
      <c r="T129">
        <v>2424</v>
      </c>
    </row>
    <row r="130" spans="1:20" x14ac:dyDescent="0.35">
      <c r="A130" s="7" t="s">
        <v>218</v>
      </c>
      <c r="B130" s="12" t="s">
        <v>147</v>
      </c>
      <c r="C130">
        <v>137805719.3526988</v>
      </c>
      <c r="D130">
        <v>129246823.48483473</v>
      </c>
      <c r="E130">
        <v>9963063.0630630646</v>
      </c>
      <c r="F130">
        <v>11267725.225225225</v>
      </c>
      <c r="G130">
        <v>94</v>
      </c>
      <c r="H130">
        <v>23</v>
      </c>
      <c r="K130">
        <v>112</v>
      </c>
      <c r="L130">
        <v>32</v>
      </c>
      <c r="M130">
        <v>95735161.261261269</v>
      </c>
      <c r="N130">
        <v>124415661.26126127</v>
      </c>
      <c r="O130">
        <v>43148963.963963963</v>
      </c>
      <c r="P130">
        <v>38659621.621621624</v>
      </c>
      <c r="Q130">
        <v>95368108.108108118</v>
      </c>
      <c r="R130">
        <v>121085945.94594595</v>
      </c>
      <c r="S130">
        <v>3584</v>
      </c>
      <c r="T130">
        <v>2404</v>
      </c>
    </row>
    <row r="131" spans="1:20" x14ac:dyDescent="0.35">
      <c r="A131" s="7" t="s">
        <v>219</v>
      </c>
      <c r="B131" s="12" t="s">
        <v>220</v>
      </c>
      <c r="C131">
        <v>271119330.1534856</v>
      </c>
      <c r="D131">
        <v>261023030.26138309</v>
      </c>
      <c r="E131">
        <v>539056744.14414418</v>
      </c>
      <c r="F131">
        <v>327819854.95495492</v>
      </c>
      <c r="G131">
        <v>95</v>
      </c>
      <c r="H131">
        <v>111</v>
      </c>
      <c r="K131">
        <v>108</v>
      </c>
      <c r="L131">
        <v>235</v>
      </c>
      <c r="M131">
        <v>234892437.83783782</v>
      </c>
      <c r="N131">
        <v>456373533.33333331</v>
      </c>
      <c r="O131">
        <v>68881155.405405402</v>
      </c>
      <c r="P131">
        <v>74606207.207207203</v>
      </c>
      <c r="Q131">
        <v>375142792.7927928</v>
      </c>
      <c r="R131">
        <v>386263468.46846849</v>
      </c>
      <c r="S131">
        <v>6903</v>
      </c>
      <c r="T131">
        <v>7136</v>
      </c>
    </row>
    <row r="132" spans="1:20" x14ac:dyDescent="0.35">
      <c r="A132" s="7" t="s">
        <v>221</v>
      </c>
      <c r="B132" s="12" t="s">
        <v>52</v>
      </c>
      <c r="C132">
        <v>647713616.33353746</v>
      </c>
      <c r="D132">
        <v>680459425.00301147</v>
      </c>
      <c r="E132">
        <v>172393468.46846849</v>
      </c>
      <c r="F132">
        <v>349065877.47747749</v>
      </c>
      <c r="G132">
        <v>152</v>
      </c>
      <c r="H132">
        <v>164</v>
      </c>
      <c r="K132">
        <v>188</v>
      </c>
      <c r="L132">
        <v>226</v>
      </c>
      <c r="M132">
        <v>49454954.954954959</v>
      </c>
      <c r="N132">
        <v>105662609.009009</v>
      </c>
      <c r="O132">
        <v>205378738.73873875</v>
      </c>
      <c r="P132">
        <v>219700900.9009009</v>
      </c>
      <c r="Q132">
        <v>56865675.675675683</v>
      </c>
      <c r="R132">
        <v>88531441.441441447</v>
      </c>
      <c r="S132">
        <v>14117</v>
      </c>
      <c r="T132">
        <v>10875</v>
      </c>
    </row>
    <row r="133" spans="1:20" x14ac:dyDescent="0.35">
      <c r="A133" s="7" t="s">
        <v>222</v>
      </c>
      <c r="B133" s="12" t="s">
        <v>76</v>
      </c>
      <c r="C133">
        <v>497846569.20854777</v>
      </c>
      <c r="D133">
        <v>507406120.54793817</v>
      </c>
      <c r="E133">
        <v>1541666.6666666709</v>
      </c>
      <c r="F133">
        <v>2195696.3963964018</v>
      </c>
      <c r="G133">
        <v>145</v>
      </c>
      <c r="H133">
        <v>127</v>
      </c>
      <c r="K133">
        <v>151</v>
      </c>
      <c r="L133">
        <v>132</v>
      </c>
      <c r="M133">
        <v>36621891.891891889</v>
      </c>
      <c r="N133">
        <v>46333211.711711712</v>
      </c>
      <c r="O133">
        <v>96170867.567567572</v>
      </c>
      <c r="P133">
        <v>107240963.96396397</v>
      </c>
      <c r="Q133">
        <v>32164234.234234232</v>
      </c>
      <c r="R133">
        <v>39351081.081081077</v>
      </c>
      <c r="S133">
        <v>7358</v>
      </c>
      <c r="T133">
        <v>7070</v>
      </c>
    </row>
    <row r="134" spans="1:20" x14ac:dyDescent="0.35">
      <c r="A134" s="7" t="s">
        <v>223</v>
      </c>
      <c r="B134" s="12" t="s">
        <v>224</v>
      </c>
      <c r="C134">
        <v>43024131.08296413</v>
      </c>
      <c r="D134">
        <v>42729185.435595803</v>
      </c>
      <c r="E134">
        <v>16216.216216216</v>
      </c>
      <c r="F134">
        <v>27557.657657658001</v>
      </c>
      <c r="G134">
        <v>4</v>
      </c>
      <c r="H134">
        <v>3</v>
      </c>
      <c r="K134">
        <v>4</v>
      </c>
      <c r="L134">
        <v>3</v>
      </c>
      <c r="M134">
        <v>917117.11711711704</v>
      </c>
      <c r="N134">
        <v>1779506.306306306</v>
      </c>
      <c r="O134">
        <v>10747774.774774777</v>
      </c>
      <c r="P134">
        <v>9984432.4324324317</v>
      </c>
      <c r="Q134">
        <v>1126396.396396396</v>
      </c>
      <c r="R134">
        <v>1277567.567567568</v>
      </c>
      <c r="S134">
        <v>844</v>
      </c>
      <c r="T134">
        <v>807</v>
      </c>
    </row>
    <row r="135" spans="1:20" x14ac:dyDescent="0.35">
      <c r="A135" s="7" t="s">
        <v>225</v>
      </c>
      <c r="B135" s="12" t="s">
        <v>143</v>
      </c>
      <c r="C135">
        <v>405632892.60056049</v>
      </c>
      <c r="D135">
        <v>414211204.86356372</v>
      </c>
      <c r="E135">
        <v>106384684.68468469</v>
      </c>
      <c r="F135">
        <v>26664079.279279284</v>
      </c>
      <c r="G135">
        <v>155</v>
      </c>
      <c r="H135">
        <v>53</v>
      </c>
      <c r="K135">
        <v>171</v>
      </c>
      <c r="L135">
        <v>62</v>
      </c>
      <c r="M135">
        <v>25695945.945945948</v>
      </c>
      <c r="N135">
        <v>26646398.198198199</v>
      </c>
      <c r="O135">
        <v>50998627.477477469</v>
      </c>
      <c r="P135">
        <v>59959935.135135137</v>
      </c>
      <c r="Q135">
        <v>15721891.891891891</v>
      </c>
      <c r="R135">
        <v>17574504.504504506</v>
      </c>
      <c r="S135">
        <v>6717</v>
      </c>
      <c r="T135">
        <v>6037</v>
      </c>
    </row>
    <row r="136" spans="1:20" x14ac:dyDescent="0.35">
      <c r="A136" s="7" t="s">
        <v>226</v>
      </c>
      <c r="B136" s="12" t="s">
        <v>224</v>
      </c>
      <c r="C136">
        <v>46846789.174757734</v>
      </c>
      <c r="D136">
        <v>45973707.657778442</v>
      </c>
      <c r="E136">
        <v>148648.64864865001</v>
      </c>
      <c r="F136">
        <v>153046.846846848</v>
      </c>
      <c r="G136">
        <v>18</v>
      </c>
      <c r="H136">
        <v>10</v>
      </c>
      <c r="K136">
        <v>19</v>
      </c>
      <c r="L136">
        <v>13</v>
      </c>
      <c r="M136">
        <v>6095675.6756756762</v>
      </c>
      <c r="N136">
        <v>10731443.243243242</v>
      </c>
      <c r="O136">
        <v>12471869.369369367</v>
      </c>
      <c r="P136">
        <v>10717063.063063065</v>
      </c>
      <c r="Q136">
        <v>5066756.7567567574</v>
      </c>
      <c r="R136">
        <v>9406396.3963963967</v>
      </c>
      <c r="S136">
        <v>825</v>
      </c>
      <c r="T136">
        <v>832</v>
      </c>
    </row>
    <row r="137" spans="1:20" x14ac:dyDescent="0.35">
      <c r="A137" s="7" t="s">
        <v>227</v>
      </c>
      <c r="B137" s="12" t="s">
        <v>78</v>
      </c>
      <c r="C137">
        <v>384290445.17213494</v>
      </c>
      <c r="D137">
        <v>393610168.18080211</v>
      </c>
      <c r="E137">
        <v>4388288.2882882915</v>
      </c>
      <c r="F137">
        <v>5035331.5315315332</v>
      </c>
      <c r="G137">
        <v>85</v>
      </c>
      <c r="H137">
        <v>48</v>
      </c>
      <c r="K137">
        <v>99</v>
      </c>
      <c r="L137">
        <v>55</v>
      </c>
      <c r="M137">
        <v>44961081.081081077</v>
      </c>
      <c r="N137">
        <v>46066366.666666664</v>
      </c>
      <c r="O137">
        <v>153215594.5945946</v>
      </c>
      <c r="P137">
        <v>161588396.3963964</v>
      </c>
      <c r="Q137">
        <v>39645585.585585587</v>
      </c>
      <c r="R137">
        <v>40885358.558558561</v>
      </c>
      <c r="S137">
        <v>5179</v>
      </c>
      <c r="T137">
        <v>4986</v>
      </c>
    </row>
    <row r="138" spans="1:20" x14ac:dyDescent="0.35">
      <c r="A138" s="7" t="s">
        <v>228</v>
      </c>
      <c r="B138" s="12" t="s">
        <v>136</v>
      </c>
      <c r="C138">
        <v>497855089.6683588</v>
      </c>
      <c r="D138">
        <v>501530498.66204959</v>
      </c>
      <c r="E138">
        <v>22404729.729729731</v>
      </c>
      <c r="F138">
        <v>87585407.207207203</v>
      </c>
      <c r="G138">
        <v>126</v>
      </c>
      <c r="H138">
        <v>97</v>
      </c>
      <c r="I138">
        <v>1</v>
      </c>
      <c r="K138">
        <v>143</v>
      </c>
      <c r="L138">
        <v>108</v>
      </c>
      <c r="M138">
        <v>58003603.603603609</v>
      </c>
      <c r="N138">
        <v>81218399.0990991</v>
      </c>
      <c r="O138">
        <v>115184223.42342342</v>
      </c>
      <c r="P138">
        <v>122672861.26126127</v>
      </c>
      <c r="Q138">
        <v>48919682.882882878</v>
      </c>
      <c r="R138">
        <v>75597837.837837845</v>
      </c>
      <c r="S138">
        <v>8042</v>
      </c>
      <c r="T138">
        <v>7451</v>
      </c>
    </row>
    <row r="139" spans="1:20" x14ac:dyDescent="0.35">
      <c r="A139" s="7" t="s">
        <v>229</v>
      </c>
      <c r="B139" s="12" t="s">
        <v>78</v>
      </c>
      <c r="C139">
        <v>142851947.77034608</v>
      </c>
      <c r="D139">
        <v>155756338.87374797</v>
      </c>
      <c r="E139">
        <v>5129279.2792792777</v>
      </c>
      <c r="F139">
        <v>6496317.1171171181</v>
      </c>
      <c r="G139">
        <v>74</v>
      </c>
      <c r="H139">
        <v>59</v>
      </c>
      <c r="I139">
        <v>2</v>
      </c>
      <c r="K139">
        <v>81</v>
      </c>
      <c r="L139">
        <v>66</v>
      </c>
      <c r="M139">
        <v>28736036.036036037</v>
      </c>
      <c r="N139">
        <v>33987209.009009011</v>
      </c>
      <c r="O139">
        <v>67755160.360360354</v>
      </c>
      <c r="P139">
        <v>73790169.369369373</v>
      </c>
      <c r="Q139">
        <v>28820313.513513517</v>
      </c>
      <c r="R139">
        <v>31096169.369369369</v>
      </c>
      <c r="S139">
        <v>2666</v>
      </c>
      <c r="T139">
        <v>2601</v>
      </c>
    </row>
    <row r="140" spans="1:20" x14ac:dyDescent="0.35">
      <c r="A140" s="7" t="s">
        <v>230</v>
      </c>
      <c r="B140" s="12" t="s">
        <v>54</v>
      </c>
      <c r="C140">
        <v>420612466.48839283</v>
      </c>
      <c r="D140">
        <v>424136806.88927406</v>
      </c>
      <c r="E140">
        <v>1047747.747747748</v>
      </c>
      <c r="F140">
        <v>1280736.936936937</v>
      </c>
      <c r="G140">
        <v>49</v>
      </c>
      <c r="H140">
        <v>64</v>
      </c>
      <c r="K140">
        <v>56</v>
      </c>
      <c r="L140">
        <v>75</v>
      </c>
      <c r="M140">
        <v>25601801.801801804</v>
      </c>
      <c r="N140">
        <v>24598409.009009007</v>
      </c>
      <c r="O140">
        <v>101744455.85585585</v>
      </c>
      <c r="P140">
        <v>106803594.5945946</v>
      </c>
      <c r="Q140">
        <v>27369729.729729731</v>
      </c>
      <c r="R140">
        <v>18174864.864864863</v>
      </c>
      <c r="S140">
        <v>7350</v>
      </c>
      <c r="T140">
        <v>6696</v>
      </c>
    </row>
    <row r="141" spans="1:20" x14ac:dyDescent="0.35">
      <c r="A141" s="7" t="s">
        <v>231</v>
      </c>
      <c r="B141" s="12" t="s">
        <v>78</v>
      </c>
      <c r="C141">
        <v>161850609.77391604</v>
      </c>
      <c r="D141">
        <v>161555393.26718023</v>
      </c>
      <c r="E141">
        <v>4245045.0450450471</v>
      </c>
      <c r="F141">
        <v>7106718.0180180203</v>
      </c>
      <c r="G141">
        <v>95</v>
      </c>
      <c r="H141">
        <v>53</v>
      </c>
      <c r="I141">
        <v>2</v>
      </c>
      <c r="K141">
        <v>124</v>
      </c>
      <c r="L141">
        <v>79</v>
      </c>
      <c r="M141">
        <v>40018918.918918923</v>
      </c>
      <c r="N141">
        <v>57664350.45045045</v>
      </c>
      <c r="O141">
        <v>75893765.765765756</v>
      </c>
      <c r="P141">
        <v>76832666.666666672</v>
      </c>
      <c r="Q141">
        <v>38900720.720720723</v>
      </c>
      <c r="R141">
        <v>55790450.45045045</v>
      </c>
      <c r="S141">
        <v>4101</v>
      </c>
      <c r="T141">
        <v>3431</v>
      </c>
    </row>
    <row r="142" spans="1:20" x14ac:dyDescent="0.35">
      <c r="A142" s="7" t="s">
        <v>232</v>
      </c>
      <c r="B142" s="12" t="s">
        <v>60</v>
      </c>
      <c r="C142">
        <v>145480512.5636234</v>
      </c>
      <c r="D142">
        <v>144182706.82787293</v>
      </c>
      <c r="G142">
        <v>55</v>
      </c>
      <c r="H142">
        <v>12</v>
      </c>
      <c r="K142">
        <v>57</v>
      </c>
      <c r="L142">
        <v>14</v>
      </c>
      <c r="O142">
        <v>59701126.126126125</v>
      </c>
      <c r="P142">
        <v>60363954.954954952</v>
      </c>
      <c r="S142">
        <v>1975</v>
      </c>
      <c r="T142">
        <v>2041</v>
      </c>
    </row>
    <row r="143" spans="1:20" x14ac:dyDescent="0.35">
      <c r="A143" s="7" t="s">
        <v>233</v>
      </c>
      <c r="B143" s="12" t="s">
        <v>54</v>
      </c>
      <c r="C143">
        <v>67820633.889987692</v>
      </c>
      <c r="D143">
        <v>67798038.327629432</v>
      </c>
      <c r="E143">
        <v>936936.93693693599</v>
      </c>
      <c r="F143">
        <v>2032432.432432432</v>
      </c>
      <c r="G143">
        <v>52</v>
      </c>
      <c r="H143">
        <v>8</v>
      </c>
      <c r="K143">
        <v>64</v>
      </c>
      <c r="L143">
        <v>8</v>
      </c>
      <c r="M143">
        <v>3988558.5585585572</v>
      </c>
      <c r="N143">
        <v>7159639.6396396402</v>
      </c>
      <c r="O143">
        <v>15075441.441441439</v>
      </c>
      <c r="P143">
        <v>16965090.090090092</v>
      </c>
      <c r="Q143">
        <v>3077567.5675675669</v>
      </c>
      <c r="R143">
        <v>7001891.8918918939</v>
      </c>
      <c r="S143">
        <v>1654</v>
      </c>
      <c r="T143">
        <v>1071</v>
      </c>
    </row>
    <row r="144" spans="1:20" x14ac:dyDescent="0.35">
      <c r="A144" s="7" t="s">
        <v>234</v>
      </c>
      <c r="B144" s="12" t="s">
        <v>167</v>
      </c>
      <c r="C144">
        <v>318882855.86699522</v>
      </c>
      <c r="D144">
        <v>307239169.40886015</v>
      </c>
      <c r="E144">
        <v>800900.90090090001</v>
      </c>
      <c r="F144">
        <v>2236318.9189189179</v>
      </c>
      <c r="G144">
        <v>25</v>
      </c>
      <c r="H144">
        <v>27</v>
      </c>
      <c r="K144">
        <v>29</v>
      </c>
      <c r="L144">
        <v>30</v>
      </c>
      <c r="M144">
        <v>35460709.009009011</v>
      </c>
      <c r="N144">
        <v>49930074.774774775</v>
      </c>
      <c r="O144">
        <v>88035040.540540546</v>
      </c>
      <c r="P144">
        <v>104147918.91891891</v>
      </c>
      <c r="Q144">
        <v>17656396.396396395</v>
      </c>
      <c r="R144">
        <v>27435315.315315317</v>
      </c>
      <c r="S144">
        <v>5046</v>
      </c>
      <c r="T144">
        <v>5241</v>
      </c>
    </row>
    <row r="145" spans="1:20" x14ac:dyDescent="0.35">
      <c r="A145" s="7" t="s">
        <v>235</v>
      </c>
      <c r="B145" s="12" t="s">
        <v>236</v>
      </c>
      <c r="C145">
        <v>6338.6316388719997</v>
      </c>
      <c r="D145">
        <v>1144.9650941479999</v>
      </c>
      <c r="O145">
        <v>9009.0090090089998</v>
      </c>
      <c r="S145">
        <v>2</v>
      </c>
      <c r="T145">
        <v>2</v>
      </c>
    </row>
    <row r="146" spans="1:20" x14ac:dyDescent="0.35">
      <c r="A146" s="7" t="s">
        <v>237</v>
      </c>
      <c r="B146" s="12" t="s">
        <v>105</v>
      </c>
      <c r="C146">
        <v>188632402.30807757</v>
      </c>
      <c r="D146">
        <v>188179937.85013342</v>
      </c>
      <c r="E146">
        <v>995495.49549549504</v>
      </c>
      <c r="F146">
        <v>743761.26126126305</v>
      </c>
      <c r="G146">
        <v>23</v>
      </c>
      <c r="H146">
        <v>25</v>
      </c>
      <c r="K146">
        <v>25</v>
      </c>
      <c r="L146">
        <v>27</v>
      </c>
      <c r="M146">
        <v>28528468.468468469</v>
      </c>
      <c r="N146">
        <v>25863134.234234236</v>
      </c>
      <c r="O146">
        <v>54605792.79279279</v>
      </c>
      <c r="P146">
        <v>59038819.819819823</v>
      </c>
      <c r="Q146">
        <v>28190810.810810808</v>
      </c>
      <c r="R146">
        <v>24006216.216216218</v>
      </c>
      <c r="S146">
        <v>2148</v>
      </c>
      <c r="T146">
        <v>1848</v>
      </c>
    </row>
    <row r="147" spans="1:20" x14ac:dyDescent="0.35">
      <c r="A147" s="7" t="s">
        <v>3</v>
      </c>
      <c r="B147" s="12" t="s">
        <v>158</v>
      </c>
      <c r="C147">
        <v>388078336.9102633</v>
      </c>
      <c r="D147">
        <v>339951384.80923343</v>
      </c>
      <c r="E147">
        <v>5709684.6846846854</v>
      </c>
      <c r="F147">
        <v>5087768.4684684696</v>
      </c>
      <c r="G147">
        <v>63</v>
      </c>
      <c r="H147">
        <v>65</v>
      </c>
      <c r="K147">
        <v>70</v>
      </c>
      <c r="L147">
        <v>71</v>
      </c>
      <c r="M147">
        <v>72676576.576576576</v>
      </c>
      <c r="N147">
        <v>103439091.89189188</v>
      </c>
      <c r="O147">
        <v>105140567.56756757</v>
      </c>
      <c r="P147">
        <v>97111315.315315306</v>
      </c>
      <c r="Q147">
        <v>67764144.144144148</v>
      </c>
      <c r="R147">
        <v>99631081.081081077</v>
      </c>
      <c r="S147">
        <v>3885</v>
      </c>
      <c r="T147">
        <v>3579</v>
      </c>
    </row>
    <row r="148" spans="1:20" x14ac:dyDescent="0.35">
      <c r="A148" s="7" t="s">
        <v>238</v>
      </c>
      <c r="B148" s="12" t="s">
        <v>178</v>
      </c>
      <c r="C148">
        <v>303993671.93232393</v>
      </c>
      <c r="D148">
        <v>313664316.02544999</v>
      </c>
      <c r="E148">
        <v>651351.35135135194</v>
      </c>
      <c r="F148">
        <v>5784529.7297297297</v>
      </c>
      <c r="G148">
        <v>89</v>
      </c>
      <c r="H148">
        <v>69</v>
      </c>
      <c r="K148">
        <v>107</v>
      </c>
      <c r="L148">
        <v>80</v>
      </c>
      <c r="M148">
        <v>40471171.171171166</v>
      </c>
      <c r="N148">
        <v>59772999.0990991</v>
      </c>
      <c r="O148">
        <v>96551018.018018022</v>
      </c>
      <c r="P148">
        <v>101536693.6936937</v>
      </c>
      <c r="Q148">
        <v>35427927.927927926</v>
      </c>
      <c r="R148">
        <v>54108738.738738738</v>
      </c>
      <c r="S148">
        <v>5790</v>
      </c>
      <c r="T148">
        <v>5081</v>
      </c>
    </row>
    <row r="149" spans="1:20" x14ac:dyDescent="0.35">
      <c r="A149" s="7" t="s">
        <v>239</v>
      </c>
      <c r="B149" s="12" t="s">
        <v>54</v>
      </c>
      <c r="C149">
        <v>217668170.11267218</v>
      </c>
      <c r="D149">
        <v>226411259.86608642</v>
      </c>
      <c r="E149">
        <v>4229729.7297297306</v>
      </c>
      <c r="F149">
        <v>2329127.9279279271</v>
      </c>
      <c r="G149">
        <v>40</v>
      </c>
      <c r="H149">
        <v>57</v>
      </c>
      <c r="K149">
        <v>42</v>
      </c>
      <c r="L149">
        <v>83</v>
      </c>
      <c r="M149">
        <v>29791351.351351351</v>
      </c>
      <c r="N149">
        <v>30114526.126126129</v>
      </c>
      <c r="O149">
        <v>59747545.945945941</v>
      </c>
      <c r="P149">
        <v>67336490.090090081</v>
      </c>
      <c r="Q149">
        <v>25370987.387387387</v>
      </c>
      <c r="R149">
        <v>30911711.711711712</v>
      </c>
      <c r="S149">
        <v>3615</v>
      </c>
      <c r="T149">
        <v>3432</v>
      </c>
    </row>
    <row r="150" spans="1:20" x14ac:dyDescent="0.35">
      <c r="A150" s="7" t="s">
        <v>240</v>
      </c>
      <c r="B150" s="12" t="s">
        <v>241</v>
      </c>
      <c r="C150">
        <v>186519395.86538827</v>
      </c>
      <c r="D150">
        <v>177187050.78821054</v>
      </c>
      <c r="E150">
        <v>390892774.77477479</v>
      </c>
      <c r="F150">
        <v>232612493.6936937</v>
      </c>
      <c r="G150">
        <v>80</v>
      </c>
      <c r="H150">
        <v>67</v>
      </c>
      <c r="K150">
        <v>86</v>
      </c>
      <c r="L150">
        <v>81</v>
      </c>
      <c r="M150">
        <v>95316846.846846849</v>
      </c>
      <c r="N150">
        <v>39918348.648648649</v>
      </c>
      <c r="O150">
        <v>43580854.054054059</v>
      </c>
      <c r="P150">
        <v>46210657.657657653</v>
      </c>
      <c r="Q150">
        <v>53979369.369369365</v>
      </c>
      <c r="R150">
        <v>22340810.810810812</v>
      </c>
      <c r="S150">
        <v>3083</v>
      </c>
      <c r="T150">
        <v>3026</v>
      </c>
    </row>
    <row r="151" spans="1:20" x14ac:dyDescent="0.35">
      <c r="A151" s="7" t="s">
        <v>242</v>
      </c>
      <c r="B151" s="12" t="s">
        <v>241</v>
      </c>
      <c r="C151">
        <v>476351694.60492861</v>
      </c>
      <c r="D151">
        <v>431229159.44925594</v>
      </c>
      <c r="E151">
        <v>8809009.0090090074</v>
      </c>
      <c r="F151">
        <v>10731653.153153151</v>
      </c>
      <c r="G151">
        <v>194</v>
      </c>
      <c r="H151">
        <v>164</v>
      </c>
      <c r="K151">
        <v>214</v>
      </c>
      <c r="L151">
        <v>180</v>
      </c>
      <c r="M151">
        <v>180438288.2882883</v>
      </c>
      <c r="N151">
        <v>160246858.55855855</v>
      </c>
      <c r="O151">
        <v>141985756.75675675</v>
      </c>
      <c r="P151">
        <v>140115846.84684685</v>
      </c>
      <c r="Q151">
        <v>173796486.48648649</v>
      </c>
      <c r="R151">
        <v>153576126.12612614</v>
      </c>
      <c r="S151">
        <v>8370</v>
      </c>
      <c r="T151">
        <v>6868</v>
      </c>
    </row>
    <row r="152" spans="1:20" x14ac:dyDescent="0.35">
      <c r="A152" s="7" t="s">
        <v>243</v>
      </c>
      <c r="B152" s="12" t="s">
        <v>50</v>
      </c>
      <c r="C152">
        <v>86982528.081982628</v>
      </c>
      <c r="D152">
        <v>77763257.527547225</v>
      </c>
      <c r="E152">
        <v>3554054.0540540549</v>
      </c>
      <c r="F152">
        <v>2320674.7747747758</v>
      </c>
      <c r="G152">
        <v>27</v>
      </c>
      <c r="H152">
        <v>41</v>
      </c>
      <c r="K152">
        <v>27</v>
      </c>
      <c r="L152">
        <v>50</v>
      </c>
      <c r="M152">
        <v>18515855.855855856</v>
      </c>
      <c r="N152">
        <v>5923145.0450450461</v>
      </c>
      <c r="O152">
        <v>27972666.666666668</v>
      </c>
      <c r="P152">
        <v>26661252.252252251</v>
      </c>
      <c r="Q152">
        <v>16406756.756756756</v>
      </c>
      <c r="R152">
        <v>4996621.6216216208</v>
      </c>
      <c r="S152">
        <v>1282</v>
      </c>
      <c r="T152">
        <v>1026</v>
      </c>
    </row>
    <row r="153" spans="1:20" x14ac:dyDescent="0.35">
      <c r="A153" s="7" t="s">
        <v>244</v>
      </c>
      <c r="B153" s="12" t="s">
        <v>181</v>
      </c>
      <c r="C153">
        <v>2614402832.8080015</v>
      </c>
      <c r="D153">
        <v>2491990283.2916675</v>
      </c>
      <c r="E153">
        <v>339290427.02702701</v>
      </c>
      <c r="F153">
        <v>282789878.37837839</v>
      </c>
      <c r="G153">
        <v>1116</v>
      </c>
      <c r="H153">
        <v>1081</v>
      </c>
      <c r="I153">
        <v>17</v>
      </c>
      <c r="K153">
        <v>1742</v>
      </c>
      <c r="L153">
        <v>1480</v>
      </c>
      <c r="M153">
        <v>371567117.11711711</v>
      </c>
      <c r="N153">
        <v>611976051.35135126</v>
      </c>
      <c r="O153">
        <v>565268956.75675678</v>
      </c>
      <c r="P153">
        <v>589727448.64864874</v>
      </c>
      <c r="Q153">
        <v>390506126.12612617</v>
      </c>
      <c r="R153">
        <v>595436756.75675678</v>
      </c>
      <c r="S153">
        <v>61370</v>
      </c>
      <c r="T153">
        <v>43282</v>
      </c>
    </row>
    <row r="154" spans="1:20" x14ac:dyDescent="0.35">
      <c r="A154" s="7" t="s">
        <v>245</v>
      </c>
      <c r="B154" s="12" t="s">
        <v>48</v>
      </c>
      <c r="C154">
        <v>116688820.79476383</v>
      </c>
      <c r="D154">
        <v>114090590.38524327</v>
      </c>
      <c r="E154">
        <v>106392117.11711712</v>
      </c>
      <c r="F154">
        <v>56466664.864864863</v>
      </c>
      <c r="G154">
        <v>15</v>
      </c>
      <c r="H154">
        <v>7</v>
      </c>
      <c r="K154">
        <v>19</v>
      </c>
      <c r="L154">
        <v>7</v>
      </c>
      <c r="M154">
        <v>31778828.828828827</v>
      </c>
      <c r="N154">
        <v>28176432.432432432</v>
      </c>
      <c r="O154">
        <v>27989963.963963963</v>
      </c>
      <c r="P154">
        <v>30425063.063063063</v>
      </c>
      <c r="Q154">
        <v>30593243.243243244</v>
      </c>
      <c r="R154">
        <v>10302792.792792795</v>
      </c>
      <c r="S154">
        <v>2135</v>
      </c>
      <c r="T154">
        <v>1778</v>
      </c>
    </row>
    <row r="155" spans="1:20" x14ac:dyDescent="0.35">
      <c r="A155" s="7" t="s">
        <v>246</v>
      </c>
      <c r="B155" s="12" t="s">
        <v>94</v>
      </c>
      <c r="C155">
        <v>36153201.100620814</v>
      </c>
      <c r="D155">
        <v>27954493.949296135</v>
      </c>
      <c r="G155">
        <v>5</v>
      </c>
      <c r="K155">
        <v>5</v>
      </c>
      <c r="O155">
        <v>7261873.8738738736</v>
      </c>
      <c r="P155">
        <v>5588828.8288288293</v>
      </c>
      <c r="S155">
        <v>747</v>
      </c>
      <c r="T155">
        <v>687</v>
      </c>
    </row>
    <row r="156" spans="1:20" x14ac:dyDescent="0.35">
      <c r="A156" s="7" t="s">
        <v>247</v>
      </c>
      <c r="B156" s="12" t="s">
        <v>117</v>
      </c>
      <c r="C156">
        <v>106261566.63263071</v>
      </c>
      <c r="D156">
        <v>98229468.367791981</v>
      </c>
      <c r="E156">
        <v>2765763.0630630641</v>
      </c>
      <c r="F156">
        <v>2864276.5765765761</v>
      </c>
      <c r="G156">
        <v>16</v>
      </c>
      <c r="H156">
        <v>21</v>
      </c>
      <c r="K156">
        <v>20</v>
      </c>
      <c r="L156">
        <v>31</v>
      </c>
      <c r="M156">
        <v>20036576.576576576</v>
      </c>
      <c r="N156">
        <v>111354509.009009</v>
      </c>
      <c r="O156">
        <v>51193576.576576576</v>
      </c>
      <c r="P156">
        <v>50823459.459459454</v>
      </c>
      <c r="Q156">
        <v>20420000</v>
      </c>
      <c r="R156">
        <v>13206576.576576576</v>
      </c>
      <c r="S156">
        <v>1808</v>
      </c>
      <c r="T156">
        <v>1771</v>
      </c>
    </row>
    <row r="157" spans="1:20" x14ac:dyDescent="0.35">
      <c r="A157" s="7" t="s">
        <v>248</v>
      </c>
      <c r="B157" s="12" t="s">
        <v>121</v>
      </c>
      <c r="C157">
        <v>172531242.57545793</v>
      </c>
      <c r="D157">
        <v>157821455.35143673</v>
      </c>
      <c r="E157">
        <v>901801.80180180201</v>
      </c>
      <c r="F157">
        <v>521018.91891892202</v>
      </c>
      <c r="G157">
        <v>96</v>
      </c>
      <c r="H157">
        <v>100</v>
      </c>
      <c r="K157">
        <v>103</v>
      </c>
      <c r="L157">
        <v>104</v>
      </c>
      <c r="M157">
        <v>6815315.3153153136</v>
      </c>
      <c r="N157">
        <v>8168948.6486486513</v>
      </c>
      <c r="O157">
        <v>19204063.063063063</v>
      </c>
      <c r="P157">
        <v>18007630.630630631</v>
      </c>
      <c r="Q157">
        <v>5293693.6936936928</v>
      </c>
      <c r="R157">
        <v>6469369.3693693671</v>
      </c>
      <c r="S157">
        <v>2592</v>
      </c>
      <c r="T157">
        <v>2346</v>
      </c>
    </row>
    <row r="158" spans="1:20" x14ac:dyDescent="0.35">
      <c r="A158" s="7" t="s">
        <v>249</v>
      </c>
      <c r="B158" s="12" t="s">
        <v>76</v>
      </c>
      <c r="C158">
        <v>75958658.683427438</v>
      </c>
      <c r="D158">
        <v>73666217.344603568</v>
      </c>
      <c r="G158">
        <v>7</v>
      </c>
      <c r="H158">
        <v>1</v>
      </c>
      <c r="K158">
        <v>7</v>
      </c>
      <c r="L158">
        <v>1</v>
      </c>
      <c r="O158">
        <v>7649324.3243243247</v>
      </c>
      <c r="P158">
        <v>8411900.9009009004</v>
      </c>
      <c r="S158">
        <v>1846</v>
      </c>
      <c r="T158">
        <v>1602</v>
      </c>
    </row>
    <row r="159" spans="1:20" x14ac:dyDescent="0.35">
      <c r="A159" s="7" t="s">
        <v>250</v>
      </c>
      <c r="B159" s="12" t="s">
        <v>167</v>
      </c>
      <c r="C159">
        <v>244064503.13155457</v>
      </c>
      <c r="D159">
        <v>245202153.11162311</v>
      </c>
      <c r="E159">
        <v>32432.432432432</v>
      </c>
      <c r="F159">
        <v>963991.89189189195</v>
      </c>
      <c r="G159">
        <v>38</v>
      </c>
      <c r="H159">
        <v>10</v>
      </c>
      <c r="K159">
        <v>43</v>
      </c>
      <c r="L159">
        <v>13</v>
      </c>
      <c r="M159">
        <v>4819819.8198198192</v>
      </c>
      <c r="N159">
        <v>12371366.666666668</v>
      </c>
      <c r="O159">
        <v>44739427.927927926</v>
      </c>
      <c r="P159">
        <v>62264639.639639638</v>
      </c>
      <c r="Q159">
        <v>4013423.423423423</v>
      </c>
      <c r="R159">
        <v>6573693.6936936928</v>
      </c>
      <c r="S159">
        <v>3821</v>
      </c>
      <c r="T159">
        <v>3778</v>
      </c>
    </row>
    <row r="160" spans="1:20" x14ac:dyDescent="0.35">
      <c r="A160" s="7" t="s">
        <v>251</v>
      </c>
      <c r="B160" s="12" t="s">
        <v>89</v>
      </c>
      <c r="C160">
        <v>723205406.80586672</v>
      </c>
      <c r="D160">
        <v>750806969.36673212</v>
      </c>
      <c r="E160">
        <v>6059909.9099099142</v>
      </c>
      <c r="F160">
        <v>6763611.7117117168</v>
      </c>
      <c r="G160">
        <v>127</v>
      </c>
      <c r="H160">
        <v>61</v>
      </c>
      <c r="I160">
        <v>1</v>
      </c>
      <c r="K160">
        <v>139</v>
      </c>
      <c r="L160">
        <v>81</v>
      </c>
      <c r="M160">
        <v>63095765.765765771</v>
      </c>
      <c r="N160">
        <v>61070335.135135137</v>
      </c>
      <c r="O160">
        <v>175918196.3963964</v>
      </c>
      <c r="P160">
        <v>197275900.9009009</v>
      </c>
      <c r="Q160">
        <v>55123333.333333336</v>
      </c>
      <c r="R160">
        <v>62737477.477477483</v>
      </c>
      <c r="S160">
        <v>10565</v>
      </c>
      <c r="T160">
        <v>11829</v>
      </c>
    </row>
    <row r="161" spans="1:20" x14ac:dyDescent="0.35">
      <c r="A161" s="7" t="s">
        <v>252</v>
      </c>
      <c r="B161" s="12" t="s">
        <v>78</v>
      </c>
      <c r="C161">
        <v>215930960.95456234</v>
      </c>
      <c r="D161">
        <v>215305428.52303255</v>
      </c>
      <c r="E161">
        <v>3177477.4774774779</v>
      </c>
      <c r="F161">
        <v>2018024.3243243271</v>
      </c>
      <c r="G161">
        <v>36</v>
      </c>
      <c r="H161">
        <v>22</v>
      </c>
      <c r="K161">
        <v>39</v>
      </c>
      <c r="L161">
        <v>23</v>
      </c>
      <c r="M161">
        <v>43365045.045045048</v>
      </c>
      <c r="N161">
        <v>37639019.819819823</v>
      </c>
      <c r="O161">
        <v>59886081.081081077</v>
      </c>
      <c r="P161">
        <v>62007171.171171166</v>
      </c>
      <c r="Q161">
        <v>39621081.081081077</v>
      </c>
      <c r="R161">
        <v>36059819.819819823</v>
      </c>
      <c r="S161">
        <v>3299</v>
      </c>
      <c r="T161">
        <v>2883</v>
      </c>
    </row>
    <row r="162" spans="1:20" x14ac:dyDescent="0.35">
      <c r="A162" s="7" t="s">
        <v>253</v>
      </c>
      <c r="B162" s="12" t="s">
        <v>105</v>
      </c>
      <c r="C162">
        <v>417781037.00770354</v>
      </c>
      <c r="D162">
        <v>431269568.40215909</v>
      </c>
      <c r="E162">
        <v>173467733.33333334</v>
      </c>
      <c r="F162">
        <v>207348718.91891891</v>
      </c>
      <c r="G162">
        <v>182</v>
      </c>
      <c r="H162">
        <v>116</v>
      </c>
      <c r="I162">
        <v>1</v>
      </c>
      <c r="K162">
        <v>220</v>
      </c>
      <c r="L162">
        <v>136</v>
      </c>
      <c r="M162">
        <v>71736936.93693693</v>
      </c>
      <c r="N162">
        <v>188118264.86486486</v>
      </c>
      <c r="O162">
        <v>121485556.75675675</v>
      </c>
      <c r="P162">
        <v>129402639.63963965</v>
      </c>
      <c r="Q162">
        <v>72873466.666666672</v>
      </c>
      <c r="R162">
        <v>186704549.54954955</v>
      </c>
      <c r="S162">
        <v>5834</v>
      </c>
      <c r="T162">
        <v>5190</v>
      </c>
    </row>
    <row r="163" spans="1:20" x14ac:dyDescent="0.35">
      <c r="A163" s="7" t="s">
        <v>254</v>
      </c>
      <c r="B163" s="12" t="s">
        <v>105</v>
      </c>
      <c r="C163">
        <v>279157409.65117931</v>
      </c>
      <c r="D163">
        <v>240936876.32331645</v>
      </c>
      <c r="E163">
        <v>2830405.4054054068</v>
      </c>
      <c r="F163">
        <v>2380064.8648648658</v>
      </c>
      <c r="G163">
        <v>35</v>
      </c>
      <c r="H163">
        <v>41</v>
      </c>
      <c r="I163">
        <v>1</v>
      </c>
      <c r="K163">
        <v>40</v>
      </c>
      <c r="L163">
        <v>44</v>
      </c>
      <c r="M163">
        <v>20892252.252252251</v>
      </c>
      <c r="N163">
        <v>26701325.225225225</v>
      </c>
      <c r="O163">
        <v>86704063.06306307</v>
      </c>
      <c r="P163">
        <v>84068897.297297299</v>
      </c>
      <c r="Q163">
        <v>19378288.288288288</v>
      </c>
      <c r="R163">
        <v>23614410.810810808</v>
      </c>
      <c r="S163">
        <v>4096</v>
      </c>
      <c r="T163">
        <v>3679</v>
      </c>
    </row>
    <row r="164" spans="1:20" x14ac:dyDescent="0.35">
      <c r="A164" s="7" t="s">
        <v>255</v>
      </c>
      <c r="B164" s="12" t="s">
        <v>105</v>
      </c>
      <c r="C164">
        <v>224997438.51328298</v>
      </c>
      <c r="D164">
        <v>245360788.00984782</v>
      </c>
      <c r="E164">
        <v>829729.72972973005</v>
      </c>
      <c r="F164">
        <v>69369.369369370004</v>
      </c>
      <c r="G164">
        <v>40</v>
      </c>
      <c r="H164">
        <v>30</v>
      </c>
      <c r="I164">
        <v>4</v>
      </c>
      <c r="K164">
        <v>41</v>
      </c>
      <c r="L164">
        <v>33</v>
      </c>
      <c r="M164">
        <v>4568468.4684684686</v>
      </c>
      <c r="N164">
        <v>2546846.8468468469</v>
      </c>
      <c r="O164">
        <v>47531863.063063063</v>
      </c>
      <c r="P164">
        <v>57004567.567567565</v>
      </c>
      <c r="Q164">
        <v>3343243.2432432431</v>
      </c>
      <c r="R164">
        <v>1946666.666666667</v>
      </c>
      <c r="S164">
        <v>2651</v>
      </c>
      <c r="T164">
        <v>2115</v>
      </c>
    </row>
    <row r="165" spans="1:20" x14ac:dyDescent="0.35">
      <c r="A165" s="7" t="s">
        <v>256</v>
      </c>
      <c r="B165" s="12" t="s">
        <v>134</v>
      </c>
      <c r="C165">
        <v>352961970.54042006</v>
      </c>
      <c r="D165">
        <v>371747519.70884484</v>
      </c>
      <c r="E165">
        <v>1846846.846846848</v>
      </c>
      <c r="F165">
        <v>945943.24324324296</v>
      </c>
      <c r="G165">
        <v>25</v>
      </c>
      <c r="H165">
        <v>28</v>
      </c>
      <c r="K165">
        <v>27</v>
      </c>
      <c r="L165">
        <v>32</v>
      </c>
      <c r="M165">
        <v>4468468.4684684686</v>
      </c>
      <c r="N165">
        <v>7100044.1441441439</v>
      </c>
      <c r="O165">
        <v>25889459.459459461</v>
      </c>
      <c r="P165">
        <v>36391367.567567565</v>
      </c>
      <c r="Q165">
        <v>4508648.6486486495</v>
      </c>
      <c r="R165">
        <v>6210990.9909909908</v>
      </c>
      <c r="S165">
        <v>4653</v>
      </c>
      <c r="T165">
        <v>4188</v>
      </c>
    </row>
    <row r="166" spans="1:20" x14ac:dyDescent="0.35">
      <c r="A166" s="7" t="s">
        <v>257</v>
      </c>
      <c r="B166" s="12" t="s">
        <v>167</v>
      </c>
      <c r="C166">
        <v>126133236.95618413</v>
      </c>
      <c r="D166">
        <v>140171535.73229492</v>
      </c>
      <c r="E166">
        <v>1233333.333333333</v>
      </c>
      <c r="F166">
        <v>965032.43243243301</v>
      </c>
      <c r="G166">
        <v>26</v>
      </c>
      <c r="H166">
        <v>15</v>
      </c>
      <c r="K166">
        <v>28</v>
      </c>
      <c r="L166">
        <v>16</v>
      </c>
      <c r="M166">
        <v>6933125.2252252251</v>
      </c>
      <c r="N166">
        <v>10469450.450450452</v>
      </c>
      <c r="O166">
        <v>42286070.270270273</v>
      </c>
      <c r="P166">
        <v>53194621.621621624</v>
      </c>
      <c r="Q166">
        <v>6388288.2882882878</v>
      </c>
      <c r="R166">
        <v>10136486.486486487</v>
      </c>
      <c r="S166">
        <v>2736</v>
      </c>
      <c r="T166">
        <v>2456</v>
      </c>
    </row>
    <row r="167" spans="1:20" x14ac:dyDescent="0.35">
      <c r="A167" s="7" t="s">
        <v>258</v>
      </c>
      <c r="B167" s="12" t="s">
        <v>60</v>
      </c>
      <c r="C167">
        <v>50526111.834810771</v>
      </c>
      <c r="D167">
        <v>49167433.881404832</v>
      </c>
      <c r="E167">
        <v>413513.51351351198</v>
      </c>
      <c r="F167">
        <v>1375225.2252252251</v>
      </c>
      <c r="G167">
        <v>29</v>
      </c>
      <c r="H167">
        <v>19</v>
      </c>
      <c r="I167">
        <v>4</v>
      </c>
      <c r="K167">
        <v>34</v>
      </c>
      <c r="L167">
        <v>24</v>
      </c>
      <c r="M167">
        <v>9548648.6486486476</v>
      </c>
      <c r="N167">
        <v>16076126.126126127</v>
      </c>
      <c r="O167">
        <v>17828756.756756756</v>
      </c>
      <c r="P167">
        <v>18246594.59459459</v>
      </c>
      <c r="Q167">
        <v>9606576.5765765756</v>
      </c>
      <c r="R167">
        <v>13180540.540540541</v>
      </c>
      <c r="S167">
        <v>796</v>
      </c>
      <c r="T167">
        <v>492</v>
      </c>
    </row>
    <row r="168" spans="1:20" x14ac:dyDescent="0.35">
      <c r="A168" s="7" t="s">
        <v>259</v>
      </c>
      <c r="B168" s="12" t="s">
        <v>260</v>
      </c>
      <c r="C168">
        <v>29471992.088587001</v>
      </c>
      <c r="D168">
        <v>30636468.995325316</v>
      </c>
      <c r="E168">
        <v>18918.918918919</v>
      </c>
      <c r="F168">
        <v>1100900.9009009011</v>
      </c>
      <c r="G168">
        <v>9</v>
      </c>
      <c r="H168">
        <v>2</v>
      </c>
      <c r="K168">
        <v>12</v>
      </c>
      <c r="L168">
        <v>2</v>
      </c>
      <c r="M168">
        <v>7750900.9009009013</v>
      </c>
      <c r="N168">
        <v>3803603.6036036038</v>
      </c>
      <c r="O168">
        <v>5495972.9729729732</v>
      </c>
      <c r="P168">
        <v>7381873.8738738736</v>
      </c>
      <c r="Q168">
        <v>4036576.5765765761</v>
      </c>
      <c r="R168">
        <v>1822252.252252253</v>
      </c>
      <c r="S168">
        <v>588</v>
      </c>
      <c r="T168">
        <v>602</v>
      </c>
    </row>
    <row r="169" spans="1:20" x14ac:dyDescent="0.35">
      <c r="A169" s="7" t="s">
        <v>261</v>
      </c>
      <c r="B169" s="12" t="s">
        <v>60</v>
      </c>
      <c r="C169">
        <v>465587230.90202147</v>
      </c>
      <c r="D169">
        <v>468005212.09721535</v>
      </c>
      <c r="E169">
        <v>265957340.54054055</v>
      </c>
      <c r="F169">
        <v>797548956.75675678</v>
      </c>
      <c r="G169">
        <v>350</v>
      </c>
      <c r="H169">
        <v>287</v>
      </c>
      <c r="I169">
        <v>3</v>
      </c>
      <c r="K169">
        <v>1186</v>
      </c>
      <c r="L169">
        <v>428</v>
      </c>
      <c r="M169">
        <v>89859009.009009004</v>
      </c>
      <c r="N169">
        <v>154869860.36036035</v>
      </c>
      <c r="O169">
        <v>170614439.1891892</v>
      </c>
      <c r="P169">
        <v>172015576.57657659</v>
      </c>
      <c r="Q169">
        <v>95336936.93693693</v>
      </c>
      <c r="R169">
        <v>145982522.52252254</v>
      </c>
      <c r="S169">
        <v>9207</v>
      </c>
      <c r="T169">
        <v>6661</v>
      </c>
    </row>
    <row r="170" spans="1:20" x14ac:dyDescent="0.35">
      <c r="A170" s="7" t="s">
        <v>262</v>
      </c>
      <c r="B170" s="12" t="s">
        <v>123</v>
      </c>
      <c r="C170">
        <v>358427745.36961454</v>
      </c>
      <c r="D170">
        <v>337742597.76435786</v>
      </c>
      <c r="E170">
        <v>1486486.486486488</v>
      </c>
      <c r="F170">
        <v>1562117.1171171181</v>
      </c>
      <c r="G170">
        <v>96</v>
      </c>
      <c r="H170">
        <v>87</v>
      </c>
      <c r="I170">
        <v>1</v>
      </c>
      <c r="K170">
        <v>120</v>
      </c>
      <c r="L170">
        <v>107</v>
      </c>
      <c r="M170">
        <v>34735945.945945948</v>
      </c>
      <c r="N170">
        <v>27778724.324324325</v>
      </c>
      <c r="O170">
        <v>139755594.5945946</v>
      </c>
      <c r="P170">
        <v>135657275.67567569</v>
      </c>
      <c r="Q170">
        <v>32446126.126126129</v>
      </c>
      <c r="R170">
        <v>27723243.243243244</v>
      </c>
      <c r="S170">
        <v>5821</v>
      </c>
      <c r="T170">
        <v>5541</v>
      </c>
    </row>
    <row r="171" spans="1:20" x14ac:dyDescent="0.35">
      <c r="A171" s="7" t="s">
        <v>263</v>
      </c>
      <c r="B171" s="12" t="s">
        <v>123</v>
      </c>
      <c r="C171">
        <v>151662149.5643346</v>
      </c>
      <c r="D171">
        <v>156779138.70766357</v>
      </c>
      <c r="E171">
        <v>3180405.4054054059</v>
      </c>
      <c r="F171">
        <v>5461741.4414414437</v>
      </c>
      <c r="G171">
        <v>114</v>
      </c>
      <c r="H171">
        <v>85</v>
      </c>
      <c r="I171">
        <v>2</v>
      </c>
      <c r="K171">
        <v>346</v>
      </c>
      <c r="L171">
        <v>493</v>
      </c>
      <c r="M171">
        <v>52494324.324324317</v>
      </c>
      <c r="N171">
        <v>43378693.693693697</v>
      </c>
      <c r="O171">
        <v>63668639.639639638</v>
      </c>
      <c r="P171">
        <v>71653468.468468457</v>
      </c>
      <c r="Q171">
        <v>54489549.54954955</v>
      </c>
      <c r="R171">
        <v>41036666.666666664</v>
      </c>
      <c r="S171">
        <v>3384</v>
      </c>
      <c r="T171">
        <v>1650</v>
      </c>
    </row>
    <row r="172" spans="1:20" x14ac:dyDescent="0.35">
      <c r="A172" s="7" t="s">
        <v>264</v>
      </c>
      <c r="B172" s="12" t="s">
        <v>125</v>
      </c>
      <c r="C172">
        <v>383038403.40949541</v>
      </c>
      <c r="D172">
        <v>377538753.98924857</v>
      </c>
      <c r="E172">
        <v>215371621.62162164</v>
      </c>
      <c r="F172">
        <v>136510285.58558559</v>
      </c>
      <c r="G172">
        <v>102</v>
      </c>
      <c r="H172">
        <v>54</v>
      </c>
      <c r="K172">
        <v>103</v>
      </c>
      <c r="L172">
        <v>58</v>
      </c>
      <c r="M172">
        <v>36622072.072072074</v>
      </c>
      <c r="N172">
        <v>42632719.819819823</v>
      </c>
      <c r="O172">
        <v>136613645.04504505</v>
      </c>
      <c r="P172">
        <v>136850855.85585585</v>
      </c>
      <c r="Q172">
        <v>33611935.135135137</v>
      </c>
      <c r="R172">
        <v>34397477.477477483</v>
      </c>
      <c r="S172">
        <v>4625</v>
      </c>
      <c r="T172">
        <v>4394</v>
      </c>
    </row>
    <row r="173" spans="1:20" x14ac:dyDescent="0.35">
      <c r="A173" s="7" t="s">
        <v>265</v>
      </c>
      <c r="B173" s="12" t="s">
        <v>123</v>
      </c>
      <c r="C173">
        <v>367561833.20108879</v>
      </c>
      <c r="D173">
        <v>347507505.72043759</v>
      </c>
      <c r="E173">
        <v>2241441.4414414428</v>
      </c>
      <c r="F173">
        <v>2665026.1261261269</v>
      </c>
      <c r="G173">
        <v>62</v>
      </c>
      <c r="H173">
        <v>56</v>
      </c>
      <c r="I173">
        <v>1</v>
      </c>
      <c r="K173">
        <v>66</v>
      </c>
      <c r="L173">
        <v>61</v>
      </c>
      <c r="M173">
        <v>42758468.468468472</v>
      </c>
      <c r="N173">
        <v>58716404.504504502</v>
      </c>
      <c r="O173">
        <v>129022183.78378379</v>
      </c>
      <c r="P173">
        <v>131585600</v>
      </c>
      <c r="Q173">
        <v>40157837.837837838</v>
      </c>
      <c r="R173">
        <v>58251621.621621624</v>
      </c>
      <c r="S173">
        <v>5175</v>
      </c>
      <c r="T173">
        <v>4755</v>
      </c>
    </row>
    <row r="174" spans="1:20" x14ac:dyDescent="0.35">
      <c r="A174" s="7" t="s">
        <v>266</v>
      </c>
      <c r="B174" s="12" t="s">
        <v>123</v>
      </c>
      <c r="C174">
        <v>380709623.52507812</v>
      </c>
      <c r="D174">
        <v>384608993.02169955</v>
      </c>
      <c r="E174">
        <v>3363513.5135135138</v>
      </c>
      <c r="F174">
        <v>4303971.1711711735</v>
      </c>
      <c r="G174">
        <v>80</v>
      </c>
      <c r="H174">
        <v>106</v>
      </c>
      <c r="K174">
        <v>88</v>
      </c>
      <c r="L174">
        <v>112</v>
      </c>
      <c r="M174">
        <v>59117387.387387387</v>
      </c>
      <c r="N174">
        <v>49022064.864864863</v>
      </c>
      <c r="O174">
        <v>154489484.68468466</v>
      </c>
      <c r="P174">
        <v>154958131.53153151</v>
      </c>
      <c r="Q174">
        <v>59070990.990990989</v>
      </c>
      <c r="R174">
        <v>45861171.171171166</v>
      </c>
      <c r="S174">
        <v>6021</v>
      </c>
      <c r="T174">
        <v>5278</v>
      </c>
    </row>
    <row r="175" spans="1:20" x14ac:dyDescent="0.35">
      <c r="A175" s="7" t="s">
        <v>267</v>
      </c>
      <c r="B175" s="12" t="s">
        <v>178</v>
      </c>
      <c r="C175">
        <v>1948553976.8948698</v>
      </c>
      <c r="D175">
        <v>1925818161.5978775</v>
      </c>
      <c r="E175">
        <v>998652028.82882881</v>
      </c>
      <c r="F175">
        <v>976616448.64864874</v>
      </c>
      <c r="G175">
        <v>1143</v>
      </c>
      <c r="H175">
        <v>900</v>
      </c>
      <c r="I175">
        <v>3</v>
      </c>
      <c r="K175">
        <v>1706</v>
      </c>
      <c r="L175">
        <v>1756</v>
      </c>
      <c r="M175">
        <v>292510654.05405408</v>
      </c>
      <c r="N175">
        <v>643891251.35135126</v>
      </c>
      <c r="O175">
        <v>578876667.56756759</v>
      </c>
      <c r="P175">
        <v>614698508.10810816</v>
      </c>
      <c r="Q175">
        <v>264206846.84684685</v>
      </c>
      <c r="R175">
        <v>417924369.36936933</v>
      </c>
      <c r="S175">
        <v>39485</v>
      </c>
      <c r="T175">
        <v>32468</v>
      </c>
    </row>
    <row r="176" spans="1:20" x14ac:dyDescent="0.35">
      <c r="A176" s="7" t="s">
        <v>268</v>
      </c>
      <c r="B176" s="12" t="s">
        <v>62</v>
      </c>
      <c r="C176">
        <v>316187762.34343636</v>
      </c>
      <c r="D176">
        <v>331751911.24107498</v>
      </c>
      <c r="E176">
        <v>7308108.1081081107</v>
      </c>
      <c r="F176">
        <v>10278130.630630633</v>
      </c>
      <c r="G176">
        <v>99</v>
      </c>
      <c r="H176">
        <v>213</v>
      </c>
      <c r="K176">
        <v>109</v>
      </c>
      <c r="L176">
        <v>263</v>
      </c>
      <c r="M176">
        <v>154916846.84684685</v>
      </c>
      <c r="N176">
        <v>103877865.76576576</v>
      </c>
      <c r="O176">
        <v>104959909.9099099</v>
      </c>
      <c r="P176">
        <v>120225277.47747748</v>
      </c>
      <c r="Q176">
        <v>104701801.8018018</v>
      </c>
      <c r="R176">
        <v>103091531.53153154</v>
      </c>
      <c r="S176">
        <v>4906</v>
      </c>
      <c r="T176">
        <v>4812</v>
      </c>
    </row>
    <row r="177" spans="1:20" x14ac:dyDescent="0.35">
      <c r="A177" s="7" t="s">
        <v>269</v>
      </c>
      <c r="B177" s="12" t="s">
        <v>70</v>
      </c>
      <c r="C177">
        <v>411298173.54008722</v>
      </c>
      <c r="D177">
        <v>396190133.04745454</v>
      </c>
      <c r="E177">
        <v>9023108.1081081145</v>
      </c>
      <c r="F177">
        <v>14746308.108108113</v>
      </c>
      <c r="G177">
        <v>177</v>
      </c>
      <c r="H177">
        <v>284</v>
      </c>
      <c r="K177">
        <v>663</v>
      </c>
      <c r="L177">
        <v>383</v>
      </c>
      <c r="M177">
        <v>40765765.765765771</v>
      </c>
      <c r="N177">
        <v>72101144.144144148</v>
      </c>
      <c r="O177">
        <v>190059036.03603604</v>
      </c>
      <c r="P177">
        <v>192001900.9009009</v>
      </c>
      <c r="Q177">
        <v>26597207.207207207</v>
      </c>
      <c r="R177">
        <v>58063063.063063063</v>
      </c>
      <c r="S177">
        <v>8090</v>
      </c>
      <c r="T177">
        <v>6981</v>
      </c>
    </row>
    <row r="178" spans="1:20" x14ac:dyDescent="0.35">
      <c r="A178" s="7" t="s">
        <v>270</v>
      </c>
      <c r="B178" s="12" t="s">
        <v>134</v>
      </c>
      <c r="C178">
        <v>5652108.0837618271</v>
      </c>
      <c r="D178">
        <v>5941403.4424308008</v>
      </c>
      <c r="L178">
        <v>1</v>
      </c>
      <c r="O178">
        <v>476081.081081082</v>
      </c>
      <c r="P178">
        <v>382972.97297297302</v>
      </c>
      <c r="S178">
        <v>231</v>
      </c>
      <c r="T178">
        <v>214</v>
      </c>
    </row>
    <row r="179" spans="1:20" x14ac:dyDescent="0.35">
      <c r="A179" s="7" t="s">
        <v>271</v>
      </c>
      <c r="B179" s="12" t="s">
        <v>76</v>
      </c>
      <c r="C179">
        <v>186824440.56034577</v>
      </c>
      <c r="D179">
        <v>179990690.48244989</v>
      </c>
      <c r="E179">
        <v>355855.85585585597</v>
      </c>
      <c r="F179">
        <v>835135.13513513503</v>
      </c>
      <c r="G179">
        <v>23</v>
      </c>
      <c r="H179">
        <v>21</v>
      </c>
      <c r="K179">
        <v>27</v>
      </c>
      <c r="L179">
        <v>21</v>
      </c>
      <c r="M179">
        <v>445945.94594594598</v>
      </c>
      <c r="N179">
        <v>1141441.4414414419</v>
      </c>
      <c r="O179">
        <v>10938013.513513513</v>
      </c>
      <c r="P179">
        <v>12670135.135135137</v>
      </c>
      <c r="Q179">
        <v>347747.74774774798</v>
      </c>
      <c r="R179">
        <v>832432.43243243196</v>
      </c>
      <c r="S179">
        <v>2578</v>
      </c>
      <c r="T179">
        <v>3125</v>
      </c>
    </row>
    <row r="180" spans="1:20" x14ac:dyDescent="0.35">
      <c r="A180" s="7" t="s">
        <v>272</v>
      </c>
      <c r="B180" s="12" t="s">
        <v>76</v>
      </c>
      <c r="C180">
        <v>66340834.27842541</v>
      </c>
      <c r="D180">
        <v>75684607.221948475</v>
      </c>
      <c r="E180">
        <v>212612.61261261301</v>
      </c>
      <c r="F180">
        <v>422827.92792792799</v>
      </c>
      <c r="G180">
        <v>7</v>
      </c>
      <c r="H180">
        <v>19</v>
      </c>
      <c r="K180">
        <v>9</v>
      </c>
      <c r="L180">
        <v>19</v>
      </c>
      <c r="M180">
        <v>14549729.729729729</v>
      </c>
      <c r="N180">
        <v>16347405.405405404</v>
      </c>
      <c r="O180">
        <v>15848522.522522524</v>
      </c>
      <c r="P180">
        <v>21116718.918918919</v>
      </c>
      <c r="Q180">
        <v>11423513.513513513</v>
      </c>
      <c r="R180">
        <v>14434594.594594594</v>
      </c>
      <c r="S180">
        <v>829</v>
      </c>
      <c r="T180">
        <v>823</v>
      </c>
    </row>
    <row r="181" spans="1:20" x14ac:dyDescent="0.35">
      <c r="A181" s="7" t="s">
        <v>273</v>
      </c>
      <c r="B181" s="12" t="s">
        <v>260</v>
      </c>
      <c r="C181">
        <v>1370291104.6738493</v>
      </c>
      <c r="D181">
        <v>1388697606.3511305</v>
      </c>
      <c r="E181">
        <v>16565765.765765764</v>
      </c>
      <c r="F181">
        <v>20976443.243243247</v>
      </c>
      <c r="G181">
        <v>547</v>
      </c>
      <c r="H181">
        <v>618</v>
      </c>
      <c r="K181">
        <v>694</v>
      </c>
      <c r="L181">
        <v>761</v>
      </c>
      <c r="M181">
        <v>282381081.08108109</v>
      </c>
      <c r="N181">
        <v>332896565.76576579</v>
      </c>
      <c r="O181">
        <v>421603734.23423421</v>
      </c>
      <c r="P181">
        <v>467784890.0900901</v>
      </c>
      <c r="Q181">
        <v>249554324.32432431</v>
      </c>
      <c r="R181">
        <v>317028513.51351357</v>
      </c>
      <c r="S181">
        <v>21555</v>
      </c>
      <c r="T181">
        <v>19111</v>
      </c>
    </row>
    <row r="182" spans="1:20" x14ac:dyDescent="0.35">
      <c r="A182" s="7" t="s">
        <v>670</v>
      </c>
      <c r="B182" s="12" t="s">
        <v>260</v>
      </c>
      <c r="E182">
        <v>549932403.6036036</v>
      </c>
      <c r="F182">
        <v>608957386.48648655</v>
      </c>
      <c r="M182">
        <v>69081531.531531543</v>
      </c>
      <c r="N182">
        <v>51198198.198198199</v>
      </c>
    </row>
    <row r="183" spans="1:20" x14ac:dyDescent="0.35">
      <c r="A183" s="7" t="s">
        <v>274</v>
      </c>
      <c r="B183" s="12" t="s">
        <v>260</v>
      </c>
      <c r="C183">
        <v>307906022.91514802</v>
      </c>
      <c r="D183">
        <v>294578079.56128913</v>
      </c>
      <c r="E183">
        <v>1645045.0450450459</v>
      </c>
      <c r="F183">
        <v>734359.45945946302</v>
      </c>
      <c r="G183">
        <v>22</v>
      </c>
      <c r="H183">
        <v>35</v>
      </c>
      <c r="K183">
        <v>27</v>
      </c>
      <c r="L183">
        <v>36</v>
      </c>
      <c r="M183">
        <v>25018468.468468469</v>
      </c>
      <c r="N183">
        <v>30186808.108108107</v>
      </c>
      <c r="O183">
        <v>62784477.477477483</v>
      </c>
      <c r="P183">
        <v>66567720.720720723</v>
      </c>
      <c r="Q183">
        <v>18363513.513513513</v>
      </c>
      <c r="R183">
        <v>24186933.333333332</v>
      </c>
      <c r="S183">
        <v>3815</v>
      </c>
      <c r="T183">
        <v>3805</v>
      </c>
    </row>
    <row r="184" spans="1:20" x14ac:dyDescent="0.35">
      <c r="A184" s="7" t="s">
        <v>275</v>
      </c>
      <c r="B184" s="12" t="s">
        <v>260</v>
      </c>
      <c r="C184">
        <v>343676629.23378623</v>
      </c>
      <c r="D184">
        <v>360432294.24693292</v>
      </c>
      <c r="E184">
        <v>10494234.234234232</v>
      </c>
      <c r="F184">
        <v>9507815.3153153174</v>
      </c>
      <c r="G184">
        <v>224</v>
      </c>
      <c r="H184">
        <v>53</v>
      </c>
      <c r="K184">
        <v>235</v>
      </c>
      <c r="L184">
        <v>59</v>
      </c>
      <c r="M184">
        <v>67934234.234234244</v>
      </c>
      <c r="N184">
        <v>57093718.018018022</v>
      </c>
      <c r="O184">
        <v>81911495.495495483</v>
      </c>
      <c r="P184">
        <v>98203079.279279277</v>
      </c>
      <c r="Q184">
        <v>63383693.693693697</v>
      </c>
      <c r="R184">
        <v>58459279.279279277</v>
      </c>
      <c r="S184">
        <v>7056</v>
      </c>
      <c r="T184">
        <v>6007</v>
      </c>
    </row>
    <row r="185" spans="1:20" x14ac:dyDescent="0.35">
      <c r="A185" s="7" t="s">
        <v>276</v>
      </c>
      <c r="B185" s="12" t="s">
        <v>134</v>
      </c>
      <c r="C185">
        <v>425137783.52577901</v>
      </c>
      <c r="D185">
        <v>448329600.27844816</v>
      </c>
      <c r="E185">
        <v>2290990.9909909922</v>
      </c>
      <c r="F185">
        <v>2437971.171171173</v>
      </c>
      <c r="G185">
        <v>77</v>
      </c>
      <c r="H185">
        <v>40</v>
      </c>
      <c r="K185">
        <v>85</v>
      </c>
      <c r="L185">
        <v>45</v>
      </c>
      <c r="M185">
        <v>23463963.963963963</v>
      </c>
      <c r="N185">
        <v>20555380.180180181</v>
      </c>
      <c r="O185">
        <v>38215545.045045048</v>
      </c>
      <c r="P185">
        <v>46486565.765765771</v>
      </c>
      <c r="Q185">
        <v>10044954.954954956</v>
      </c>
      <c r="R185">
        <v>11617027.027027028</v>
      </c>
      <c r="S185">
        <v>6073</v>
      </c>
      <c r="T185">
        <v>6162</v>
      </c>
    </row>
    <row r="186" spans="1:20" x14ac:dyDescent="0.35">
      <c r="A186" s="7" t="s">
        <v>277</v>
      </c>
      <c r="B186" s="12" t="s">
        <v>169</v>
      </c>
      <c r="C186">
        <v>243128193.71756047</v>
      </c>
      <c r="D186">
        <v>233487863.34149447</v>
      </c>
      <c r="E186">
        <v>1655855.8558558561</v>
      </c>
      <c r="F186">
        <v>2961109.0090090102</v>
      </c>
      <c r="G186">
        <v>59</v>
      </c>
      <c r="H186">
        <v>14</v>
      </c>
      <c r="K186">
        <v>63</v>
      </c>
      <c r="L186">
        <v>15</v>
      </c>
      <c r="M186">
        <v>22423873.873873871</v>
      </c>
      <c r="N186">
        <v>17761718.018018018</v>
      </c>
      <c r="O186">
        <v>111493754.50450452</v>
      </c>
      <c r="P186">
        <v>106037403.6036036</v>
      </c>
      <c r="Q186">
        <v>16738018.018018018</v>
      </c>
      <c r="R186">
        <v>14855045.045045044</v>
      </c>
      <c r="S186">
        <v>5461</v>
      </c>
      <c r="T186">
        <v>3127</v>
      </c>
    </row>
    <row r="187" spans="1:20" x14ac:dyDescent="0.35">
      <c r="A187" s="7" t="s">
        <v>278</v>
      </c>
      <c r="B187" s="12" t="s">
        <v>169</v>
      </c>
      <c r="C187">
        <v>144509140.58843029</v>
      </c>
      <c r="D187">
        <v>125156716.40483052</v>
      </c>
      <c r="E187">
        <v>12612.612612613</v>
      </c>
      <c r="F187">
        <v>11711.711711712</v>
      </c>
      <c r="G187">
        <v>20</v>
      </c>
      <c r="H187">
        <v>46</v>
      </c>
      <c r="K187">
        <v>21</v>
      </c>
      <c r="L187">
        <v>47</v>
      </c>
      <c r="M187">
        <v>8784346.8468468469</v>
      </c>
      <c r="N187">
        <v>6768468.4684684686</v>
      </c>
      <c r="O187">
        <v>62899572.072072074</v>
      </c>
      <c r="P187">
        <v>63879117.117117122</v>
      </c>
      <c r="Q187">
        <v>7040000</v>
      </c>
      <c r="R187">
        <v>5839459.4594594594</v>
      </c>
      <c r="S187">
        <v>2028</v>
      </c>
      <c r="T187">
        <v>1863</v>
      </c>
    </row>
    <row r="188" spans="1:20" x14ac:dyDescent="0.35">
      <c r="A188" s="7" t="s">
        <v>279</v>
      </c>
      <c r="B188" s="12" t="s">
        <v>87</v>
      </c>
      <c r="C188">
        <v>3495860.5320748989</v>
      </c>
      <c r="D188">
        <v>3783275.3410773701</v>
      </c>
      <c r="G188">
        <v>7</v>
      </c>
      <c r="H188">
        <v>2</v>
      </c>
      <c r="K188">
        <v>8</v>
      </c>
      <c r="L188">
        <v>2</v>
      </c>
      <c r="O188">
        <v>1505547.7477477479</v>
      </c>
      <c r="P188">
        <v>1514486.4864864859</v>
      </c>
      <c r="S188">
        <v>206</v>
      </c>
      <c r="T188">
        <v>175</v>
      </c>
    </row>
    <row r="189" spans="1:20" x14ac:dyDescent="0.35">
      <c r="A189" s="7" t="s">
        <v>280</v>
      </c>
      <c r="B189" s="12" t="s">
        <v>169</v>
      </c>
      <c r="C189">
        <v>243028231.77241167</v>
      </c>
      <c r="D189">
        <v>277240513.97305787</v>
      </c>
      <c r="E189">
        <v>1215990.9909909931</v>
      </c>
      <c r="F189">
        <v>2660046.8468468492</v>
      </c>
      <c r="G189">
        <v>48</v>
      </c>
      <c r="H189">
        <v>103</v>
      </c>
      <c r="K189">
        <v>50</v>
      </c>
      <c r="L189">
        <v>115</v>
      </c>
      <c r="M189">
        <v>29953873.873873875</v>
      </c>
      <c r="N189">
        <v>33908617.117117122</v>
      </c>
      <c r="O189">
        <v>97081313.51351352</v>
      </c>
      <c r="P189">
        <v>114334954.95495497</v>
      </c>
      <c r="Q189">
        <v>29722969.369369369</v>
      </c>
      <c r="R189">
        <v>31175585.585585587</v>
      </c>
      <c r="S189">
        <v>4344</v>
      </c>
      <c r="T189">
        <v>8725</v>
      </c>
    </row>
    <row r="190" spans="1:20" x14ac:dyDescent="0.35">
      <c r="A190" s="7" t="s">
        <v>281</v>
      </c>
      <c r="B190" s="12" t="s">
        <v>54</v>
      </c>
      <c r="C190">
        <v>187835807.31948775</v>
      </c>
      <c r="D190">
        <v>191801951.62104982</v>
      </c>
      <c r="E190">
        <v>2621621.6216216218</v>
      </c>
      <c r="F190">
        <v>3578488.288288292</v>
      </c>
      <c r="G190">
        <v>71</v>
      </c>
      <c r="H190">
        <v>98</v>
      </c>
      <c r="K190">
        <v>82</v>
      </c>
      <c r="L190">
        <v>107</v>
      </c>
      <c r="M190">
        <v>22628828.82882883</v>
      </c>
      <c r="N190">
        <v>54521845.945945941</v>
      </c>
      <c r="O190">
        <v>39707189.189189196</v>
      </c>
      <c r="P190">
        <v>45627115.315315314</v>
      </c>
      <c r="Q190">
        <v>21454144.144144144</v>
      </c>
      <c r="R190">
        <v>49864367.567567565</v>
      </c>
      <c r="S190">
        <v>4005</v>
      </c>
      <c r="T190">
        <v>3622</v>
      </c>
    </row>
    <row r="191" spans="1:20" x14ac:dyDescent="0.35">
      <c r="A191" s="7" t="s">
        <v>282</v>
      </c>
      <c r="B191" s="12" t="s">
        <v>283</v>
      </c>
      <c r="C191">
        <v>279920487.07521307</v>
      </c>
      <c r="D191">
        <v>305519866.69279444</v>
      </c>
      <c r="E191">
        <v>135278378.37837839</v>
      </c>
      <c r="F191">
        <v>58032083.783783786</v>
      </c>
      <c r="G191">
        <v>136</v>
      </c>
      <c r="H191">
        <v>47</v>
      </c>
      <c r="K191">
        <v>153</v>
      </c>
      <c r="L191">
        <v>57</v>
      </c>
      <c r="M191">
        <v>16889639.639639638</v>
      </c>
      <c r="N191">
        <v>11912340.540540541</v>
      </c>
      <c r="O191">
        <v>41519630.630630635</v>
      </c>
      <c r="P191">
        <v>45025171.171171166</v>
      </c>
      <c r="Q191">
        <v>11979459.459459458</v>
      </c>
      <c r="R191">
        <v>10352342.342342343</v>
      </c>
      <c r="S191">
        <v>3464</v>
      </c>
      <c r="T191">
        <v>3703</v>
      </c>
    </row>
    <row r="192" spans="1:20" x14ac:dyDescent="0.35">
      <c r="A192" s="7" t="s">
        <v>284</v>
      </c>
      <c r="B192" s="12" t="s">
        <v>283</v>
      </c>
      <c r="C192">
        <v>525182444.55062091</v>
      </c>
      <c r="D192">
        <v>532079181.22291726</v>
      </c>
      <c r="E192">
        <v>4454504.5045045074</v>
      </c>
      <c r="F192">
        <v>8107020.7207207223</v>
      </c>
      <c r="G192">
        <v>141</v>
      </c>
      <c r="H192">
        <v>250</v>
      </c>
      <c r="I192">
        <v>1</v>
      </c>
      <c r="K192">
        <v>190</v>
      </c>
      <c r="L192">
        <v>394</v>
      </c>
      <c r="M192">
        <v>60971351.351351351</v>
      </c>
      <c r="N192">
        <v>100293363.96396397</v>
      </c>
      <c r="O192">
        <v>110426693.6936937</v>
      </c>
      <c r="P192">
        <v>118248882.88288288</v>
      </c>
      <c r="Q192">
        <v>54940540.540540546</v>
      </c>
      <c r="R192">
        <v>84938378.378378391</v>
      </c>
      <c r="S192">
        <v>8402</v>
      </c>
      <c r="T192">
        <v>8328</v>
      </c>
    </row>
    <row r="193" spans="1:20" x14ac:dyDescent="0.35">
      <c r="A193" s="7" t="s">
        <v>285</v>
      </c>
      <c r="B193" s="12" t="s">
        <v>283</v>
      </c>
      <c r="C193">
        <v>278374100.13614297</v>
      </c>
      <c r="D193">
        <v>290331744.64240456</v>
      </c>
      <c r="E193">
        <v>2535945.9459459451</v>
      </c>
      <c r="F193">
        <v>4490977.4774774779</v>
      </c>
      <c r="G193">
        <v>63</v>
      </c>
      <c r="H193">
        <v>47</v>
      </c>
      <c r="K193">
        <v>104</v>
      </c>
      <c r="L193">
        <v>99</v>
      </c>
      <c r="M193">
        <v>70790990.990990996</v>
      </c>
      <c r="N193">
        <v>96290389.189189181</v>
      </c>
      <c r="O193">
        <v>85546099.0990991</v>
      </c>
      <c r="P193">
        <v>92500684.684684694</v>
      </c>
      <c r="Q193">
        <v>63440540.540540539</v>
      </c>
      <c r="R193">
        <v>88600270.270270273</v>
      </c>
      <c r="S193">
        <v>4881</v>
      </c>
      <c r="T193">
        <v>4562</v>
      </c>
    </row>
    <row r="194" spans="1:20" x14ac:dyDescent="0.35">
      <c r="A194" s="7" t="s">
        <v>286</v>
      </c>
      <c r="B194" s="12" t="s">
        <v>283</v>
      </c>
      <c r="C194">
        <v>210230130.04743844</v>
      </c>
      <c r="D194">
        <v>215572731.9233492</v>
      </c>
      <c r="E194">
        <v>809009.00900901004</v>
      </c>
      <c r="F194">
        <v>1008025.225225226</v>
      </c>
      <c r="G194">
        <v>18</v>
      </c>
      <c r="H194">
        <v>18</v>
      </c>
      <c r="K194">
        <v>21</v>
      </c>
      <c r="L194">
        <v>18</v>
      </c>
      <c r="M194">
        <v>34878558.558558561</v>
      </c>
      <c r="N194">
        <v>14168381.081081081</v>
      </c>
      <c r="O194">
        <v>39060702.702702701</v>
      </c>
      <c r="P194">
        <v>40675621.621621624</v>
      </c>
      <c r="Q194">
        <v>33604144.144144148</v>
      </c>
      <c r="R194">
        <v>13915855.855855856</v>
      </c>
      <c r="S194">
        <v>2577</v>
      </c>
      <c r="T194">
        <v>2638</v>
      </c>
    </row>
    <row r="195" spans="1:20" x14ac:dyDescent="0.35">
      <c r="A195" s="7" t="s">
        <v>287</v>
      </c>
      <c r="B195" s="12" t="s">
        <v>283</v>
      </c>
      <c r="C195">
        <v>104309637.71896276</v>
      </c>
      <c r="D195">
        <v>106891131.45707138</v>
      </c>
      <c r="E195">
        <v>555855.855855859</v>
      </c>
      <c r="F195">
        <v>1436036.036036036</v>
      </c>
      <c r="G195">
        <v>2</v>
      </c>
      <c r="H195">
        <v>1</v>
      </c>
      <c r="K195">
        <v>3</v>
      </c>
      <c r="L195">
        <v>1</v>
      </c>
      <c r="M195">
        <v>12979279.27927928</v>
      </c>
      <c r="N195">
        <v>12836036.036036037</v>
      </c>
      <c r="O195">
        <v>18223396.396396395</v>
      </c>
      <c r="P195">
        <v>21525090.090090092</v>
      </c>
      <c r="Q195">
        <v>13801441.441441439</v>
      </c>
      <c r="R195">
        <v>12142522.522522522</v>
      </c>
      <c r="S195">
        <v>1444</v>
      </c>
      <c r="T195">
        <v>1248</v>
      </c>
    </row>
    <row r="196" spans="1:20" x14ac:dyDescent="0.35">
      <c r="A196" s="7" t="s">
        <v>288</v>
      </c>
      <c r="B196" s="12" t="s">
        <v>283</v>
      </c>
      <c r="C196">
        <v>16911396.329374995</v>
      </c>
      <c r="D196">
        <v>15477277.897448374</v>
      </c>
      <c r="E196">
        <v>393693.69369369402</v>
      </c>
      <c r="F196">
        <v>718918.91891891905</v>
      </c>
      <c r="M196">
        <v>19871171.171171173</v>
      </c>
      <c r="N196">
        <v>9154954.9549549557</v>
      </c>
      <c r="O196">
        <v>2627171.1711711711</v>
      </c>
      <c r="P196">
        <v>3332738.7387387389</v>
      </c>
      <c r="Q196">
        <v>19748648.648648649</v>
      </c>
      <c r="R196">
        <v>9497297.2972972952</v>
      </c>
      <c r="S196">
        <v>339</v>
      </c>
      <c r="T196">
        <v>287</v>
      </c>
    </row>
    <row r="197" spans="1:20" x14ac:dyDescent="0.35">
      <c r="A197" s="7" t="s">
        <v>289</v>
      </c>
      <c r="B197" s="12" t="s">
        <v>290</v>
      </c>
      <c r="C197">
        <v>204058988.24207294</v>
      </c>
      <c r="D197">
        <v>217503641.19377115</v>
      </c>
      <c r="E197">
        <v>142342.34234234301</v>
      </c>
      <c r="F197">
        <v>267918.91891892097</v>
      </c>
      <c r="G197">
        <v>47</v>
      </c>
      <c r="H197">
        <v>44</v>
      </c>
      <c r="K197">
        <v>52</v>
      </c>
      <c r="L197">
        <v>49</v>
      </c>
      <c r="M197">
        <v>1099099.0990991001</v>
      </c>
      <c r="N197">
        <v>2457932.4324324331</v>
      </c>
      <c r="O197">
        <v>19113774.774774775</v>
      </c>
      <c r="P197">
        <v>24313828.82882883</v>
      </c>
      <c r="Q197">
        <v>1442792.7927927929</v>
      </c>
      <c r="R197">
        <v>1817567.5675675671</v>
      </c>
      <c r="S197">
        <v>4697</v>
      </c>
      <c r="T197">
        <v>4464</v>
      </c>
    </row>
    <row r="198" spans="1:20" x14ac:dyDescent="0.35">
      <c r="A198" s="7" t="s">
        <v>291</v>
      </c>
      <c r="B198" s="12" t="s">
        <v>147</v>
      </c>
      <c r="C198">
        <v>497569708.80102956</v>
      </c>
      <c r="D198">
        <v>453671725.07783812</v>
      </c>
      <c r="E198">
        <v>455958503.6036036</v>
      </c>
      <c r="F198">
        <v>513797708.1081081</v>
      </c>
      <c r="G198">
        <v>128</v>
      </c>
      <c r="H198">
        <v>185</v>
      </c>
      <c r="I198">
        <v>1</v>
      </c>
      <c r="K198">
        <v>241</v>
      </c>
      <c r="L198">
        <v>392</v>
      </c>
      <c r="M198">
        <v>231347623.42342341</v>
      </c>
      <c r="N198">
        <v>247198043.24324322</v>
      </c>
      <c r="O198">
        <v>190269738.73873875</v>
      </c>
      <c r="P198">
        <v>180712774.77477479</v>
      </c>
      <c r="Q198">
        <v>185054144.14414412</v>
      </c>
      <c r="R198">
        <v>199570945.94594595</v>
      </c>
      <c r="S198">
        <v>9701</v>
      </c>
      <c r="T198">
        <v>7570</v>
      </c>
    </row>
    <row r="199" spans="1:20" x14ac:dyDescent="0.35">
      <c r="A199" s="7" t="s">
        <v>292</v>
      </c>
      <c r="B199" s="12" t="s">
        <v>293</v>
      </c>
      <c r="C199">
        <v>242921519.50657031</v>
      </c>
      <c r="D199">
        <v>242469252.12467033</v>
      </c>
      <c r="E199">
        <v>1852252.252252253</v>
      </c>
      <c r="F199">
        <v>5240315.3153153146</v>
      </c>
      <c r="G199">
        <v>30</v>
      </c>
      <c r="H199">
        <v>13</v>
      </c>
      <c r="K199">
        <v>39</v>
      </c>
      <c r="L199">
        <v>17</v>
      </c>
      <c r="M199">
        <v>66622972.972972967</v>
      </c>
      <c r="N199">
        <v>92642882.882882878</v>
      </c>
      <c r="O199">
        <v>32643270.270270273</v>
      </c>
      <c r="P199">
        <v>34479072.072072074</v>
      </c>
      <c r="Q199">
        <v>67872252.252252251</v>
      </c>
      <c r="R199">
        <v>92572882.882882878</v>
      </c>
      <c r="S199">
        <v>8798</v>
      </c>
      <c r="T199">
        <v>3456</v>
      </c>
    </row>
    <row r="200" spans="1:20" x14ac:dyDescent="0.35">
      <c r="A200" s="7" t="s">
        <v>294</v>
      </c>
      <c r="B200" s="12" t="s">
        <v>290</v>
      </c>
      <c r="C200">
        <v>55396401.131810427</v>
      </c>
      <c r="D200">
        <v>61894001.674588569</v>
      </c>
      <c r="E200">
        <v>1247747.747747747</v>
      </c>
      <c r="F200">
        <v>1287997.297297298</v>
      </c>
      <c r="G200">
        <v>8</v>
      </c>
      <c r="H200">
        <v>15</v>
      </c>
      <c r="K200">
        <v>8</v>
      </c>
      <c r="L200">
        <v>15</v>
      </c>
      <c r="M200">
        <v>3095495.4954954949</v>
      </c>
      <c r="N200">
        <v>2259295.4954954959</v>
      </c>
      <c r="O200">
        <v>7681980.1801801799</v>
      </c>
      <c r="P200">
        <v>7651558.558558559</v>
      </c>
      <c r="Q200">
        <v>2940360.3603603598</v>
      </c>
      <c r="R200">
        <v>2775675.6756756762</v>
      </c>
      <c r="S200">
        <v>1343</v>
      </c>
      <c r="T200">
        <v>1235</v>
      </c>
    </row>
    <row r="201" spans="1:20" x14ac:dyDescent="0.35">
      <c r="A201" s="7" t="s">
        <v>671</v>
      </c>
      <c r="B201" s="12" t="s">
        <v>479</v>
      </c>
      <c r="E201">
        <v>224775294.5945946</v>
      </c>
      <c r="F201">
        <v>260907128.82882884</v>
      </c>
      <c r="M201">
        <v>19033670.270270273</v>
      </c>
      <c r="N201">
        <v>14692463.063063065</v>
      </c>
    </row>
    <row r="202" spans="1:20" x14ac:dyDescent="0.35">
      <c r="A202" s="7" t="s">
        <v>295</v>
      </c>
      <c r="B202" s="12" t="s">
        <v>52</v>
      </c>
      <c r="C202">
        <v>698528312.49607289</v>
      </c>
      <c r="D202">
        <v>706614986.34291613</v>
      </c>
      <c r="E202">
        <v>10242342.342342349</v>
      </c>
      <c r="F202">
        <v>13094842.342342349</v>
      </c>
      <c r="G202">
        <v>388</v>
      </c>
      <c r="H202">
        <v>279</v>
      </c>
      <c r="K202">
        <v>620</v>
      </c>
      <c r="L202">
        <v>440</v>
      </c>
      <c r="M202">
        <v>378389909.9099099</v>
      </c>
      <c r="N202">
        <v>161131288.2882883</v>
      </c>
      <c r="O202">
        <v>188840268.46846849</v>
      </c>
      <c r="P202">
        <v>195915072.07207206</v>
      </c>
      <c r="Q202">
        <v>374648558.55855852</v>
      </c>
      <c r="R202">
        <v>157595495.4954955</v>
      </c>
      <c r="S202">
        <v>16523</v>
      </c>
      <c r="T202">
        <v>13027</v>
      </c>
    </row>
    <row r="203" spans="1:20" x14ac:dyDescent="0.35">
      <c r="A203" s="7" t="s">
        <v>296</v>
      </c>
      <c r="B203" s="12" t="s">
        <v>169</v>
      </c>
      <c r="C203">
        <v>193048932.90075123</v>
      </c>
      <c r="D203">
        <v>225886084.88936466</v>
      </c>
      <c r="E203">
        <v>127027.027027028</v>
      </c>
      <c r="F203">
        <v>200450.45045045001</v>
      </c>
      <c r="G203">
        <v>24</v>
      </c>
      <c r="H203">
        <v>23</v>
      </c>
      <c r="I203">
        <v>1</v>
      </c>
      <c r="K203">
        <v>32</v>
      </c>
      <c r="L203">
        <v>25</v>
      </c>
      <c r="M203">
        <v>13244144.144144144</v>
      </c>
      <c r="N203">
        <v>9993243.2432432435</v>
      </c>
      <c r="O203">
        <v>42325702.702702701</v>
      </c>
      <c r="P203">
        <v>58265477.477477483</v>
      </c>
      <c r="Q203">
        <v>12027837.837837838</v>
      </c>
      <c r="R203">
        <v>13323063.063063065</v>
      </c>
      <c r="S203">
        <v>4979</v>
      </c>
      <c r="T203">
        <v>4547</v>
      </c>
    </row>
    <row r="204" spans="1:20" x14ac:dyDescent="0.35">
      <c r="A204" s="7" t="s">
        <v>297</v>
      </c>
      <c r="B204" s="12" t="s">
        <v>169</v>
      </c>
      <c r="C204">
        <v>250939457.77627209</v>
      </c>
      <c r="D204">
        <v>220930078.25971252</v>
      </c>
      <c r="E204">
        <v>823990.99099099101</v>
      </c>
      <c r="F204">
        <v>1682857.657657658</v>
      </c>
      <c r="G204">
        <v>45</v>
      </c>
      <c r="H204">
        <v>28</v>
      </c>
      <c r="K204">
        <v>50</v>
      </c>
      <c r="L204">
        <v>30</v>
      </c>
      <c r="M204">
        <v>1846884189.1891892</v>
      </c>
      <c r="N204">
        <v>1839615359.4594595</v>
      </c>
      <c r="O204">
        <v>87640324.324324325</v>
      </c>
      <c r="P204">
        <v>88050450.45045045</v>
      </c>
      <c r="Q204">
        <v>1833569001.8018017</v>
      </c>
      <c r="R204">
        <v>1826554219.8198197</v>
      </c>
      <c r="S204">
        <v>2744</v>
      </c>
      <c r="T204">
        <v>2661</v>
      </c>
    </row>
    <row r="205" spans="1:20" x14ac:dyDescent="0.35">
      <c r="A205" s="7" t="s">
        <v>298</v>
      </c>
      <c r="B205" s="12" t="s">
        <v>89</v>
      </c>
      <c r="C205">
        <v>821734082.4457804</v>
      </c>
      <c r="D205">
        <v>810057244.7824949</v>
      </c>
      <c r="E205">
        <v>11315181.081081085</v>
      </c>
      <c r="F205">
        <v>7423247.747747751</v>
      </c>
      <c r="G205">
        <v>226</v>
      </c>
      <c r="H205">
        <v>107</v>
      </c>
      <c r="I205">
        <v>2</v>
      </c>
      <c r="K205">
        <v>319</v>
      </c>
      <c r="L205">
        <v>170</v>
      </c>
      <c r="M205">
        <v>56908411.711711712</v>
      </c>
      <c r="N205">
        <v>651803520.72072077</v>
      </c>
      <c r="O205">
        <v>157028342.34234235</v>
      </c>
      <c r="P205">
        <v>169478891.8918919</v>
      </c>
      <c r="Q205">
        <v>59077567.567567579</v>
      </c>
      <c r="R205">
        <v>651416754.95495498</v>
      </c>
      <c r="S205">
        <v>11512</v>
      </c>
      <c r="T205">
        <v>10798</v>
      </c>
    </row>
    <row r="206" spans="1:20" x14ac:dyDescent="0.35">
      <c r="A206" s="7" t="s">
        <v>299</v>
      </c>
      <c r="B206" s="12" t="s">
        <v>134</v>
      </c>
      <c r="C206">
        <v>438834186.11190385</v>
      </c>
      <c r="D206">
        <v>473568915.74173337</v>
      </c>
      <c r="E206">
        <v>4193693.693693697</v>
      </c>
      <c r="F206">
        <v>3682080.1801801869</v>
      </c>
      <c r="G206">
        <v>89</v>
      </c>
      <c r="H206">
        <v>90</v>
      </c>
      <c r="K206">
        <v>138</v>
      </c>
      <c r="L206">
        <v>127</v>
      </c>
      <c r="M206">
        <v>33923423.423423424</v>
      </c>
      <c r="N206">
        <v>52075684.684684686</v>
      </c>
      <c r="O206">
        <v>55669162.162162162</v>
      </c>
      <c r="P206">
        <v>66449349.54954955</v>
      </c>
      <c r="Q206">
        <v>27863153.153153151</v>
      </c>
      <c r="R206">
        <v>43241441.441441439</v>
      </c>
      <c r="S206">
        <v>7293</v>
      </c>
      <c r="T206">
        <v>6849</v>
      </c>
    </row>
    <row r="207" spans="1:20" x14ac:dyDescent="0.35">
      <c r="A207" s="7" t="s">
        <v>300</v>
      </c>
      <c r="B207" s="12" t="s">
        <v>290</v>
      </c>
      <c r="C207">
        <v>297726080.68854517</v>
      </c>
      <c r="D207">
        <v>301909977.59741277</v>
      </c>
      <c r="E207">
        <v>5070270.2702702703</v>
      </c>
      <c r="F207">
        <v>3908236.0360360378</v>
      </c>
      <c r="G207">
        <v>95</v>
      </c>
      <c r="H207">
        <v>117</v>
      </c>
      <c r="K207">
        <v>104</v>
      </c>
      <c r="L207">
        <v>139</v>
      </c>
      <c r="M207">
        <v>45799106.306306303</v>
      </c>
      <c r="N207">
        <v>31705729.729729731</v>
      </c>
      <c r="O207">
        <v>42184149.54954955</v>
      </c>
      <c r="P207">
        <v>47516702.702702701</v>
      </c>
      <c r="Q207">
        <v>44589819.819819823</v>
      </c>
      <c r="R207">
        <v>33407297.297297295</v>
      </c>
      <c r="S207">
        <v>4834</v>
      </c>
      <c r="T207">
        <v>4383</v>
      </c>
    </row>
    <row r="208" spans="1:20" x14ac:dyDescent="0.35">
      <c r="A208" s="7" t="s">
        <v>301</v>
      </c>
      <c r="B208" s="12" t="s">
        <v>80</v>
      </c>
      <c r="C208">
        <v>442664273.23863715</v>
      </c>
      <c r="D208">
        <v>433544574.46851206</v>
      </c>
      <c r="E208">
        <v>5385360.3603603607</v>
      </c>
      <c r="F208">
        <v>7013466.666666666</v>
      </c>
      <c r="G208">
        <v>73</v>
      </c>
      <c r="H208">
        <v>52</v>
      </c>
      <c r="I208">
        <v>5</v>
      </c>
      <c r="K208">
        <v>85</v>
      </c>
      <c r="L208">
        <v>58</v>
      </c>
      <c r="M208">
        <v>64320180.180180185</v>
      </c>
      <c r="N208">
        <v>49547397.297297299</v>
      </c>
      <c r="O208">
        <v>92596241.441441447</v>
      </c>
      <c r="P208">
        <v>99310450.45045045</v>
      </c>
      <c r="Q208">
        <v>60281531.531531528</v>
      </c>
      <c r="R208">
        <v>43103693.693693697</v>
      </c>
      <c r="S208">
        <v>6685</v>
      </c>
      <c r="T208">
        <v>5475</v>
      </c>
    </row>
    <row r="209" spans="1:20" x14ac:dyDescent="0.35">
      <c r="A209" s="7" t="s">
        <v>302</v>
      </c>
      <c r="B209" s="12" t="s">
        <v>72</v>
      </c>
      <c r="C209">
        <v>655340406.45894194</v>
      </c>
      <c r="D209">
        <v>683109768.62382412</v>
      </c>
      <c r="E209">
        <v>2036036.0360360381</v>
      </c>
      <c r="F209">
        <v>2976500.900900906</v>
      </c>
      <c r="G209">
        <v>146</v>
      </c>
      <c r="H209">
        <v>82</v>
      </c>
      <c r="I209">
        <v>2</v>
      </c>
      <c r="K209">
        <v>159</v>
      </c>
      <c r="L209">
        <v>98</v>
      </c>
      <c r="M209">
        <v>36637837.837837838</v>
      </c>
      <c r="N209">
        <v>56085410.810810819</v>
      </c>
      <c r="O209">
        <v>94583522.522522524</v>
      </c>
      <c r="P209">
        <v>107148277.47747748</v>
      </c>
      <c r="Q209">
        <v>33714504.504504502</v>
      </c>
      <c r="R209">
        <v>38175855.855855852</v>
      </c>
      <c r="S209">
        <v>9452</v>
      </c>
      <c r="T209">
        <v>9084</v>
      </c>
    </row>
    <row r="210" spans="1:20" x14ac:dyDescent="0.35">
      <c r="A210" s="7" t="s">
        <v>303</v>
      </c>
      <c r="B210" s="12" t="s">
        <v>304</v>
      </c>
      <c r="C210">
        <v>2270965.9468244459</v>
      </c>
      <c r="D210">
        <v>2645542.8215779001</v>
      </c>
      <c r="O210">
        <v>725315.31531531503</v>
      </c>
      <c r="P210">
        <v>863819.81981982</v>
      </c>
      <c r="S210">
        <v>63</v>
      </c>
      <c r="T210">
        <v>64</v>
      </c>
    </row>
    <row r="211" spans="1:20" x14ac:dyDescent="0.35">
      <c r="A211" s="7" t="s">
        <v>305</v>
      </c>
      <c r="B211" s="12" t="s">
        <v>117</v>
      </c>
      <c r="C211">
        <v>87731571.715447053</v>
      </c>
      <c r="D211">
        <v>86400431.088324994</v>
      </c>
      <c r="E211">
        <v>309909.90990990802</v>
      </c>
      <c r="F211">
        <v>1274153.153153152</v>
      </c>
      <c r="G211">
        <v>37</v>
      </c>
      <c r="H211">
        <v>30</v>
      </c>
      <c r="K211">
        <v>44</v>
      </c>
      <c r="L211">
        <v>65</v>
      </c>
      <c r="M211">
        <v>3285045.0450450461</v>
      </c>
      <c r="N211">
        <v>98851527.027027026</v>
      </c>
      <c r="O211">
        <v>36879864.864864863</v>
      </c>
      <c r="P211">
        <v>35101936.936936937</v>
      </c>
      <c r="Q211">
        <v>3583423.4234234239</v>
      </c>
      <c r="R211">
        <v>4818738.7387387389</v>
      </c>
      <c r="S211">
        <v>2106</v>
      </c>
      <c r="T211">
        <v>1754</v>
      </c>
    </row>
    <row r="212" spans="1:20" x14ac:dyDescent="0.35">
      <c r="A212" s="7" t="s">
        <v>306</v>
      </c>
      <c r="B212" s="12" t="s">
        <v>307</v>
      </c>
      <c r="C212">
        <v>109365298.73309714</v>
      </c>
      <c r="D212">
        <v>105342399.53347687</v>
      </c>
      <c r="E212">
        <v>392792.79279279598</v>
      </c>
      <c r="F212">
        <v>548648.64864864701</v>
      </c>
      <c r="G212">
        <v>61</v>
      </c>
      <c r="H212">
        <v>43</v>
      </c>
      <c r="K212">
        <v>70</v>
      </c>
      <c r="L212">
        <v>50</v>
      </c>
      <c r="M212">
        <v>1631531.5315315339</v>
      </c>
      <c r="N212">
        <v>3432072.072072072</v>
      </c>
      <c r="O212">
        <v>58733819.819819815</v>
      </c>
      <c r="P212">
        <v>55824882.882882878</v>
      </c>
      <c r="Q212">
        <v>1366126.1261261271</v>
      </c>
      <c r="R212">
        <v>3718378.3783783782</v>
      </c>
      <c r="S212">
        <v>4650</v>
      </c>
      <c r="T212">
        <v>4791</v>
      </c>
    </row>
    <row r="213" spans="1:20" x14ac:dyDescent="0.35">
      <c r="A213" s="7" t="s">
        <v>308</v>
      </c>
      <c r="B213" s="12" t="s">
        <v>140</v>
      </c>
      <c r="C213">
        <v>708952193.54075909</v>
      </c>
      <c r="D213">
        <v>740211379.10253084</v>
      </c>
      <c r="E213">
        <v>4445045.0450450489</v>
      </c>
      <c r="F213">
        <v>6002829.7297297306</v>
      </c>
      <c r="G213">
        <v>103</v>
      </c>
      <c r="H213">
        <v>80</v>
      </c>
      <c r="I213">
        <v>5</v>
      </c>
      <c r="K213">
        <v>136</v>
      </c>
      <c r="L213">
        <v>92</v>
      </c>
      <c r="M213">
        <v>126683333.33333333</v>
      </c>
      <c r="N213">
        <v>136434400.9009009</v>
      </c>
      <c r="O213">
        <v>157055081.08108109</v>
      </c>
      <c r="P213">
        <v>166387176.57657659</v>
      </c>
      <c r="Q213">
        <v>77330630.630630627</v>
      </c>
      <c r="R213">
        <v>82991171.171171173</v>
      </c>
      <c r="S213">
        <v>8418</v>
      </c>
      <c r="T213">
        <v>8219</v>
      </c>
    </row>
    <row r="214" spans="1:20" x14ac:dyDescent="0.35">
      <c r="A214" s="7" t="s">
        <v>309</v>
      </c>
      <c r="B214" s="12" t="s">
        <v>132</v>
      </c>
      <c r="C214">
        <v>711307996.29954803</v>
      </c>
      <c r="D214">
        <v>681253968.5909487</v>
      </c>
      <c r="E214">
        <v>24539639.639639638</v>
      </c>
      <c r="F214">
        <v>26253627.927927926</v>
      </c>
      <c r="G214">
        <v>193</v>
      </c>
      <c r="H214">
        <v>136</v>
      </c>
      <c r="K214">
        <v>214</v>
      </c>
      <c r="L214">
        <v>152</v>
      </c>
      <c r="M214">
        <v>31922072.072072074</v>
      </c>
      <c r="N214">
        <v>30146232.432432432</v>
      </c>
      <c r="O214">
        <v>188899639.63963965</v>
      </c>
      <c r="P214">
        <v>194771324.32432431</v>
      </c>
      <c r="Q214">
        <v>22896126.126126129</v>
      </c>
      <c r="R214">
        <v>20255900.900900897</v>
      </c>
      <c r="S214">
        <v>13791</v>
      </c>
      <c r="T214">
        <v>13544</v>
      </c>
    </row>
    <row r="215" spans="1:20" x14ac:dyDescent="0.35">
      <c r="A215" s="7" t="s">
        <v>310</v>
      </c>
      <c r="B215" s="12" t="s">
        <v>72</v>
      </c>
      <c r="C215">
        <v>1124691481.78565</v>
      </c>
      <c r="D215">
        <v>1212391260.5357425</v>
      </c>
      <c r="E215">
        <v>8398873.8738738801</v>
      </c>
      <c r="F215">
        <v>9733147.7477477584</v>
      </c>
      <c r="G215">
        <v>272</v>
      </c>
      <c r="H215">
        <v>150</v>
      </c>
      <c r="I215">
        <v>3</v>
      </c>
      <c r="K215">
        <v>313</v>
      </c>
      <c r="L215">
        <v>163</v>
      </c>
      <c r="M215">
        <v>164869369.36936939</v>
      </c>
      <c r="N215">
        <v>192954474.77477479</v>
      </c>
      <c r="O215">
        <v>282322023.42342341</v>
      </c>
      <c r="P215">
        <v>387283122.52252251</v>
      </c>
      <c r="Q215">
        <v>144481845.04504505</v>
      </c>
      <c r="R215">
        <v>162870810.8108108</v>
      </c>
      <c r="S215">
        <v>18806</v>
      </c>
      <c r="T215">
        <v>16613</v>
      </c>
    </row>
    <row r="216" spans="1:20" x14ac:dyDescent="0.35">
      <c r="A216" s="7" t="s">
        <v>311</v>
      </c>
      <c r="B216" s="12" t="s">
        <v>62</v>
      </c>
      <c r="C216">
        <v>202959027.19827285</v>
      </c>
      <c r="D216">
        <v>193491114.95286196</v>
      </c>
      <c r="E216">
        <v>661632020.72072077</v>
      </c>
      <c r="F216">
        <v>869549063.96396387</v>
      </c>
      <c r="G216">
        <v>19</v>
      </c>
      <c r="H216">
        <v>18</v>
      </c>
      <c r="K216">
        <v>20</v>
      </c>
      <c r="L216">
        <v>20</v>
      </c>
      <c r="M216">
        <v>98230985.585585579</v>
      </c>
      <c r="N216">
        <v>86825122.522522524</v>
      </c>
      <c r="O216">
        <v>54870117.117117122</v>
      </c>
      <c r="P216">
        <v>54809306.306306303</v>
      </c>
      <c r="Q216">
        <v>34204234.234234229</v>
      </c>
      <c r="R216">
        <v>38503063.063063063</v>
      </c>
      <c r="S216">
        <v>2398</v>
      </c>
      <c r="T216">
        <v>2167</v>
      </c>
    </row>
    <row r="217" spans="1:20" x14ac:dyDescent="0.35">
      <c r="A217" s="7" t="s">
        <v>312</v>
      </c>
      <c r="B217" s="12" t="s">
        <v>89</v>
      </c>
      <c r="C217">
        <v>68633163.074357837</v>
      </c>
      <c r="D217">
        <v>72246700.597107694</v>
      </c>
      <c r="E217">
        <v>1109909.9099099089</v>
      </c>
      <c r="F217">
        <v>3601351.3513513529</v>
      </c>
      <c r="G217">
        <v>23</v>
      </c>
      <c r="H217">
        <v>17</v>
      </c>
      <c r="I217">
        <v>1</v>
      </c>
      <c r="K217">
        <v>28</v>
      </c>
      <c r="L217">
        <v>17</v>
      </c>
      <c r="M217">
        <v>10169009.009009009</v>
      </c>
      <c r="N217">
        <v>55585945.945945941</v>
      </c>
      <c r="O217">
        <v>23145027.02702703</v>
      </c>
      <c r="P217">
        <v>25095000</v>
      </c>
      <c r="Q217">
        <v>10476126.126126127</v>
      </c>
      <c r="R217">
        <v>55104954.954954959</v>
      </c>
      <c r="S217">
        <v>1279</v>
      </c>
      <c r="T217">
        <v>1277</v>
      </c>
    </row>
    <row r="218" spans="1:20" x14ac:dyDescent="0.35">
      <c r="A218" s="7" t="s">
        <v>313</v>
      </c>
      <c r="B218" s="12" t="s">
        <v>92</v>
      </c>
      <c r="C218">
        <v>31105794.216048036</v>
      </c>
      <c r="D218">
        <v>25239489.291600607</v>
      </c>
      <c r="E218">
        <v>239639.63963963999</v>
      </c>
      <c r="F218">
        <v>144144.144144144</v>
      </c>
      <c r="G218">
        <v>4</v>
      </c>
      <c r="H218">
        <v>5</v>
      </c>
      <c r="K218">
        <v>5</v>
      </c>
      <c r="L218">
        <v>5</v>
      </c>
      <c r="M218">
        <v>1455855.8558558561</v>
      </c>
      <c r="N218">
        <v>2261269.369369369</v>
      </c>
      <c r="O218">
        <v>2288288.2882882878</v>
      </c>
      <c r="P218">
        <v>2660891.8918918921</v>
      </c>
      <c r="Q218">
        <v>1361261.2612612611</v>
      </c>
      <c r="R218">
        <v>2153153.1531531531</v>
      </c>
      <c r="S218">
        <v>565</v>
      </c>
      <c r="T218">
        <v>479</v>
      </c>
    </row>
    <row r="219" spans="1:20" x14ac:dyDescent="0.35">
      <c r="A219" s="7" t="s">
        <v>314</v>
      </c>
      <c r="B219" s="12" t="s">
        <v>315</v>
      </c>
      <c r="C219">
        <v>230855843.54246983</v>
      </c>
      <c r="D219">
        <v>230289725.92819658</v>
      </c>
      <c r="E219">
        <v>91803153.153153151</v>
      </c>
      <c r="F219">
        <v>93069594.594594598</v>
      </c>
      <c r="G219">
        <v>58</v>
      </c>
      <c r="H219">
        <v>60</v>
      </c>
      <c r="K219">
        <v>64</v>
      </c>
      <c r="L219">
        <v>69</v>
      </c>
      <c r="M219">
        <v>26866666.666666668</v>
      </c>
      <c r="N219">
        <v>47004409.909909911</v>
      </c>
      <c r="O219">
        <v>36277556.75675676</v>
      </c>
      <c r="P219">
        <v>40166180.180180177</v>
      </c>
      <c r="Q219">
        <v>25371441.441441443</v>
      </c>
      <c r="R219">
        <v>39863243.243243247</v>
      </c>
      <c r="S219">
        <v>3867</v>
      </c>
      <c r="T219">
        <v>3539</v>
      </c>
    </row>
    <row r="220" spans="1:20" x14ac:dyDescent="0.35">
      <c r="A220" s="7" t="s">
        <v>316</v>
      </c>
      <c r="B220" s="12" t="s">
        <v>62</v>
      </c>
      <c r="C220">
        <v>393609445.61829472</v>
      </c>
      <c r="D220">
        <v>422702234.42550498</v>
      </c>
      <c r="E220">
        <v>7885585.5855855905</v>
      </c>
      <c r="F220">
        <v>8316696.3963963976</v>
      </c>
      <c r="G220">
        <v>235</v>
      </c>
      <c r="H220">
        <v>113</v>
      </c>
      <c r="I220">
        <v>1</v>
      </c>
      <c r="K220">
        <v>303</v>
      </c>
      <c r="L220">
        <v>221</v>
      </c>
      <c r="M220">
        <v>67748828.828828827</v>
      </c>
      <c r="N220">
        <v>72622528.828828827</v>
      </c>
      <c r="O220">
        <v>138509981.98198199</v>
      </c>
      <c r="P220">
        <v>152877007.2072072</v>
      </c>
      <c r="Q220">
        <v>64156936.936936937</v>
      </c>
      <c r="R220">
        <v>79257387.387387395</v>
      </c>
      <c r="S220">
        <v>9054</v>
      </c>
      <c r="T220">
        <v>8953</v>
      </c>
    </row>
    <row r="221" spans="1:20" x14ac:dyDescent="0.35">
      <c r="A221" s="7" t="s">
        <v>317</v>
      </c>
      <c r="B221" s="12" t="s">
        <v>62</v>
      </c>
      <c r="C221">
        <v>367979445.02945566</v>
      </c>
      <c r="D221">
        <v>394972689.16542733</v>
      </c>
      <c r="E221">
        <v>4164864.8648648681</v>
      </c>
      <c r="F221">
        <v>5058915.3153153164</v>
      </c>
      <c r="G221">
        <v>67</v>
      </c>
      <c r="H221">
        <v>20</v>
      </c>
      <c r="I221">
        <v>1</v>
      </c>
      <c r="K221">
        <v>75</v>
      </c>
      <c r="L221">
        <v>68</v>
      </c>
      <c r="M221">
        <v>52485765.765765771</v>
      </c>
      <c r="N221">
        <v>62991546.846846849</v>
      </c>
      <c r="O221">
        <v>127087630.63063063</v>
      </c>
      <c r="P221">
        <v>139992432.43243244</v>
      </c>
      <c r="Q221">
        <v>48447567.567567565</v>
      </c>
      <c r="R221">
        <v>65764234.234234229</v>
      </c>
      <c r="S221">
        <v>5844</v>
      </c>
      <c r="T221">
        <v>5534</v>
      </c>
    </row>
    <row r="222" spans="1:20" x14ac:dyDescent="0.35">
      <c r="A222" s="7" t="s">
        <v>318</v>
      </c>
      <c r="B222" s="12" t="s">
        <v>78</v>
      </c>
      <c r="C222">
        <v>385745054.61541706</v>
      </c>
      <c r="D222">
        <v>388134420.64834613</v>
      </c>
      <c r="E222">
        <v>7514189.189189191</v>
      </c>
      <c r="F222">
        <v>8943902.7027027048</v>
      </c>
      <c r="G222">
        <v>230</v>
      </c>
      <c r="H222">
        <v>126</v>
      </c>
      <c r="I222">
        <v>2</v>
      </c>
      <c r="K222">
        <v>277</v>
      </c>
      <c r="L222">
        <v>157</v>
      </c>
      <c r="M222">
        <v>97868018.018018022</v>
      </c>
      <c r="N222">
        <v>108572457.65765767</v>
      </c>
      <c r="O222">
        <v>165708472.97297296</v>
      </c>
      <c r="P222">
        <v>171891376.57657659</v>
      </c>
      <c r="Q222">
        <v>96819009.009009004</v>
      </c>
      <c r="R222">
        <v>101619099.0990991</v>
      </c>
      <c r="S222">
        <v>9316</v>
      </c>
      <c r="T222">
        <v>8591</v>
      </c>
    </row>
    <row r="223" spans="1:20" x14ac:dyDescent="0.35">
      <c r="A223" s="7" t="s">
        <v>319</v>
      </c>
      <c r="B223" s="12" t="s">
        <v>78</v>
      </c>
      <c r="C223">
        <v>234321923.27125958</v>
      </c>
      <c r="D223">
        <v>228555417.10244116</v>
      </c>
      <c r="E223">
        <v>4353153.1531531541</v>
      </c>
      <c r="F223">
        <v>5183545.0450450471</v>
      </c>
      <c r="G223">
        <v>131</v>
      </c>
      <c r="H223">
        <v>71</v>
      </c>
      <c r="K223">
        <v>336</v>
      </c>
      <c r="L223">
        <v>144</v>
      </c>
      <c r="M223">
        <v>21623423.423423424</v>
      </c>
      <c r="N223">
        <v>25696476.576576576</v>
      </c>
      <c r="O223">
        <v>86580054.054054052</v>
      </c>
      <c r="P223">
        <v>89097342.342342332</v>
      </c>
      <c r="Q223">
        <v>19761441.441441439</v>
      </c>
      <c r="R223">
        <v>24577657.657657657</v>
      </c>
      <c r="S223">
        <v>6083</v>
      </c>
      <c r="T223">
        <v>5423</v>
      </c>
    </row>
    <row r="224" spans="1:20" x14ac:dyDescent="0.35">
      <c r="A224" s="7" t="s">
        <v>320</v>
      </c>
      <c r="B224" s="12" t="s">
        <v>121</v>
      </c>
      <c r="C224">
        <v>1824487.009687406</v>
      </c>
      <c r="D224">
        <v>1374786.3414838831</v>
      </c>
      <c r="G224">
        <v>1</v>
      </c>
      <c r="H224">
        <v>2</v>
      </c>
      <c r="K224">
        <v>1</v>
      </c>
      <c r="L224">
        <v>2</v>
      </c>
      <c r="O224">
        <v>266306.30630630598</v>
      </c>
      <c r="P224">
        <v>400855.85585585597</v>
      </c>
      <c r="S224">
        <v>81</v>
      </c>
      <c r="T224">
        <v>142</v>
      </c>
    </row>
    <row r="225" spans="1:20" x14ac:dyDescent="0.35">
      <c r="A225" s="7" t="s">
        <v>321</v>
      </c>
      <c r="B225" s="12" t="s">
        <v>224</v>
      </c>
      <c r="C225">
        <v>266088628.65717486</v>
      </c>
      <c r="D225">
        <v>260547584.03277302</v>
      </c>
      <c r="E225">
        <v>84684.684684685999</v>
      </c>
      <c r="F225">
        <v>58558.558558557997</v>
      </c>
      <c r="G225">
        <v>61</v>
      </c>
      <c r="H225">
        <v>41</v>
      </c>
      <c r="I225">
        <v>2</v>
      </c>
      <c r="K225">
        <v>67</v>
      </c>
      <c r="L225">
        <v>43</v>
      </c>
      <c r="M225">
        <v>10667747.747747747</v>
      </c>
      <c r="N225">
        <v>11936036.036036037</v>
      </c>
      <c r="O225">
        <v>106388538.73873873</v>
      </c>
      <c r="P225">
        <v>112097394.5945946</v>
      </c>
      <c r="Q225">
        <v>10712882.882882884</v>
      </c>
      <c r="R225">
        <v>12255405.405405406</v>
      </c>
      <c r="S225">
        <v>4270</v>
      </c>
      <c r="T225">
        <v>3900</v>
      </c>
    </row>
    <row r="226" spans="1:20" x14ac:dyDescent="0.35">
      <c r="A226" s="7" t="s">
        <v>322</v>
      </c>
      <c r="B226" s="12" t="s">
        <v>224</v>
      </c>
      <c r="C226">
        <v>190498705.73906654</v>
      </c>
      <c r="D226">
        <v>196767329.31192088</v>
      </c>
      <c r="E226">
        <v>106306.306306307</v>
      </c>
      <c r="F226">
        <v>203711.711711713</v>
      </c>
      <c r="G226">
        <v>14</v>
      </c>
      <c r="H226">
        <v>44</v>
      </c>
      <c r="K226">
        <v>16</v>
      </c>
      <c r="L226">
        <v>51</v>
      </c>
      <c r="M226">
        <v>21637117.117117114</v>
      </c>
      <c r="N226">
        <v>21095172.972972974</v>
      </c>
      <c r="O226">
        <v>56725905.40540541</v>
      </c>
      <c r="P226">
        <v>61364198.198198199</v>
      </c>
      <c r="Q226">
        <v>15515765.765765766</v>
      </c>
      <c r="R226">
        <v>16913963.963963963</v>
      </c>
      <c r="S226">
        <v>2334</v>
      </c>
      <c r="T226">
        <v>2218</v>
      </c>
    </row>
    <row r="227" spans="1:20" x14ac:dyDescent="0.35">
      <c r="A227" s="7" t="s">
        <v>323</v>
      </c>
      <c r="B227" s="12" t="s">
        <v>78</v>
      </c>
      <c r="C227">
        <v>288017746.18954718</v>
      </c>
      <c r="D227">
        <v>284768213.45025206</v>
      </c>
      <c r="E227">
        <v>86480180.180180177</v>
      </c>
      <c r="F227">
        <v>217143527.02702704</v>
      </c>
      <c r="G227">
        <v>166</v>
      </c>
      <c r="H227">
        <v>146</v>
      </c>
      <c r="I227">
        <v>2</v>
      </c>
      <c r="K227">
        <v>220</v>
      </c>
      <c r="L227">
        <v>198</v>
      </c>
      <c r="M227">
        <v>28493693.693693697</v>
      </c>
      <c r="N227">
        <v>41031782.882882878</v>
      </c>
      <c r="O227">
        <v>85490855.855855852</v>
      </c>
      <c r="P227">
        <v>85896414.414414421</v>
      </c>
      <c r="Q227">
        <v>28177927.927927926</v>
      </c>
      <c r="R227">
        <v>33048558.558558561</v>
      </c>
      <c r="S227">
        <v>5054</v>
      </c>
      <c r="T227">
        <v>4973</v>
      </c>
    </row>
    <row r="228" spans="1:20" x14ac:dyDescent="0.35">
      <c r="A228" s="7" t="s">
        <v>324</v>
      </c>
      <c r="B228" s="12" t="s">
        <v>108</v>
      </c>
      <c r="C228">
        <v>1775879814.1322572</v>
      </c>
      <c r="D228">
        <v>1816615439.4483867</v>
      </c>
      <c r="E228">
        <v>1831717685.5855856</v>
      </c>
      <c r="F228">
        <v>2451878213.5135136</v>
      </c>
      <c r="G228">
        <v>584</v>
      </c>
      <c r="H228">
        <v>603</v>
      </c>
      <c r="I228">
        <v>5</v>
      </c>
      <c r="K228">
        <v>1061</v>
      </c>
      <c r="L228">
        <v>946</v>
      </c>
      <c r="M228">
        <v>602078108.10810816</v>
      </c>
      <c r="N228">
        <v>775463974.77477479</v>
      </c>
      <c r="O228">
        <v>789703558.55855858</v>
      </c>
      <c r="P228">
        <v>807441291.89189184</v>
      </c>
      <c r="Q228">
        <v>151606666.66666666</v>
      </c>
      <c r="R228">
        <v>309048108.1081081</v>
      </c>
      <c r="S228">
        <v>30027</v>
      </c>
      <c r="T228">
        <v>21647</v>
      </c>
    </row>
    <row r="229" spans="1:20" x14ac:dyDescent="0.35">
      <c r="A229" s="7" t="s">
        <v>325</v>
      </c>
      <c r="B229" s="12" t="s">
        <v>224</v>
      </c>
      <c r="C229">
        <v>262430570.19734955</v>
      </c>
      <c r="D229">
        <v>285052554.65265727</v>
      </c>
      <c r="E229">
        <v>836036.03603603703</v>
      </c>
      <c r="F229">
        <v>1083828.8288288291</v>
      </c>
      <c r="G229">
        <v>44</v>
      </c>
      <c r="H229">
        <v>57</v>
      </c>
      <c r="K229">
        <v>47</v>
      </c>
      <c r="L229">
        <v>68</v>
      </c>
      <c r="M229">
        <v>20307747.747747749</v>
      </c>
      <c r="N229">
        <v>23797012.612612613</v>
      </c>
      <c r="O229">
        <v>55345297.297297299</v>
      </c>
      <c r="P229">
        <v>65503468.468468465</v>
      </c>
      <c r="Q229">
        <v>20465675.675675672</v>
      </c>
      <c r="R229">
        <v>24718918.918918919</v>
      </c>
      <c r="S229">
        <v>4415</v>
      </c>
      <c r="T229">
        <v>4457</v>
      </c>
    </row>
    <row r="230" spans="1:20" x14ac:dyDescent="0.35">
      <c r="A230" s="7" t="s">
        <v>4</v>
      </c>
      <c r="B230" s="12" t="s">
        <v>158</v>
      </c>
      <c r="C230">
        <v>230489931.78063968</v>
      </c>
      <c r="D230">
        <v>218776646.67133695</v>
      </c>
      <c r="E230">
        <v>380433333.33333331</v>
      </c>
      <c r="F230">
        <v>839402927.92792797</v>
      </c>
      <c r="G230">
        <v>21</v>
      </c>
      <c r="H230">
        <v>40</v>
      </c>
      <c r="I230">
        <v>1</v>
      </c>
      <c r="K230">
        <v>26</v>
      </c>
      <c r="L230">
        <v>46</v>
      </c>
      <c r="M230">
        <v>68358558.558558553</v>
      </c>
      <c r="N230">
        <v>149526126.12612611</v>
      </c>
      <c r="O230">
        <v>81162324.324324325</v>
      </c>
      <c r="P230">
        <v>80699774.774774775</v>
      </c>
      <c r="Q230">
        <v>42807297.297297299</v>
      </c>
      <c r="R230">
        <v>96526801.801801801</v>
      </c>
      <c r="S230">
        <v>4264</v>
      </c>
      <c r="T230">
        <v>3552</v>
      </c>
    </row>
    <row r="231" spans="1:20" x14ac:dyDescent="0.35">
      <c r="A231" s="7" t="s">
        <v>326</v>
      </c>
      <c r="B231" s="12" t="s">
        <v>108</v>
      </c>
      <c r="C231">
        <v>1085616763.1189752</v>
      </c>
      <c r="D231">
        <v>1096822767.0762823</v>
      </c>
      <c r="E231">
        <v>18990696.396396399</v>
      </c>
      <c r="F231">
        <v>86614899.0990991</v>
      </c>
      <c r="G231">
        <v>642</v>
      </c>
      <c r="H231">
        <v>437</v>
      </c>
      <c r="I231">
        <v>1</v>
      </c>
      <c r="K231">
        <v>1614</v>
      </c>
      <c r="L231">
        <v>855</v>
      </c>
      <c r="M231">
        <v>797855877.47747755</v>
      </c>
      <c r="N231">
        <v>1115371545.0450449</v>
      </c>
      <c r="O231">
        <v>331541308.55855852</v>
      </c>
      <c r="P231">
        <v>338792621.62162161</v>
      </c>
      <c r="Q231">
        <v>780676576.57657659</v>
      </c>
      <c r="R231">
        <v>597745045.04504502</v>
      </c>
      <c r="S231">
        <v>24431</v>
      </c>
      <c r="T231">
        <v>20586</v>
      </c>
    </row>
    <row r="232" spans="1:20" x14ac:dyDescent="0.35">
      <c r="A232" s="7" t="s">
        <v>327</v>
      </c>
      <c r="B232" s="12" t="s">
        <v>78</v>
      </c>
      <c r="C232">
        <v>114719295.68071933</v>
      </c>
      <c r="D232">
        <v>111028596.40169942</v>
      </c>
      <c r="E232">
        <v>854954.95495495701</v>
      </c>
      <c r="F232">
        <v>1159734.234234235</v>
      </c>
      <c r="G232">
        <v>38</v>
      </c>
      <c r="H232">
        <v>40</v>
      </c>
      <c r="K232">
        <v>42</v>
      </c>
      <c r="L232">
        <v>41</v>
      </c>
      <c r="M232">
        <v>10449549.549549548</v>
      </c>
      <c r="N232">
        <v>15737936.936936937</v>
      </c>
      <c r="O232">
        <v>34759486.486486487</v>
      </c>
      <c r="P232">
        <v>37001135.135135137</v>
      </c>
      <c r="Q232">
        <v>9532612.6126126125</v>
      </c>
      <c r="R232">
        <v>15784774.774774775</v>
      </c>
      <c r="S232">
        <v>2161</v>
      </c>
      <c r="T232">
        <v>1848</v>
      </c>
    </row>
    <row r="233" spans="1:20" x14ac:dyDescent="0.35">
      <c r="A233" s="7" t="s">
        <v>328</v>
      </c>
      <c r="B233" s="12" t="s">
        <v>121</v>
      </c>
      <c r="C233">
        <v>291487811.53864992</v>
      </c>
      <c r="D233">
        <v>275721335.86124253</v>
      </c>
      <c r="E233">
        <v>8027252.2522522509</v>
      </c>
      <c r="F233">
        <v>28260312.612612616</v>
      </c>
      <c r="G233">
        <v>90</v>
      </c>
      <c r="H233">
        <v>106</v>
      </c>
      <c r="I233">
        <v>9</v>
      </c>
      <c r="K233">
        <v>99</v>
      </c>
      <c r="L233">
        <v>119</v>
      </c>
      <c r="M233">
        <v>27629729.729729727</v>
      </c>
      <c r="N233">
        <v>23524369.369369373</v>
      </c>
      <c r="O233">
        <v>44759271.171171166</v>
      </c>
      <c r="P233">
        <v>48548441.441441439</v>
      </c>
      <c r="Q233">
        <v>19346216.216216218</v>
      </c>
      <c r="R233">
        <v>19010630.630630631</v>
      </c>
      <c r="S233">
        <v>6887</v>
      </c>
      <c r="T233">
        <v>3547</v>
      </c>
    </row>
    <row r="234" spans="1:20" x14ac:dyDescent="0.35">
      <c r="A234" s="7" t="s">
        <v>329</v>
      </c>
      <c r="B234" s="12" t="s">
        <v>330</v>
      </c>
      <c r="C234">
        <v>718657372.3447566</v>
      </c>
      <c r="D234">
        <v>676968346.49626601</v>
      </c>
      <c r="E234">
        <v>11143243.243243238</v>
      </c>
      <c r="F234">
        <v>5054252.2522522574</v>
      </c>
      <c r="G234">
        <v>284</v>
      </c>
      <c r="H234">
        <v>318</v>
      </c>
      <c r="I234">
        <v>34</v>
      </c>
      <c r="K234">
        <v>456</v>
      </c>
      <c r="L234">
        <v>388</v>
      </c>
      <c r="M234">
        <v>102957297.2972973</v>
      </c>
      <c r="N234">
        <v>119534248.64864863</v>
      </c>
      <c r="O234">
        <v>182828721.17117116</v>
      </c>
      <c r="P234">
        <v>154300655.85585585</v>
      </c>
      <c r="Q234">
        <v>95841845.045045033</v>
      </c>
      <c r="R234">
        <v>125534144.14414415</v>
      </c>
      <c r="S234">
        <v>19041</v>
      </c>
      <c r="T234">
        <v>14476</v>
      </c>
    </row>
    <row r="235" spans="1:20" x14ac:dyDescent="0.35">
      <c r="A235" s="7" t="s">
        <v>331</v>
      </c>
      <c r="B235" s="12" t="s">
        <v>290</v>
      </c>
      <c r="C235">
        <v>1059089731.7689515</v>
      </c>
      <c r="D235">
        <v>1036212272.2646832</v>
      </c>
      <c r="E235">
        <v>10454954.954954959</v>
      </c>
      <c r="F235">
        <v>5850031.5315315397</v>
      </c>
      <c r="G235">
        <v>439</v>
      </c>
      <c r="H235">
        <v>394</v>
      </c>
      <c r="I235">
        <v>7</v>
      </c>
      <c r="K235">
        <v>615</v>
      </c>
      <c r="L235">
        <v>458</v>
      </c>
      <c r="M235">
        <v>169521621.62162164</v>
      </c>
      <c r="N235">
        <v>97419852.252252251</v>
      </c>
      <c r="O235">
        <v>207284881.08108109</v>
      </c>
      <c r="P235">
        <v>193362529.72972974</v>
      </c>
      <c r="Q235">
        <v>158553603.6036036</v>
      </c>
      <c r="R235">
        <v>106783243.24324325</v>
      </c>
      <c r="S235">
        <v>19614</v>
      </c>
      <c r="T235">
        <v>17000</v>
      </c>
    </row>
    <row r="236" spans="1:20" x14ac:dyDescent="0.35">
      <c r="A236" s="7" t="s">
        <v>332</v>
      </c>
      <c r="B236" s="12" t="s">
        <v>290</v>
      </c>
      <c r="C236">
        <v>787027841.01907742</v>
      </c>
      <c r="D236">
        <v>805887080.32883024</v>
      </c>
      <c r="E236">
        <v>11446621.621621625</v>
      </c>
      <c r="F236">
        <v>8185538.7387387464</v>
      </c>
      <c r="G236">
        <v>243</v>
      </c>
      <c r="H236">
        <v>265</v>
      </c>
      <c r="I236">
        <v>2</v>
      </c>
      <c r="K236">
        <v>286</v>
      </c>
      <c r="L236">
        <v>437</v>
      </c>
      <c r="M236">
        <v>158336036.03603604</v>
      </c>
      <c r="N236">
        <v>116814055.85585585</v>
      </c>
      <c r="O236">
        <v>214114108.1081081</v>
      </c>
      <c r="P236">
        <v>223573097.2972973</v>
      </c>
      <c r="Q236">
        <v>152799369.36936939</v>
      </c>
      <c r="R236">
        <v>169922612.61261261</v>
      </c>
      <c r="S236">
        <v>16961</v>
      </c>
      <c r="T236">
        <v>14840</v>
      </c>
    </row>
    <row r="237" spans="1:20" x14ac:dyDescent="0.35">
      <c r="A237" s="7" t="s">
        <v>333</v>
      </c>
      <c r="B237" s="12" t="s">
        <v>60</v>
      </c>
      <c r="C237">
        <v>108779917.44055112</v>
      </c>
      <c r="D237">
        <v>109467990.39979163</v>
      </c>
      <c r="E237">
        <v>3342342.3423423432</v>
      </c>
      <c r="F237">
        <v>2490990.9909909908</v>
      </c>
      <c r="G237">
        <v>108</v>
      </c>
      <c r="H237">
        <v>67</v>
      </c>
      <c r="I237">
        <v>2</v>
      </c>
      <c r="K237">
        <v>169</v>
      </c>
      <c r="L237">
        <v>107</v>
      </c>
      <c r="M237">
        <v>41856756.75675676</v>
      </c>
      <c r="N237">
        <v>17657657.657657657</v>
      </c>
      <c r="O237">
        <v>37396828.828828834</v>
      </c>
      <c r="P237">
        <v>37984693.693693697</v>
      </c>
      <c r="Q237">
        <v>40185585.585585587</v>
      </c>
      <c r="R237">
        <v>15913153.153153151</v>
      </c>
      <c r="S237">
        <v>2381</v>
      </c>
      <c r="T237">
        <v>2027</v>
      </c>
    </row>
    <row r="238" spans="1:20" x14ac:dyDescent="0.35">
      <c r="A238" s="7" t="s">
        <v>334</v>
      </c>
      <c r="B238" s="12" t="s">
        <v>60</v>
      </c>
      <c r="C238">
        <v>21351949.988695897</v>
      </c>
      <c r="D238">
        <v>23306897.958881609</v>
      </c>
      <c r="E238">
        <v>243243.24324324299</v>
      </c>
      <c r="F238">
        <v>580180.18018018105</v>
      </c>
      <c r="G238">
        <v>9</v>
      </c>
      <c r="H238">
        <v>9</v>
      </c>
      <c r="K238">
        <v>11</v>
      </c>
      <c r="L238">
        <v>12</v>
      </c>
      <c r="M238">
        <v>902252.25225225196</v>
      </c>
      <c r="N238">
        <v>1677027.0270270279</v>
      </c>
      <c r="O238">
        <v>11917702.702702705</v>
      </c>
      <c r="P238">
        <v>11751603.603603603</v>
      </c>
      <c r="Q238">
        <v>850720.72072072094</v>
      </c>
      <c r="R238">
        <v>1688648.6486486481</v>
      </c>
      <c r="S238">
        <v>1009</v>
      </c>
      <c r="T238">
        <v>1761</v>
      </c>
    </row>
    <row r="239" spans="1:20" x14ac:dyDescent="0.35">
      <c r="A239" s="7" t="s">
        <v>335</v>
      </c>
      <c r="B239" s="12" t="s">
        <v>121</v>
      </c>
      <c r="C239">
        <v>2082989.014854406</v>
      </c>
      <c r="D239">
        <v>2830396.1787141012</v>
      </c>
      <c r="G239">
        <v>1</v>
      </c>
      <c r="K239">
        <v>1</v>
      </c>
      <c r="L239">
        <v>1</v>
      </c>
      <c r="O239">
        <v>132432.43243243199</v>
      </c>
      <c r="P239">
        <v>545270.27027026995</v>
      </c>
      <c r="S239">
        <v>145</v>
      </c>
      <c r="T239">
        <v>155</v>
      </c>
    </row>
    <row r="240" spans="1:20" x14ac:dyDescent="0.35">
      <c r="A240" s="7" t="s">
        <v>336</v>
      </c>
      <c r="B240" s="12" t="s">
        <v>121</v>
      </c>
      <c r="C240">
        <v>3776464.8433116949</v>
      </c>
      <c r="D240">
        <v>4029699.4162419662</v>
      </c>
      <c r="F240">
        <v>1696454.054054054</v>
      </c>
      <c r="G240">
        <v>4</v>
      </c>
      <c r="H240">
        <v>3</v>
      </c>
      <c r="K240">
        <v>4</v>
      </c>
      <c r="L240">
        <v>3</v>
      </c>
      <c r="M240">
        <v>3448218.9189189188</v>
      </c>
      <c r="O240">
        <v>732027.02702702698</v>
      </c>
      <c r="P240">
        <v>1345180.1801801799</v>
      </c>
      <c r="S240">
        <v>111</v>
      </c>
      <c r="T240">
        <v>109</v>
      </c>
    </row>
    <row r="241" spans="1:20" x14ac:dyDescent="0.35">
      <c r="A241" s="7" t="s">
        <v>337</v>
      </c>
      <c r="B241" s="12" t="s">
        <v>121</v>
      </c>
      <c r="C241">
        <v>3059797.9006541171</v>
      </c>
      <c r="D241">
        <v>3305702.4293932491</v>
      </c>
      <c r="G241">
        <v>1</v>
      </c>
      <c r="K241">
        <v>2</v>
      </c>
      <c r="O241">
        <v>56531.531531531997</v>
      </c>
      <c r="P241">
        <v>372297.29729729699</v>
      </c>
      <c r="S241">
        <v>142</v>
      </c>
      <c r="T241">
        <v>127</v>
      </c>
    </row>
    <row r="242" spans="1:20" x14ac:dyDescent="0.35">
      <c r="A242" s="7" t="s">
        <v>338</v>
      </c>
      <c r="B242" s="12" t="s">
        <v>140</v>
      </c>
      <c r="C242">
        <v>1194960024.7460716</v>
      </c>
      <c r="D242">
        <v>1203983546.2133074</v>
      </c>
      <c r="E242">
        <v>6054954.9549549604</v>
      </c>
      <c r="F242">
        <v>5991220.7207207223</v>
      </c>
      <c r="G242">
        <v>485</v>
      </c>
      <c r="H242">
        <v>173</v>
      </c>
      <c r="I242">
        <v>2</v>
      </c>
      <c r="K242">
        <v>516</v>
      </c>
      <c r="L242">
        <v>333</v>
      </c>
      <c r="M242">
        <v>115930450.45045045</v>
      </c>
      <c r="N242">
        <v>130013454.95495497</v>
      </c>
      <c r="O242">
        <v>236085610.8108108</v>
      </c>
      <c r="P242">
        <v>265430508.1081081</v>
      </c>
      <c r="Q242">
        <v>103037297.2972973</v>
      </c>
      <c r="R242">
        <v>108627567.56756757</v>
      </c>
      <c r="S242">
        <v>16666</v>
      </c>
      <c r="T242">
        <v>16838</v>
      </c>
    </row>
    <row r="243" spans="1:20" x14ac:dyDescent="0.35">
      <c r="A243" s="7" t="s">
        <v>339</v>
      </c>
      <c r="B243" s="12" t="s">
        <v>121</v>
      </c>
      <c r="C243">
        <v>180814998.238828</v>
      </c>
      <c r="D243">
        <v>177047321.59556398</v>
      </c>
      <c r="G243">
        <v>54</v>
      </c>
      <c r="H243">
        <v>71</v>
      </c>
      <c r="K243">
        <v>59</v>
      </c>
      <c r="L243">
        <v>76</v>
      </c>
      <c r="N243">
        <v>270270.27027027</v>
      </c>
      <c r="O243">
        <v>11226072.072072072</v>
      </c>
      <c r="P243">
        <v>12504962.162162162</v>
      </c>
      <c r="R243">
        <v>270270.27027027</v>
      </c>
      <c r="S243">
        <v>2609</v>
      </c>
      <c r="T243">
        <v>2465</v>
      </c>
    </row>
    <row r="244" spans="1:20" x14ac:dyDescent="0.35">
      <c r="A244" s="7" t="s">
        <v>340</v>
      </c>
      <c r="B244" s="12" t="s">
        <v>140</v>
      </c>
      <c r="C244">
        <v>626836583.06760204</v>
      </c>
      <c r="D244">
        <v>659034868.28399539</v>
      </c>
      <c r="E244">
        <v>4008108.1081081098</v>
      </c>
      <c r="F244">
        <v>4109800</v>
      </c>
      <c r="G244">
        <v>128</v>
      </c>
      <c r="H244">
        <v>81</v>
      </c>
      <c r="I244">
        <v>4</v>
      </c>
      <c r="K244">
        <v>155</v>
      </c>
      <c r="L244">
        <v>138</v>
      </c>
      <c r="M244">
        <v>113052432.43243243</v>
      </c>
      <c r="N244">
        <v>117889753.15315315</v>
      </c>
      <c r="O244">
        <v>183783703.15315315</v>
      </c>
      <c r="P244">
        <v>197226036.03603604</v>
      </c>
      <c r="Q244">
        <v>102798018.01801802</v>
      </c>
      <c r="R244">
        <v>102681666.66666667</v>
      </c>
      <c r="S244">
        <v>8537</v>
      </c>
      <c r="T244">
        <v>8955</v>
      </c>
    </row>
    <row r="245" spans="1:20" x14ac:dyDescent="0.35">
      <c r="A245" s="7" t="s">
        <v>341</v>
      </c>
      <c r="B245" s="12" t="s">
        <v>134</v>
      </c>
      <c r="C245">
        <v>71769715.161382511</v>
      </c>
      <c r="D245">
        <v>64429666.553699918</v>
      </c>
      <c r="E245">
        <v>26630630.630630631</v>
      </c>
      <c r="F245">
        <v>21692990.990990993</v>
      </c>
      <c r="G245">
        <v>14</v>
      </c>
      <c r="H245">
        <v>18</v>
      </c>
      <c r="I245">
        <v>1</v>
      </c>
      <c r="K245">
        <v>15</v>
      </c>
      <c r="L245">
        <v>19</v>
      </c>
      <c r="M245">
        <v>2666666.666666666</v>
      </c>
      <c r="N245">
        <v>2504712.6126126121</v>
      </c>
      <c r="O245">
        <v>6563927.927927928</v>
      </c>
      <c r="P245">
        <v>7361090.0900900885</v>
      </c>
      <c r="Q245">
        <v>1636666.666666666</v>
      </c>
      <c r="R245">
        <v>1172252.2522522521</v>
      </c>
      <c r="S245">
        <v>1438</v>
      </c>
      <c r="T245">
        <v>1261</v>
      </c>
    </row>
    <row r="246" spans="1:20" x14ac:dyDescent="0.35">
      <c r="A246" s="7" t="s">
        <v>342</v>
      </c>
      <c r="B246" s="12" t="s">
        <v>121</v>
      </c>
      <c r="C246">
        <v>3249061.4748578891</v>
      </c>
      <c r="D246">
        <v>3964673.7661832282</v>
      </c>
      <c r="G246">
        <v>10</v>
      </c>
      <c r="H246">
        <v>4</v>
      </c>
      <c r="K246">
        <v>14</v>
      </c>
      <c r="L246">
        <v>6</v>
      </c>
      <c r="O246">
        <v>1147252.2522522521</v>
      </c>
      <c r="P246">
        <v>2422477.4774774769</v>
      </c>
      <c r="S246">
        <v>404</v>
      </c>
      <c r="T246">
        <v>399</v>
      </c>
    </row>
    <row r="247" spans="1:20" x14ac:dyDescent="0.35">
      <c r="A247" s="7" t="s">
        <v>5</v>
      </c>
      <c r="B247" s="12" t="s">
        <v>158</v>
      </c>
      <c r="C247">
        <v>244639196.17200372</v>
      </c>
      <c r="D247">
        <v>247513395.90166593</v>
      </c>
      <c r="E247">
        <v>1389189.1891891891</v>
      </c>
      <c r="F247">
        <v>265765.76576576597</v>
      </c>
      <c r="G247">
        <v>41</v>
      </c>
      <c r="H247">
        <v>25</v>
      </c>
      <c r="I247">
        <v>1</v>
      </c>
      <c r="K247">
        <v>43</v>
      </c>
      <c r="L247">
        <v>28</v>
      </c>
      <c r="M247">
        <v>15765765.765765764</v>
      </c>
      <c r="N247">
        <v>41664639.639639638</v>
      </c>
      <c r="O247">
        <v>103704540.54054055</v>
      </c>
      <c r="P247">
        <v>104389837.83783785</v>
      </c>
      <c r="Q247">
        <v>15138288.288288288</v>
      </c>
      <c r="R247">
        <v>40067882.882882878</v>
      </c>
      <c r="S247">
        <v>3253</v>
      </c>
      <c r="T247">
        <v>3081</v>
      </c>
    </row>
    <row r="248" spans="1:20" x14ac:dyDescent="0.35">
      <c r="A248" s="7" t="s">
        <v>343</v>
      </c>
      <c r="B248" s="12" t="s">
        <v>304</v>
      </c>
      <c r="C248">
        <v>23106245.801624101</v>
      </c>
      <c r="D248">
        <v>38146514.546364807</v>
      </c>
      <c r="E248">
        <v>900900.90090090095</v>
      </c>
      <c r="F248">
        <v>630630.630630631</v>
      </c>
      <c r="G248">
        <v>24</v>
      </c>
      <c r="H248">
        <v>57</v>
      </c>
      <c r="K248">
        <v>29</v>
      </c>
      <c r="L248">
        <v>67</v>
      </c>
      <c r="M248">
        <v>1351351.351351351</v>
      </c>
      <c r="N248">
        <v>630630.630630631</v>
      </c>
      <c r="O248">
        <v>4203747.7477477482</v>
      </c>
      <c r="P248">
        <v>7280223.4234234234</v>
      </c>
      <c r="Q248">
        <v>294954.95495495503</v>
      </c>
      <c r="R248">
        <v>602702.70270270295</v>
      </c>
      <c r="S248">
        <v>628</v>
      </c>
      <c r="T248">
        <v>562</v>
      </c>
    </row>
    <row r="249" spans="1:20" x14ac:dyDescent="0.35">
      <c r="A249" s="7" t="s">
        <v>344</v>
      </c>
      <c r="B249" s="12" t="s">
        <v>105</v>
      </c>
      <c r="C249">
        <v>494063304.51581621</v>
      </c>
      <c r="D249">
        <v>503888162.60969782</v>
      </c>
      <c r="E249">
        <v>3157207.207207208</v>
      </c>
      <c r="F249">
        <v>3098345.9459459451</v>
      </c>
      <c r="G249">
        <v>185</v>
      </c>
      <c r="H249">
        <v>119</v>
      </c>
      <c r="K249">
        <v>217</v>
      </c>
      <c r="L249">
        <v>130</v>
      </c>
      <c r="M249">
        <v>70746306.306306317</v>
      </c>
      <c r="N249">
        <v>132274372.07207206</v>
      </c>
      <c r="O249">
        <v>123677144.14414415</v>
      </c>
      <c r="P249">
        <v>129471747.74774775</v>
      </c>
      <c r="Q249">
        <v>66211621.621621624</v>
      </c>
      <c r="R249">
        <v>129936801.80180179</v>
      </c>
      <c r="S249">
        <v>6600</v>
      </c>
      <c r="T249">
        <v>5972</v>
      </c>
    </row>
    <row r="250" spans="1:20" x14ac:dyDescent="0.35">
      <c r="A250" s="7" t="s">
        <v>345</v>
      </c>
      <c r="B250" s="12" t="s">
        <v>87</v>
      </c>
      <c r="C250">
        <v>143400206.63016915</v>
      </c>
      <c r="D250">
        <v>146337961.47794348</v>
      </c>
      <c r="E250">
        <v>15963963.963963963</v>
      </c>
      <c r="F250">
        <v>34236795.495495498</v>
      </c>
      <c r="G250">
        <v>68</v>
      </c>
      <c r="H250">
        <v>74</v>
      </c>
      <c r="K250">
        <v>72</v>
      </c>
      <c r="L250">
        <v>83</v>
      </c>
      <c r="M250">
        <v>37848108.108108103</v>
      </c>
      <c r="N250">
        <v>38214602.702702701</v>
      </c>
      <c r="O250">
        <v>38275559.459459454</v>
      </c>
      <c r="P250">
        <v>44232906.306306303</v>
      </c>
      <c r="Q250">
        <v>29768554.954954952</v>
      </c>
      <c r="R250">
        <v>25702745.945945945</v>
      </c>
      <c r="S250">
        <v>2377</v>
      </c>
      <c r="T250">
        <v>2378</v>
      </c>
    </row>
    <row r="251" spans="1:20" x14ac:dyDescent="0.35">
      <c r="A251" s="7" t="s">
        <v>346</v>
      </c>
      <c r="B251" s="12" t="s">
        <v>87</v>
      </c>
      <c r="C251">
        <v>419639434.46089906</v>
      </c>
      <c r="D251">
        <v>389174481.15762836</v>
      </c>
      <c r="E251">
        <v>4162387.3873873879</v>
      </c>
      <c r="F251">
        <v>3844238.7387387422</v>
      </c>
      <c r="G251">
        <v>234</v>
      </c>
      <c r="H251">
        <v>292</v>
      </c>
      <c r="I251">
        <v>5</v>
      </c>
      <c r="K251">
        <v>286</v>
      </c>
      <c r="L251">
        <v>350</v>
      </c>
      <c r="M251">
        <v>38514234.234234229</v>
      </c>
      <c r="N251">
        <v>46075300.9009009</v>
      </c>
      <c r="O251">
        <v>67155556.756756753</v>
      </c>
      <c r="P251">
        <v>78021187.387387395</v>
      </c>
      <c r="Q251">
        <v>28954954.954954952</v>
      </c>
      <c r="R251">
        <v>38408918.918918923</v>
      </c>
      <c r="S251">
        <v>7212</v>
      </c>
      <c r="T251">
        <v>6412</v>
      </c>
    </row>
    <row r="252" spans="1:20" x14ac:dyDescent="0.35">
      <c r="A252" s="7" t="s">
        <v>347</v>
      </c>
      <c r="B252" s="12" t="s">
        <v>87</v>
      </c>
      <c r="C252">
        <v>12181534.479313301</v>
      </c>
      <c r="D252">
        <v>12585751.539730292</v>
      </c>
      <c r="G252">
        <v>27</v>
      </c>
      <c r="H252">
        <v>12</v>
      </c>
      <c r="K252">
        <v>28</v>
      </c>
      <c r="L252">
        <v>15</v>
      </c>
      <c r="O252">
        <v>5418639.6396396402</v>
      </c>
      <c r="P252">
        <v>6950855.8558558561</v>
      </c>
      <c r="S252">
        <v>813</v>
      </c>
      <c r="T252">
        <v>858</v>
      </c>
    </row>
    <row r="253" spans="1:20" x14ac:dyDescent="0.35">
      <c r="A253" s="7" t="s">
        <v>348</v>
      </c>
      <c r="B253" s="12" t="s">
        <v>87</v>
      </c>
      <c r="C253">
        <v>5369658.1054053726</v>
      </c>
      <c r="D253">
        <v>4773295.90727867</v>
      </c>
      <c r="G253">
        <v>3</v>
      </c>
      <c r="K253">
        <v>3</v>
      </c>
      <c r="O253">
        <v>1706351.351351351</v>
      </c>
      <c r="P253">
        <v>1667171.1711711709</v>
      </c>
      <c r="S253">
        <v>182</v>
      </c>
      <c r="T253">
        <v>433</v>
      </c>
    </row>
    <row r="254" spans="1:20" x14ac:dyDescent="0.35">
      <c r="A254" s="7" t="s">
        <v>349</v>
      </c>
      <c r="B254" s="12" t="s">
        <v>87</v>
      </c>
      <c r="C254">
        <v>4529681.3368805721</v>
      </c>
      <c r="D254">
        <v>2352689.7716717701</v>
      </c>
      <c r="G254">
        <v>8</v>
      </c>
      <c r="H254">
        <v>6</v>
      </c>
      <c r="K254">
        <v>14</v>
      </c>
      <c r="L254">
        <v>11</v>
      </c>
      <c r="O254">
        <v>2435279.27927928</v>
      </c>
      <c r="P254">
        <v>1720495.4954954949</v>
      </c>
      <c r="S254">
        <v>653</v>
      </c>
      <c r="T254">
        <v>546</v>
      </c>
    </row>
    <row r="255" spans="1:20" x14ac:dyDescent="0.35">
      <c r="A255" s="7" t="s">
        <v>350</v>
      </c>
      <c r="B255" s="12" t="s">
        <v>87</v>
      </c>
      <c r="C255">
        <v>131062685.58226277</v>
      </c>
      <c r="D255">
        <v>134723961.37982979</v>
      </c>
      <c r="E255">
        <v>201801.801801803</v>
      </c>
      <c r="F255">
        <v>1177607.207207208</v>
      </c>
      <c r="G255">
        <v>98</v>
      </c>
      <c r="H255">
        <v>79</v>
      </c>
      <c r="I255">
        <v>1</v>
      </c>
      <c r="K255">
        <v>102</v>
      </c>
      <c r="L255">
        <v>87</v>
      </c>
      <c r="M255">
        <v>10050810.810810812</v>
      </c>
      <c r="N255">
        <v>18302602.702702705</v>
      </c>
      <c r="O255">
        <v>24884481.981981985</v>
      </c>
      <c r="P255">
        <v>31045567.567567568</v>
      </c>
      <c r="Q255">
        <v>8639819.8198198192</v>
      </c>
      <c r="R255">
        <v>15151351.351351352</v>
      </c>
      <c r="S255">
        <v>2195</v>
      </c>
      <c r="T255">
        <v>2059</v>
      </c>
    </row>
    <row r="256" spans="1:20" x14ac:dyDescent="0.35">
      <c r="A256" s="7" t="s">
        <v>351</v>
      </c>
      <c r="B256" s="12" t="s">
        <v>50</v>
      </c>
      <c r="C256">
        <v>354789989.40023553</v>
      </c>
      <c r="D256">
        <v>338031772.68489516</v>
      </c>
      <c r="E256">
        <v>4091666.6666666679</v>
      </c>
      <c r="F256">
        <v>3145945.945945947</v>
      </c>
      <c r="G256">
        <v>96</v>
      </c>
      <c r="H256">
        <v>128</v>
      </c>
      <c r="K256">
        <v>104</v>
      </c>
      <c r="L256">
        <v>169</v>
      </c>
      <c r="M256">
        <v>59460540.540540546</v>
      </c>
      <c r="N256">
        <v>55046081.081081077</v>
      </c>
      <c r="O256">
        <v>137518698.1981982</v>
      </c>
      <c r="P256">
        <v>138402693.6936937</v>
      </c>
      <c r="Q256">
        <v>56500900.9009009</v>
      </c>
      <c r="R256">
        <v>53062207.20720721</v>
      </c>
      <c r="S256">
        <v>4660</v>
      </c>
      <c r="T256">
        <v>5972</v>
      </c>
    </row>
    <row r="257" spans="1:20" x14ac:dyDescent="0.35">
      <c r="A257" s="7" t="s">
        <v>352</v>
      </c>
      <c r="B257" s="12" t="s">
        <v>123</v>
      </c>
      <c r="C257">
        <v>2134528.6222833288</v>
      </c>
      <c r="D257">
        <v>3369792.4096840462</v>
      </c>
      <c r="G257">
        <v>2</v>
      </c>
      <c r="H257">
        <v>1</v>
      </c>
      <c r="K257">
        <v>2</v>
      </c>
      <c r="L257">
        <v>1</v>
      </c>
      <c r="O257">
        <v>779819.81981982</v>
      </c>
      <c r="P257">
        <v>998864.86486486497</v>
      </c>
      <c r="S257">
        <v>129</v>
      </c>
      <c r="T257">
        <v>133</v>
      </c>
    </row>
    <row r="258" spans="1:20" x14ac:dyDescent="0.35">
      <c r="A258" s="7" t="s">
        <v>353</v>
      </c>
      <c r="B258" s="12" t="s">
        <v>354</v>
      </c>
      <c r="C258">
        <v>613304102.61561596</v>
      </c>
      <c r="D258">
        <v>648600924.50118029</v>
      </c>
      <c r="E258">
        <v>441057800.9009009</v>
      </c>
      <c r="F258">
        <v>506572119.81981987</v>
      </c>
      <c r="G258">
        <v>495</v>
      </c>
      <c r="H258">
        <v>848</v>
      </c>
      <c r="I258">
        <v>2</v>
      </c>
      <c r="K258">
        <v>638</v>
      </c>
      <c r="L258">
        <v>869</v>
      </c>
      <c r="M258">
        <v>484233468.46846849</v>
      </c>
      <c r="N258">
        <v>454880781.08108109</v>
      </c>
      <c r="O258">
        <v>366242828.82882881</v>
      </c>
      <c r="P258">
        <v>391109432.43243247</v>
      </c>
      <c r="Q258">
        <v>431053018.01801807</v>
      </c>
      <c r="R258">
        <v>368081801.8018018</v>
      </c>
      <c r="S258">
        <v>10480</v>
      </c>
      <c r="T258">
        <v>9943</v>
      </c>
    </row>
    <row r="259" spans="1:20" x14ac:dyDescent="0.35">
      <c r="A259" s="7" t="s">
        <v>355</v>
      </c>
      <c r="B259" s="12" t="s">
        <v>48</v>
      </c>
      <c r="C259">
        <v>435259804.26690024</v>
      </c>
      <c r="D259">
        <v>462252713.57988465</v>
      </c>
      <c r="E259">
        <v>1896396.396396399</v>
      </c>
      <c r="F259">
        <v>835706.30630630895</v>
      </c>
      <c r="G259">
        <v>48</v>
      </c>
      <c r="H259">
        <v>15</v>
      </c>
      <c r="K259">
        <v>50</v>
      </c>
      <c r="L259">
        <v>17</v>
      </c>
      <c r="M259">
        <v>8728828.8288288284</v>
      </c>
      <c r="N259">
        <v>982014.41441441595</v>
      </c>
      <c r="O259">
        <v>33495684.684684683</v>
      </c>
      <c r="P259">
        <v>38073666.666666664</v>
      </c>
      <c r="Q259">
        <v>8728198.1981981974</v>
      </c>
      <c r="R259">
        <v>1128198.1981982009</v>
      </c>
      <c r="S259">
        <v>5850</v>
      </c>
      <c r="T259">
        <v>5691</v>
      </c>
    </row>
    <row r="260" spans="1:20" x14ac:dyDescent="0.35">
      <c r="A260" s="7" t="s">
        <v>356</v>
      </c>
      <c r="B260" s="12" t="s">
        <v>123</v>
      </c>
      <c r="C260">
        <v>479729248.21120322</v>
      </c>
      <c r="D260">
        <v>465182843.70888126</v>
      </c>
      <c r="E260">
        <v>231531.531531532</v>
      </c>
      <c r="F260">
        <v>1618105.405405408</v>
      </c>
      <c r="G260">
        <v>108</v>
      </c>
      <c r="H260">
        <v>70</v>
      </c>
      <c r="K260">
        <v>113</v>
      </c>
      <c r="L260">
        <v>77</v>
      </c>
      <c r="M260">
        <v>24490900.9009009</v>
      </c>
      <c r="N260">
        <v>19173060.360360362</v>
      </c>
      <c r="O260">
        <v>100581187.38738739</v>
      </c>
      <c r="P260">
        <v>109145936.93693694</v>
      </c>
      <c r="Q260">
        <v>22360270.270270273</v>
      </c>
      <c r="R260">
        <v>18616666.666666668</v>
      </c>
      <c r="S260">
        <v>6659</v>
      </c>
      <c r="T260">
        <v>5881</v>
      </c>
    </row>
    <row r="261" spans="1:20" x14ac:dyDescent="0.35">
      <c r="A261" s="7" t="s">
        <v>357</v>
      </c>
      <c r="B261" s="12" t="s">
        <v>62</v>
      </c>
      <c r="C261">
        <v>261341567.2174342</v>
      </c>
      <c r="D261">
        <v>262951530.48641154</v>
      </c>
      <c r="E261">
        <v>3346846.8468468501</v>
      </c>
      <c r="F261">
        <v>2119876.5765765822</v>
      </c>
      <c r="G261">
        <v>54</v>
      </c>
      <c r="H261">
        <v>11</v>
      </c>
      <c r="K261">
        <v>56</v>
      </c>
      <c r="L261">
        <v>13</v>
      </c>
      <c r="M261">
        <v>40794594.59459459</v>
      </c>
      <c r="N261">
        <v>54787261.261261262</v>
      </c>
      <c r="O261">
        <v>73878486.486486495</v>
      </c>
      <c r="P261">
        <v>81752396.396396399</v>
      </c>
      <c r="Q261">
        <v>39114234.234234229</v>
      </c>
      <c r="R261">
        <v>34162972.972972974</v>
      </c>
      <c r="S261">
        <v>4298</v>
      </c>
      <c r="T261">
        <v>3762</v>
      </c>
    </row>
    <row r="262" spans="1:20" x14ac:dyDescent="0.35">
      <c r="A262" s="7" t="s">
        <v>358</v>
      </c>
      <c r="B262" s="12" t="s">
        <v>315</v>
      </c>
      <c r="C262">
        <v>5713434.3048183834</v>
      </c>
      <c r="D262">
        <v>15817406.90314748</v>
      </c>
      <c r="G262">
        <v>10</v>
      </c>
      <c r="H262">
        <v>16</v>
      </c>
      <c r="K262">
        <v>11</v>
      </c>
      <c r="L262">
        <v>16</v>
      </c>
      <c r="O262">
        <v>2316846.8468468469</v>
      </c>
      <c r="P262">
        <v>8447756.7567567565</v>
      </c>
      <c r="S262">
        <v>2</v>
      </c>
      <c r="T262">
        <v>464</v>
      </c>
    </row>
    <row r="263" spans="1:20" x14ac:dyDescent="0.35">
      <c r="A263" s="7" t="s">
        <v>359</v>
      </c>
      <c r="B263" s="12" t="s">
        <v>315</v>
      </c>
      <c r="C263">
        <v>262997365.34711754</v>
      </c>
      <c r="D263">
        <v>208066853.83212933</v>
      </c>
      <c r="E263">
        <v>1904504.504504503</v>
      </c>
      <c r="F263">
        <v>1268763.9639639631</v>
      </c>
      <c r="G263">
        <v>60</v>
      </c>
      <c r="H263">
        <v>41</v>
      </c>
      <c r="I263">
        <v>2</v>
      </c>
      <c r="K263">
        <v>70</v>
      </c>
      <c r="L263">
        <v>49</v>
      </c>
      <c r="M263">
        <v>74152612.612612605</v>
      </c>
      <c r="N263">
        <v>79667997.297297299</v>
      </c>
      <c r="O263">
        <v>95531108.108108118</v>
      </c>
      <c r="P263">
        <v>85434567.567567572</v>
      </c>
      <c r="Q263">
        <v>69629729.729729727</v>
      </c>
      <c r="R263">
        <v>74830360.360360354</v>
      </c>
      <c r="S263">
        <v>3449</v>
      </c>
      <c r="T263">
        <v>3239</v>
      </c>
    </row>
    <row r="264" spans="1:20" x14ac:dyDescent="0.35">
      <c r="A264" s="7" t="s">
        <v>360</v>
      </c>
      <c r="B264" s="12" t="s">
        <v>92</v>
      </c>
      <c r="C264">
        <v>480461129.10913521</v>
      </c>
      <c r="D264">
        <v>476724597.41847026</v>
      </c>
      <c r="E264">
        <v>9377477.477477476</v>
      </c>
      <c r="F264">
        <v>7127758.5585585618</v>
      </c>
      <c r="G264">
        <v>237</v>
      </c>
      <c r="H264">
        <v>123</v>
      </c>
      <c r="I264">
        <v>2</v>
      </c>
      <c r="K264">
        <v>269</v>
      </c>
      <c r="L264">
        <v>163</v>
      </c>
      <c r="M264">
        <v>110138018.01801802</v>
      </c>
      <c r="N264">
        <v>89577062.162162155</v>
      </c>
      <c r="O264">
        <v>137002980.18018016</v>
      </c>
      <c r="P264">
        <v>140751513.51351351</v>
      </c>
      <c r="Q264">
        <v>105368781.98198198</v>
      </c>
      <c r="R264">
        <v>86800450.45045045</v>
      </c>
      <c r="S264">
        <v>7266</v>
      </c>
      <c r="T264">
        <v>6707</v>
      </c>
    </row>
    <row r="265" spans="1:20" x14ac:dyDescent="0.35">
      <c r="A265" s="7" t="s">
        <v>361</v>
      </c>
      <c r="B265" s="12" t="s">
        <v>58</v>
      </c>
      <c r="C265">
        <v>939483161.25644696</v>
      </c>
      <c r="D265">
        <v>953952106.39101946</v>
      </c>
      <c r="E265">
        <v>1888963.963963965</v>
      </c>
      <c r="F265">
        <v>4682803.6036036061</v>
      </c>
      <c r="G265">
        <v>153</v>
      </c>
      <c r="H265">
        <v>273</v>
      </c>
      <c r="K265">
        <v>171</v>
      </c>
      <c r="L265">
        <v>298</v>
      </c>
      <c r="M265">
        <v>35409909.909909911</v>
      </c>
      <c r="N265">
        <v>83641215.315315306</v>
      </c>
      <c r="O265">
        <v>146562135.13513514</v>
      </c>
      <c r="P265">
        <v>170878504.5045045</v>
      </c>
      <c r="Q265">
        <v>35453603.603603601</v>
      </c>
      <c r="R265">
        <v>77783243.243243247</v>
      </c>
      <c r="S265">
        <v>13999</v>
      </c>
      <c r="T265">
        <v>12927</v>
      </c>
    </row>
    <row r="266" spans="1:20" x14ac:dyDescent="0.35">
      <c r="A266" s="7" t="s">
        <v>362</v>
      </c>
      <c r="B266" s="12" t="s">
        <v>48</v>
      </c>
      <c r="C266">
        <v>331999847.09495497</v>
      </c>
      <c r="D266">
        <v>336917983.33382469</v>
      </c>
      <c r="E266">
        <v>248458401.8018018</v>
      </c>
      <c r="F266">
        <v>127404353.15315315</v>
      </c>
      <c r="G266">
        <v>25</v>
      </c>
      <c r="H266">
        <v>10</v>
      </c>
      <c r="K266">
        <v>31</v>
      </c>
      <c r="L266">
        <v>11</v>
      </c>
      <c r="M266">
        <v>74432844.144144148</v>
      </c>
      <c r="N266">
        <v>41604311.711711712</v>
      </c>
      <c r="O266">
        <v>54120927.927927926</v>
      </c>
      <c r="P266">
        <v>61811234.234234229</v>
      </c>
      <c r="Q266">
        <v>49454594.59459459</v>
      </c>
      <c r="R266">
        <v>19963063.063063063</v>
      </c>
      <c r="S266">
        <v>4082</v>
      </c>
      <c r="T266">
        <v>3829</v>
      </c>
    </row>
    <row r="267" spans="1:20" x14ac:dyDescent="0.35">
      <c r="A267" s="7" t="s">
        <v>363</v>
      </c>
      <c r="B267" s="12" t="s">
        <v>52</v>
      </c>
      <c r="C267">
        <v>140359611.32476634</v>
      </c>
      <c r="D267">
        <v>138831349.19521832</v>
      </c>
      <c r="E267">
        <v>559459.45945946104</v>
      </c>
      <c r="F267">
        <v>1151801.801801804</v>
      </c>
      <c r="G267">
        <v>74</v>
      </c>
      <c r="H267">
        <v>27</v>
      </c>
      <c r="K267">
        <v>87</v>
      </c>
      <c r="L267">
        <v>32</v>
      </c>
      <c r="M267">
        <v>2901801.8018018031</v>
      </c>
      <c r="N267">
        <v>6818918.9189189188</v>
      </c>
      <c r="O267">
        <v>66754135.135135137</v>
      </c>
      <c r="P267">
        <v>65117097.297297299</v>
      </c>
      <c r="Q267">
        <v>2727027.0270270272</v>
      </c>
      <c r="R267">
        <v>6451081.0810810793</v>
      </c>
      <c r="S267">
        <v>3558</v>
      </c>
      <c r="T267">
        <v>2582</v>
      </c>
    </row>
    <row r="268" spans="1:20" x14ac:dyDescent="0.35">
      <c r="A268" s="7" t="s">
        <v>364</v>
      </c>
      <c r="B268" s="12" t="s">
        <v>52</v>
      </c>
      <c r="C268">
        <v>108372554.76216327</v>
      </c>
      <c r="D268">
        <v>108768563.91499616</v>
      </c>
      <c r="E268">
        <v>4518018.0180180203</v>
      </c>
      <c r="F268">
        <v>3668501.8018017998</v>
      </c>
      <c r="G268">
        <v>118</v>
      </c>
      <c r="H268">
        <v>70</v>
      </c>
      <c r="I268">
        <v>1</v>
      </c>
      <c r="K268">
        <v>622</v>
      </c>
      <c r="L268">
        <v>167</v>
      </c>
      <c r="M268">
        <v>11924144.144144144</v>
      </c>
      <c r="N268">
        <v>21780357.657657657</v>
      </c>
      <c r="O268">
        <v>60961198.198198199</v>
      </c>
      <c r="P268">
        <v>61334036.036036037</v>
      </c>
      <c r="Q268">
        <v>15938828.828828828</v>
      </c>
      <c r="R268">
        <v>20611441.441441439</v>
      </c>
      <c r="S268">
        <v>3234</v>
      </c>
      <c r="T268">
        <v>2113</v>
      </c>
    </row>
    <row r="269" spans="1:20" x14ac:dyDescent="0.35">
      <c r="A269" s="7" t="s">
        <v>365</v>
      </c>
      <c r="B269" s="12" t="s">
        <v>52</v>
      </c>
      <c r="C269">
        <v>1221251539.451232</v>
      </c>
      <c r="D269">
        <v>1221599348.320996</v>
      </c>
      <c r="E269">
        <v>345562030.63063067</v>
      </c>
      <c r="F269">
        <v>363516461.26126122</v>
      </c>
      <c r="G269">
        <v>432</v>
      </c>
      <c r="H269">
        <v>799</v>
      </c>
      <c r="I269">
        <v>5</v>
      </c>
      <c r="K269">
        <v>1043</v>
      </c>
      <c r="L269">
        <v>1376</v>
      </c>
      <c r="M269">
        <v>86545592.792792797</v>
      </c>
      <c r="N269">
        <v>647163263.06306303</v>
      </c>
      <c r="O269">
        <v>442875528.82882881</v>
      </c>
      <c r="P269">
        <v>459278639.63963962</v>
      </c>
      <c r="Q269">
        <v>90339279.279279277</v>
      </c>
      <c r="R269">
        <v>191302162.16216218</v>
      </c>
      <c r="S269">
        <v>34729</v>
      </c>
      <c r="T269">
        <v>21585</v>
      </c>
    </row>
    <row r="270" spans="1:20" x14ac:dyDescent="0.35">
      <c r="A270" s="7" t="s">
        <v>366</v>
      </c>
      <c r="B270" s="12" t="s">
        <v>293</v>
      </c>
      <c r="C270">
        <v>698452472.05612993</v>
      </c>
      <c r="D270">
        <v>696698545.50194573</v>
      </c>
      <c r="E270">
        <v>153583578.37837836</v>
      </c>
      <c r="F270">
        <v>160855263.96396396</v>
      </c>
      <c r="G270">
        <v>370</v>
      </c>
      <c r="H270">
        <v>117</v>
      </c>
      <c r="K270">
        <v>426</v>
      </c>
      <c r="L270">
        <v>326</v>
      </c>
      <c r="M270">
        <v>98996036.036036044</v>
      </c>
      <c r="N270">
        <v>161584154.05405405</v>
      </c>
      <c r="O270">
        <v>224483290.99099097</v>
      </c>
      <c r="P270">
        <v>228329861.26126125</v>
      </c>
      <c r="Q270">
        <v>90238738.738738745</v>
      </c>
      <c r="R270">
        <v>144813466.66666669</v>
      </c>
      <c r="S270">
        <v>18494</v>
      </c>
      <c r="T270">
        <v>10585</v>
      </c>
    </row>
    <row r="271" spans="1:20" x14ac:dyDescent="0.35">
      <c r="A271" s="7" t="s">
        <v>367</v>
      </c>
      <c r="B271" s="12" t="s">
        <v>368</v>
      </c>
      <c r="C271">
        <v>302539246.82671547</v>
      </c>
      <c r="D271">
        <v>282055243.25327361</v>
      </c>
      <c r="E271">
        <v>39190005.40540541</v>
      </c>
      <c r="F271">
        <v>80359783.783783779</v>
      </c>
      <c r="G271">
        <v>90</v>
      </c>
      <c r="H271">
        <v>44</v>
      </c>
      <c r="K271">
        <v>107</v>
      </c>
      <c r="L271">
        <v>47</v>
      </c>
      <c r="M271">
        <v>126980180.18018018</v>
      </c>
      <c r="N271">
        <v>136196434.23423424</v>
      </c>
      <c r="O271">
        <v>128979450.45045045</v>
      </c>
      <c r="P271">
        <v>123155917.11711712</v>
      </c>
      <c r="Q271">
        <v>113565855.85585585</v>
      </c>
      <c r="R271">
        <v>124471171.17117117</v>
      </c>
      <c r="S271">
        <v>6321</v>
      </c>
      <c r="T271">
        <v>3802</v>
      </c>
    </row>
    <row r="272" spans="1:20" x14ac:dyDescent="0.35">
      <c r="A272" s="7" t="s">
        <v>369</v>
      </c>
      <c r="B272" s="12" t="s">
        <v>70</v>
      </c>
      <c r="C272">
        <v>86375054.05995515</v>
      </c>
      <c r="D272">
        <v>85663623.195358202</v>
      </c>
      <c r="E272">
        <v>2300000.0000000009</v>
      </c>
      <c r="F272">
        <v>2280551.351351351</v>
      </c>
      <c r="G272">
        <v>60</v>
      </c>
      <c r="H272">
        <v>38</v>
      </c>
      <c r="K272">
        <v>88</v>
      </c>
      <c r="L272">
        <v>53</v>
      </c>
      <c r="M272">
        <v>17435135.135135137</v>
      </c>
      <c r="N272">
        <v>17354231.531531531</v>
      </c>
      <c r="O272">
        <v>28306225.225225225</v>
      </c>
      <c r="P272">
        <v>28595792.792792793</v>
      </c>
      <c r="Q272">
        <v>16872342.342342343</v>
      </c>
      <c r="R272">
        <v>15438468.468468469</v>
      </c>
      <c r="S272">
        <v>1399</v>
      </c>
      <c r="T272">
        <v>1198</v>
      </c>
    </row>
    <row r="273" spans="1:20" x14ac:dyDescent="0.35">
      <c r="A273" s="7" t="s">
        <v>370</v>
      </c>
      <c r="B273" s="12" t="s">
        <v>50</v>
      </c>
      <c r="C273">
        <v>179733892.88504234</v>
      </c>
      <c r="D273">
        <v>159053047.87611496</v>
      </c>
      <c r="E273">
        <v>927305135.13513505</v>
      </c>
      <c r="F273">
        <v>779765575.67567563</v>
      </c>
      <c r="G273">
        <v>42</v>
      </c>
      <c r="H273">
        <v>26</v>
      </c>
      <c r="K273">
        <v>45</v>
      </c>
      <c r="L273">
        <v>29</v>
      </c>
      <c r="M273">
        <v>15884414.414414411</v>
      </c>
      <c r="N273">
        <v>16395080.180180181</v>
      </c>
      <c r="O273">
        <v>81166918.918918908</v>
      </c>
      <c r="P273">
        <v>72940270.270270273</v>
      </c>
      <c r="Q273">
        <v>13484234.234234234</v>
      </c>
      <c r="R273">
        <v>13268288.288288288</v>
      </c>
      <c r="S273">
        <v>3068</v>
      </c>
      <c r="T273">
        <v>3086</v>
      </c>
    </row>
    <row r="274" spans="1:20" x14ac:dyDescent="0.35">
      <c r="A274" s="7" t="s">
        <v>371</v>
      </c>
      <c r="B274" s="12" t="s">
        <v>121</v>
      </c>
      <c r="C274">
        <v>176334768.6873813</v>
      </c>
      <c r="D274">
        <v>166693325.51264459</v>
      </c>
      <c r="E274">
        <v>1053153.1531531529</v>
      </c>
      <c r="F274">
        <v>1115386.486486489</v>
      </c>
      <c r="G274">
        <v>71</v>
      </c>
      <c r="H274">
        <v>99</v>
      </c>
      <c r="K274">
        <v>82</v>
      </c>
      <c r="L274">
        <v>114</v>
      </c>
      <c r="M274">
        <v>6436936.9369369373</v>
      </c>
      <c r="N274">
        <v>6272479.2792792805</v>
      </c>
      <c r="O274">
        <v>17476333.333333336</v>
      </c>
      <c r="P274">
        <v>19796990.990990993</v>
      </c>
      <c r="Q274">
        <v>5263693.6936936919</v>
      </c>
      <c r="R274">
        <v>5578288.2882882878</v>
      </c>
      <c r="S274">
        <v>2969</v>
      </c>
      <c r="T274">
        <v>2849</v>
      </c>
    </row>
    <row r="275" spans="1:20" x14ac:dyDescent="0.35">
      <c r="A275" s="7" t="s">
        <v>372</v>
      </c>
      <c r="B275" s="12" t="s">
        <v>373</v>
      </c>
      <c r="C275">
        <v>408326790.68323666</v>
      </c>
      <c r="D275">
        <v>407805347.06177354</v>
      </c>
      <c r="E275">
        <v>70684023.423423424</v>
      </c>
      <c r="F275">
        <v>119653959.45945945</v>
      </c>
      <c r="G275">
        <v>63</v>
      </c>
      <c r="H275">
        <v>39</v>
      </c>
      <c r="K275">
        <v>69</v>
      </c>
      <c r="L275">
        <v>43</v>
      </c>
      <c r="M275">
        <v>89276846.846846849</v>
      </c>
      <c r="N275">
        <v>125756121.62162161</v>
      </c>
      <c r="O275">
        <v>156180684.68468466</v>
      </c>
      <c r="P275">
        <v>163325608.1081081</v>
      </c>
      <c r="Q275">
        <v>73177117.117117122</v>
      </c>
      <c r="R275">
        <v>96835360.360360354</v>
      </c>
      <c r="S275">
        <v>10756</v>
      </c>
      <c r="T275">
        <v>10023</v>
      </c>
    </row>
    <row r="276" spans="1:20" x14ac:dyDescent="0.35">
      <c r="A276" s="7" t="s">
        <v>374</v>
      </c>
      <c r="B276" s="12" t="s">
        <v>66</v>
      </c>
      <c r="C276">
        <v>299415095.93492603</v>
      </c>
      <c r="D276">
        <v>312631585.73363757</v>
      </c>
      <c r="E276">
        <v>14801801.801801804</v>
      </c>
      <c r="F276">
        <v>19301551.351351354</v>
      </c>
      <c r="G276">
        <v>175</v>
      </c>
      <c r="H276">
        <v>64</v>
      </c>
      <c r="K276">
        <v>194</v>
      </c>
      <c r="L276">
        <v>74</v>
      </c>
      <c r="M276">
        <v>209665495.4954955</v>
      </c>
      <c r="N276">
        <v>398658212.61261261</v>
      </c>
      <c r="O276">
        <v>109640720.72072072</v>
      </c>
      <c r="P276">
        <v>119546890.0900901</v>
      </c>
      <c r="Q276">
        <v>207687477.47747746</v>
      </c>
      <c r="R276">
        <v>287960718.91891891</v>
      </c>
      <c r="S276">
        <v>12408</v>
      </c>
      <c r="T276">
        <v>6976</v>
      </c>
    </row>
    <row r="277" spans="1:20" x14ac:dyDescent="0.35">
      <c r="A277" s="7" t="s">
        <v>375</v>
      </c>
      <c r="B277" s="12" t="s">
        <v>354</v>
      </c>
      <c r="C277">
        <v>452643398.9910571</v>
      </c>
      <c r="D277">
        <v>452303559.0660187</v>
      </c>
      <c r="E277">
        <v>3438513.5135135148</v>
      </c>
      <c r="F277">
        <v>7682971.1711711744</v>
      </c>
      <c r="G277">
        <v>586</v>
      </c>
      <c r="H277">
        <v>583</v>
      </c>
      <c r="I277">
        <v>1</v>
      </c>
      <c r="K277">
        <v>600</v>
      </c>
      <c r="L277">
        <v>600</v>
      </c>
      <c r="M277">
        <v>105061891.89189188</v>
      </c>
      <c r="N277">
        <v>95215021.621621609</v>
      </c>
      <c r="O277">
        <v>276837810.8108108</v>
      </c>
      <c r="P277">
        <v>267883855.85585588</v>
      </c>
      <c r="Q277">
        <v>111855405.4054054</v>
      </c>
      <c r="R277">
        <v>86086801.801801801</v>
      </c>
      <c r="S277">
        <v>8243</v>
      </c>
      <c r="T277">
        <v>6692</v>
      </c>
    </row>
    <row r="278" spans="1:20" x14ac:dyDescent="0.35">
      <c r="A278" s="7" t="s">
        <v>376</v>
      </c>
      <c r="B278" s="12" t="s">
        <v>66</v>
      </c>
      <c r="C278">
        <v>171953618.91211772</v>
      </c>
      <c r="D278">
        <v>178007422.66047674</v>
      </c>
      <c r="E278">
        <v>455060360.36036038</v>
      </c>
      <c r="F278">
        <v>481790542.34234232</v>
      </c>
      <c r="G278">
        <v>73</v>
      </c>
      <c r="H278">
        <v>37</v>
      </c>
      <c r="K278">
        <v>134</v>
      </c>
      <c r="L278">
        <v>44</v>
      </c>
      <c r="M278">
        <v>45446486.486486487</v>
      </c>
      <c r="N278">
        <v>128944181.98198198</v>
      </c>
      <c r="O278">
        <v>81617860.360360354</v>
      </c>
      <c r="P278">
        <v>81350738.738738731</v>
      </c>
      <c r="Q278">
        <v>23118108.108108107</v>
      </c>
      <c r="R278">
        <v>95930495.495495483</v>
      </c>
      <c r="S278">
        <v>7760</v>
      </c>
      <c r="T278">
        <v>5138</v>
      </c>
    </row>
    <row r="279" spans="1:20" x14ac:dyDescent="0.35">
      <c r="A279" s="7" t="s">
        <v>377</v>
      </c>
      <c r="B279" s="12" t="s">
        <v>260</v>
      </c>
      <c r="C279">
        <v>144808754.22493261</v>
      </c>
      <c r="D279">
        <v>143409684.76673967</v>
      </c>
      <c r="E279">
        <v>243243.24324324401</v>
      </c>
      <c r="F279">
        <v>697533.33333333302</v>
      </c>
      <c r="G279">
        <v>11</v>
      </c>
      <c r="H279">
        <v>29</v>
      </c>
      <c r="K279">
        <v>11</v>
      </c>
      <c r="L279">
        <v>35</v>
      </c>
      <c r="M279">
        <v>10477477.477477476</v>
      </c>
      <c r="N279">
        <v>8734055.8558558561</v>
      </c>
      <c r="O279">
        <v>23485873.873873875</v>
      </c>
      <c r="P279">
        <v>31377743.243243244</v>
      </c>
      <c r="Q279">
        <v>5894504.5045045046</v>
      </c>
      <c r="R279">
        <v>8320900.9009009013</v>
      </c>
      <c r="S279">
        <v>1696</v>
      </c>
      <c r="T279">
        <v>1603</v>
      </c>
    </row>
    <row r="280" spans="1:20" x14ac:dyDescent="0.35">
      <c r="A280" s="7" t="s">
        <v>378</v>
      </c>
      <c r="B280" s="12" t="s">
        <v>354</v>
      </c>
      <c r="C280">
        <v>375721603.18065387</v>
      </c>
      <c r="D280">
        <v>362722943.63099444</v>
      </c>
      <c r="E280">
        <v>5732432.4324324327</v>
      </c>
      <c r="F280">
        <v>9173358.5585585609</v>
      </c>
      <c r="G280">
        <v>75</v>
      </c>
      <c r="H280">
        <v>133</v>
      </c>
      <c r="I280">
        <v>1</v>
      </c>
      <c r="K280">
        <v>80</v>
      </c>
      <c r="L280">
        <v>140</v>
      </c>
      <c r="M280">
        <v>66127117.117117122</v>
      </c>
      <c r="N280">
        <v>85638063.963963971</v>
      </c>
      <c r="O280">
        <v>205816536.93693691</v>
      </c>
      <c r="P280">
        <v>201348675.67567569</v>
      </c>
      <c r="Q280">
        <v>65523693.693693697</v>
      </c>
      <c r="R280">
        <v>81303693.693693697</v>
      </c>
      <c r="S280">
        <v>5230</v>
      </c>
      <c r="T280">
        <v>4626</v>
      </c>
    </row>
    <row r="281" spans="1:20" x14ac:dyDescent="0.35">
      <c r="A281" s="7" t="s">
        <v>379</v>
      </c>
      <c r="B281" s="12" t="s">
        <v>87</v>
      </c>
      <c r="C281">
        <v>9371692.6304671168</v>
      </c>
      <c r="D281">
        <v>9990485.1892977245</v>
      </c>
      <c r="G281">
        <v>2</v>
      </c>
      <c r="H281">
        <v>8</v>
      </c>
      <c r="K281">
        <v>3</v>
      </c>
      <c r="L281">
        <v>8</v>
      </c>
      <c r="O281">
        <v>689459.45945945999</v>
      </c>
      <c r="P281">
        <v>1722297.297297297</v>
      </c>
      <c r="S281">
        <v>148</v>
      </c>
      <c r="T281">
        <v>212</v>
      </c>
    </row>
    <row r="282" spans="1:20" x14ac:dyDescent="0.35">
      <c r="A282" s="7" t="s">
        <v>380</v>
      </c>
      <c r="B282" s="12" t="s">
        <v>87</v>
      </c>
      <c r="C282">
        <v>13065554.152210647</v>
      </c>
      <c r="D282">
        <v>12929973.872323858</v>
      </c>
      <c r="G282">
        <v>28</v>
      </c>
      <c r="H282">
        <v>41</v>
      </c>
      <c r="K282">
        <v>29</v>
      </c>
      <c r="L282">
        <v>46</v>
      </c>
      <c r="O282">
        <v>1700279.2792792791</v>
      </c>
      <c r="P282">
        <v>2365360.3603603598</v>
      </c>
      <c r="S282">
        <v>358</v>
      </c>
      <c r="T282">
        <v>365</v>
      </c>
    </row>
    <row r="283" spans="1:20" x14ac:dyDescent="0.35">
      <c r="A283" s="7" t="s">
        <v>381</v>
      </c>
      <c r="B283" s="12" t="s">
        <v>80</v>
      </c>
      <c r="C283">
        <v>2519155615.8936262</v>
      </c>
      <c r="D283">
        <v>2528271275.1404791</v>
      </c>
      <c r="E283">
        <v>1392041333.3333333</v>
      </c>
      <c r="F283">
        <v>1259141661.2612612</v>
      </c>
      <c r="G283">
        <v>966</v>
      </c>
      <c r="H283">
        <v>703</v>
      </c>
      <c r="I283">
        <v>14</v>
      </c>
      <c r="K283">
        <v>1108</v>
      </c>
      <c r="L283">
        <v>1007</v>
      </c>
      <c r="M283">
        <v>420230180.18018013</v>
      </c>
      <c r="N283">
        <v>824204476.57657647</v>
      </c>
      <c r="O283">
        <v>653824079.72972977</v>
      </c>
      <c r="P283">
        <v>719571440.54054058</v>
      </c>
      <c r="Q283">
        <v>377652882.88288289</v>
      </c>
      <c r="R283">
        <v>509218691.8918919</v>
      </c>
      <c r="S283">
        <v>44989</v>
      </c>
      <c r="T283">
        <v>37131</v>
      </c>
    </row>
    <row r="284" spans="1:20" x14ac:dyDescent="0.35">
      <c r="A284" s="7" t="s">
        <v>382</v>
      </c>
      <c r="B284" s="12" t="s">
        <v>80</v>
      </c>
      <c r="C284">
        <v>693236833.41443217</v>
      </c>
      <c r="D284">
        <v>666746051.0549674</v>
      </c>
      <c r="E284">
        <v>9325450.450450452</v>
      </c>
      <c r="F284">
        <v>9416073.8738738764</v>
      </c>
      <c r="G284">
        <v>234</v>
      </c>
      <c r="H284">
        <v>240</v>
      </c>
      <c r="I284">
        <v>1</v>
      </c>
      <c r="K284">
        <v>300</v>
      </c>
      <c r="L284">
        <v>331</v>
      </c>
      <c r="M284">
        <v>141313513.51351351</v>
      </c>
      <c r="N284">
        <v>161897242.34234235</v>
      </c>
      <c r="O284">
        <v>287827906.75675678</v>
      </c>
      <c r="P284">
        <v>291332790.0900901</v>
      </c>
      <c r="Q284">
        <v>125160129.72972973</v>
      </c>
      <c r="R284">
        <v>150129005.4054054</v>
      </c>
      <c r="S284">
        <v>10748</v>
      </c>
      <c r="T284">
        <v>9345</v>
      </c>
    </row>
    <row r="285" spans="1:20" x14ac:dyDescent="0.35">
      <c r="A285" s="7" t="s">
        <v>383</v>
      </c>
      <c r="B285" s="12" t="s">
        <v>80</v>
      </c>
      <c r="C285">
        <v>874776917.82697737</v>
      </c>
      <c r="D285">
        <v>889956737.678653</v>
      </c>
      <c r="E285">
        <v>884303.60360360495</v>
      </c>
      <c r="F285">
        <v>2274404.504504506</v>
      </c>
      <c r="G285">
        <v>133</v>
      </c>
      <c r="H285">
        <v>69</v>
      </c>
      <c r="I285">
        <v>3</v>
      </c>
      <c r="K285">
        <v>143</v>
      </c>
      <c r="L285">
        <v>83</v>
      </c>
      <c r="M285">
        <v>58894193.693693697</v>
      </c>
      <c r="N285">
        <v>57129100.9009009</v>
      </c>
      <c r="O285">
        <v>176168279.27927929</v>
      </c>
      <c r="P285">
        <v>190400717.11711711</v>
      </c>
      <c r="Q285">
        <v>64571981.981981985</v>
      </c>
      <c r="R285">
        <v>56084414.414414413</v>
      </c>
      <c r="S285">
        <v>9779</v>
      </c>
      <c r="T285">
        <v>11751</v>
      </c>
    </row>
    <row r="286" spans="1:20" x14ac:dyDescent="0.35">
      <c r="A286" s="7" t="s">
        <v>384</v>
      </c>
      <c r="B286" s="12" t="s">
        <v>68</v>
      </c>
      <c r="C286">
        <v>378681316.03514349</v>
      </c>
      <c r="D286">
        <v>360306808.34645361</v>
      </c>
      <c r="E286">
        <v>1427927.9279279299</v>
      </c>
      <c r="F286">
        <v>2525005.4054054092</v>
      </c>
      <c r="G286">
        <v>78</v>
      </c>
      <c r="H286">
        <v>53</v>
      </c>
      <c r="I286">
        <v>3</v>
      </c>
      <c r="K286">
        <v>85</v>
      </c>
      <c r="L286">
        <v>63</v>
      </c>
      <c r="M286">
        <v>15672072.072072072</v>
      </c>
      <c r="N286">
        <v>17438981.981981985</v>
      </c>
      <c r="O286">
        <v>53776414.414414413</v>
      </c>
      <c r="P286">
        <v>54073965.765765771</v>
      </c>
      <c r="Q286">
        <v>14756666.666666664</v>
      </c>
      <c r="R286">
        <v>16037027.027027028</v>
      </c>
      <c r="S286">
        <v>5581</v>
      </c>
      <c r="T286">
        <v>5830</v>
      </c>
    </row>
    <row r="287" spans="1:20" x14ac:dyDescent="0.35">
      <c r="A287" s="7" t="s">
        <v>385</v>
      </c>
      <c r="B287" s="12" t="s">
        <v>167</v>
      </c>
      <c r="C287">
        <v>126944557.16192046</v>
      </c>
      <c r="D287">
        <v>150155451.70477706</v>
      </c>
      <c r="E287">
        <v>2160360.3603603588</v>
      </c>
      <c r="F287">
        <v>4595198.1981981974</v>
      </c>
      <c r="G287">
        <v>51</v>
      </c>
      <c r="H287">
        <v>27</v>
      </c>
      <c r="K287">
        <v>60</v>
      </c>
      <c r="L287">
        <v>33</v>
      </c>
      <c r="M287">
        <v>27755921.621621624</v>
      </c>
      <c r="N287">
        <v>24661090.090090092</v>
      </c>
      <c r="O287">
        <v>54236009.009009011</v>
      </c>
      <c r="P287">
        <v>69491322.522522524</v>
      </c>
      <c r="Q287">
        <v>25309549.54954955</v>
      </c>
      <c r="R287">
        <v>28918738.738738734</v>
      </c>
      <c r="S287">
        <v>2896</v>
      </c>
      <c r="T287">
        <v>2391</v>
      </c>
    </row>
    <row r="288" spans="1:20" x14ac:dyDescent="0.35">
      <c r="A288" s="7" t="s">
        <v>386</v>
      </c>
      <c r="B288" s="12" t="s">
        <v>94</v>
      </c>
      <c r="C288">
        <v>740170452.5685035</v>
      </c>
      <c r="D288">
        <v>764450898.76547456</v>
      </c>
      <c r="E288">
        <v>905405.40540540696</v>
      </c>
      <c r="F288">
        <v>3116558.558558559</v>
      </c>
      <c r="G288">
        <v>177</v>
      </c>
      <c r="H288">
        <v>167</v>
      </c>
      <c r="I288">
        <v>2</v>
      </c>
      <c r="K288">
        <v>194</v>
      </c>
      <c r="L288">
        <v>182</v>
      </c>
      <c r="M288">
        <v>25597297.297297299</v>
      </c>
      <c r="N288">
        <v>28689549.54954955</v>
      </c>
      <c r="O288">
        <v>86099410.810810819</v>
      </c>
      <c r="P288">
        <v>109146711.7117117</v>
      </c>
      <c r="Q288">
        <v>20377657.657657657</v>
      </c>
      <c r="R288">
        <v>18252432.432432432</v>
      </c>
      <c r="S288">
        <v>8420</v>
      </c>
      <c r="T288">
        <v>9304</v>
      </c>
    </row>
    <row r="289" spans="1:20" x14ac:dyDescent="0.35">
      <c r="A289" s="7" t="s">
        <v>387</v>
      </c>
      <c r="B289" s="12" t="s">
        <v>214</v>
      </c>
      <c r="C289">
        <v>130106275.68324889</v>
      </c>
      <c r="D289">
        <v>146863696.49369839</v>
      </c>
      <c r="E289">
        <v>1446846.8468468471</v>
      </c>
      <c r="F289">
        <v>1345945.945945946</v>
      </c>
      <c r="G289">
        <v>51</v>
      </c>
      <c r="H289">
        <v>12</v>
      </c>
      <c r="K289">
        <v>55</v>
      </c>
      <c r="L289">
        <v>13</v>
      </c>
      <c r="M289">
        <v>3248648.648648649</v>
      </c>
      <c r="N289">
        <v>5692342.3423423423</v>
      </c>
      <c r="O289">
        <v>61863495.495495498</v>
      </c>
      <c r="P289">
        <v>68341072.072072074</v>
      </c>
      <c r="Q289">
        <v>2896666.666666667</v>
      </c>
      <c r="R289">
        <v>5442792.7927927924</v>
      </c>
      <c r="S289">
        <v>2232</v>
      </c>
      <c r="T289">
        <v>2313</v>
      </c>
    </row>
    <row r="290" spans="1:20" x14ac:dyDescent="0.35">
      <c r="A290" s="7" t="s">
        <v>388</v>
      </c>
      <c r="B290" s="12" t="s">
        <v>117</v>
      </c>
      <c r="C290">
        <v>55889006.019356787</v>
      </c>
      <c r="D290">
        <v>53787331.080237024</v>
      </c>
      <c r="E290">
        <v>826126.12612612499</v>
      </c>
      <c r="F290">
        <v>1045945.945945946</v>
      </c>
      <c r="G290">
        <v>39</v>
      </c>
      <c r="H290">
        <v>37</v>
      </c>
      <c r="K290">
        <v>46</v>
      </c>
      <c r="L290">
        <v>41</v>
      </c>
      <c r="M290">
        <v>15703718.918918921</v>
      </c>
      <c r="N290">
        <v>10126968.468468472</v>
      </c>
      <c r="O290">
        <v>25786765.765765768</v>
      </c>
      <c r="P290">
        <v>24063756.756756756</v>
      </c>
      <c r="Q290">
        <v>13900540.540540541</v>
      </c>
      <c r="R290">
        <v>10855765.765765764</v>
      </c>
      <c r="S290">
        <v>2216</v>
      </c>
      <c r="T290">
        <v>1744</v>
      </c>
    </row>
    <row r="291" spans="1:20" x14ac:dyDescent="0.35">
      <c r="A291" s="7" t="s">
        <v>672</v>
      </c>
      <c r="B291" s="12" t="s">
        <v>117</v>
      </c>
      <c r="E291">
        <v>104662162.16216215</v>
      </c>
      <c r="F291">
        <v>140526306.3063063</v>
      </c>
      <c r="M291">
        <v>3856081.0810810812</v>
      </c>
      <c r="N291">
        <v>2043243.2432432431</v>
      </c>
    </row>
    <row r="292" spans="1:20" x14ac:dyDescent="0.35">
      <c r="A292" s="7" t="s">
        <v>389</v>
      </c>
      <c r="B292" s="12" t="s">
        <v>315</v>
      </c>
      <c r="C292">
        <v>241549303.30916485</v>
      </c>
      <c r="D292">
        <v>238693227.53680903</v>
      </c>
      <c r="E292">
        <v>1922522.5225225231</v>
      </c>
      <c r="F292">
        <v>142677.47747747801</v>
      </c>
      <c r="G292">
        <v>26</v>
      </c>
      <c r="H292">
        <v>13</v>
      </c>
      <c r="I292">
        <v>2</v>
      </c>
      <c r="K292">
        <v>26</v>
      </c>
      <c r="L292">
        <v>15</v>
      </c>
      <c r="M292">
        <v>10030630.630630633</v>
      </c>
      <c r="N292">
        <v>25371144.144144144</v>
      </c>
      <c r="O292">
        <v>48635684.684684686</v>
      </c>
      <c r="P292">
        <v>49783828.828828834</v>
      </c>
      <c r="Q292">
        <v>10829549.549549548</v>
      </c>
      <c r="R292">
        <v>25560990.990990993</v>
      </c>
      <c r="S292">
        <v>2777</v>
      </c>
      <c r="T292">
        <v>2654</v>
      </c>
    </row>
    <row r="293" spans="1:20" x14ac:dyDescent="0.35">
      <c r="A293" s="7" t="s">
        <v>390</v>
      </c>
      <c r="B293" s="12" t="s">
        <v>224</v>
      </c>
      <c r="C293">
        <v>99514931.868489593</v>
      </c>
      <c r="D293">
        <v>93351150.228788346</v>
      </c>
      <c r="E293">
        <v>4504.5045045050001</v>
      </c>
      <c r="G293">
        <v>14</v>
      </c>
      <c r="H293">
        <v>6</v>
      </c>
      <c r="K293">
        <v>15</v>
      </c>
      <c r="L293">
        <v>6</v>
      </c>
      <c r="M293">
        <v>13513.513513514001</v>
      </c>
      <c r="O293">
        <v>19028810.810810812</v>
      </c>
      <c r="P293">
        <v>18431342.342342343</v>
      </c>
      <c r="Q293">
        <v>24324.324324323999</v>
      </c>
      <c r="S293">
        <v>1514</v>
      </c>
      <c r="T293">
        <v>1408</v>
      </c>
    </row>
    <row r="294" spans="1:20" x14ac:dyDescent="0.35">
      <c r="A294" s="7" t="s">
        <v>6</v>
      </c>
      <c r="B294" s="12" t="s">
        <v>193</v>
      </c>
      <c r="C294">
        <v>895962005.21395588</v>
      </c>
      <c r="D294">
        <v>845331062.05816829</v>
      </c>
      <c r="E294">
        <v>11081555.855855862</v>
      </c>
      <c r="F294">
        <v>44588547.747747749</v>
      </c>
      <c r="G294">
        <v>627</v>
      </c>
      <c r="H294">
        <v>885</v>
      </c>
      <c r="K294">
        <v>1045</v>
      </c>
      <c r="L294">
        <v>1436</v>
      </c>
      <c r="M294">
        <v>371748318.91891891</v>
      </c>
      <c r="N294">
        <v>625995597.29729724</v>
      </c>
      <c r="O294">
        <v>602885882.88288295</v>
      </c>
      <c r="P294">
        <v>579324936.93693697</v>
      </c>
      <c r="Q294">
        <v>334078468.46846849</v>
      </c>
      <c r="R294">
        <v>594881711.71171176</v>
      </c>
      <c r="S294">
        <v>14382</v>
      </c>
      <c r="T294">
        <v>13750</v>
      </c>
    </row>
    <row r="295" spans="1:20" x14ac:dyDescent="0.35">
      <c r="A295" s="7" t="s">
        <v>391</v>
      </c>
      <c r="B295" s="12" t="s">
        <v>121</v>
      </c>
      <c r="C295">
        <v>38464108.420400739</v>
      </c>
      <c r="D295">
        <v>37539653.836335041</v>
      </c>
      <c r="G295">
        <v>12</v>
      </c>
      <c r="H295">
        <v>30</v>
      </c>
      <c r="K295">
        <v>13</v>
      </c>
      <c r="L295">
        <v>30</v>
      </c>
      <c r="O295">
        <v>2136603.6036036038</v>
      </c>
      <c r="P295">
        <v>2708738.7387387389</v>
      </c>
      <c r="S295">
        <v>573</v>
      </c>
      <c r="T295">
        <v>515</v>
      </c>
    </row>
    <row r="296" spans="1:20" x14ac:dyDescent="0.35">
      <c r="A296" s="7" t="s">
        <v>392</v>
      </c>
      <c r="B296" s="12" t="s">
        <v>134</v>
      </c>
      <c r="C296">
        <v>117005149.83806491</v>
      </c>
      <c r="D296">
        <v>124553582.20710801</v>
      </c>
      <c r="E296">
        <v>270270.27027027198</v>
      </c>
      <c r="F296">
        <v>623423.42342342401</v>
      </c>
      <c r="G296">
        <v>36</v>
      </c>
      <c r="H296">
        <v>20</v>
      </c>
      <c r="K296">
        <v>42</v>
      </c>
      <c r="L296">
        <v>27</v>
      </c>
      <c r="M296">
        <v>7720720.7207207214</v>
      </c>
      <c r="N296">
        <v>11895945.945945945</v>
      </c>
      <c r="O296">
        <v>23750034.234234232</v>
      </c>
      <c r="P296">
        <v>33063351.351351351</v>
      </c>
      <c r="Q296">
        <v>2471351.3513513519</v>
      </c>
      <c r="R296">
        <v>4358018.0180180185</v>
      </c>
      <c r="S296">
        <v>3830</v>
      </c>
      <c r="T296">
        <v>3590</v>
      </c>
    </row>
    <row r="297" spans="1:20" x14ac:dyDescent="0.35">
      <c r="A297" s="7" t="s">
        <v>393</v>
      </c>
      <c r="B297" s="12" t="s">
        <v>58</v>
      </c>
      <c r="C297">
        <v>580722890.54520714</v>
      </c>
      <c r="D297">
        <v>599889761.62971187</v>
      </c>
      <c r="E297">
        <v>32351801.801801808</v>
      </c>
      <c r="F297">
        <v>45945809.009009019</v>
      </c>
      <c r="G297">
        <v>201</v>
      </c>
      <c r="H297">
        <v>160</v>
      </c>
      <c r="K297">
        <v>226</v>
      </c>
      <c r="L297">
        <v>200</v>
      </c>
      <c r="M297">
        <v>51364864.864864863</v>
      </c>
      <c r="N297">
        <v>106089472.07207207</v>
      </c>
      <c r="O297">
        <v>92792953.153153151</v>
      </c>
      <c r="P297">
        <v>106017909.9099099</v>
      </c>
      <c r="Q297">
        <v>55536936.936936937</v>
      </c>
      <c r="R297">
        <v>101899639.63963963</v>
      </c>
      <c r="S297">
        <v>9818</v>
      </c>
      <c r="T297">
        <v>9142</v>
      </c>
    </row>
    <row r="298" spans="1:20" x14ac:dyDescent="0.35">
      <c r="A298" s="7" t="s">
        <v>394</v>
      </c>
      <c r="B298" s="12" t="s">
        <v>134</v>
      </c>
      <c r="C298">
        <v>200392441.55449399</v>
      </c>
      <c r="D298">
        <v>210061219.7260181</v>
      </c>
      <c r="E298">
        <v>1238288.2882882899</v>
      </c>
      <c r="F298">
        <v>1329372.072072071</v>
      </c>
      <c r="G298">
        <v>30</v>
      </c>
      <c r="H298">
        <v>28</v>
      </c>
      <c r="K298">
        <v>34</v>
      </c>
      <c r="L298">
        <v>34</v>
      </c>
      <c r="M298">
        <v>28549549.54954955</v>
      </c>
      <c r="N298">
        <v>34317546.846846849</v>
      </c>
      <c r="O298">
        <v>36007944.144144148</v>
      </c>
      <c r="P298">
        <v>44039900.9009009</v>
      </c>
      <c r="Q298">
        <v>18548468.468468469</v>
      </c>
      <c r="R298">
        <v>22324594.594594598</v>
      </c>
      <c r="S298">
        <v>4202</v>
      </c>
      <c r="T298">
        <v>3918</v>
      </c>
    </row>
    <row r="299" spans="1:20" x14ac:dyDescent="0.35">
      <c r="A299" s="7" t="s">
        <v>395</v>
      </c>
      <c r="B299" s="12" t="s">
        <v>54</v>
      </c>
      <c r="C299">
        <v>84801368.752693534</v>
      </c>
      <c r="D299">
        <v>80820191.749080613</v>
      </c>
      <c r="E299">
        <v>57716666.666666664</v>
      </c>
      <c r="F299">
        <v>302465807.2072072</v>
      </c>
      <c r="G299">
        <v>20</v>
      </c>
      <c r="H299">
        <v>25</v>
      </c>
      <c r="K299">
        <v>23</v>
      </c>
      <c r="L299">
        <v>25</v>
      </c>
      <c r="M299">
        <v>4264864.8648648653</v>
      </c>
      <c r="N299">
        <v>13152722.52252252</v>
      </c>
      <c r="O299">
        <v>13354936.936936935</v>
      </c>
      <c r="P299">
        <v>14643783.783783784</v>
      </c>
      <c r="Q299">
        <v>4136216.2162162168</v>
      </c>
      <c r="R299">
        <v>9922702.7027027011</v>
      </c>
      <c r="S299">
        <v>1733</v>
      </c>
      <c r="T299">
        <v>1545</v>
      </c>
    </row>
    <row r="300" spans="1:20" x14ac:dyDescent="0.35">
      <c r="A300" s="7" t="s">
        <v>396</v>
      </c>
      <c r="B300" s="12" t="s">
        <v>397</v>
      </c>
      <c r="C300">
        <v>596338046.97016752</v>
      </c>
      <c r="D300">
        <v>585716649.26243436</v>
      </c>
      <c r="E300">
        <v>6917567.5675675664</v>
      </c>
      <c r="F300">
        <v>7788415.3153153164</v>
      </c>
      <c r="G300">
        <v>497</v>
      </c>
      <c r="H300">
        <v>338</v>
      </c>
      <c r="I300">
        <v>2</v>
      </c>
      <c r="K300">
        <v>656</v>
      </c>
      <c r="L300">
        <v>443</v>
      </c>
      <c r="M300">
        <v>75359684.684684694</v>
      </c>
      <c r="N300">
        <v>67704128.828828827</v>
      </c>
      <c r="O300">
        <v>119302227.02702703</v>
      </c>
      <c r="P300">
        <v>124647909.9099099</v>
      </c>
      <c r="Q300">
        <v>66649504.504504502</v>
      </c>
      <c r="R300">
        <v>57598153.153153151</v>
      </c>
      <c r="S300">
        <v>12227</v>
      </c>
      <c r="T300">
        <v>9491</v>
      </c>
    </row>
    <row r="301" spans="1:20" x14ac:dyDescent="0.35">
      <c r="A301" s="7" t="s">
        <v>398</v>
      </c>
      <c r="B301" s="12" t="s">
        <v>399</v>
      </c>
      <c r="C301">
        <v>647213269.10922575</v>
      </c>
      <c r="D301">
        <v>644124125.18696368</v>
      </c>
      <c r="E301">
        <v>204855049.54954955</v>
      </c>
      <c r="F301">
        <v>189881118.91891891</v>
      </c>
      <c r="G301">
        <v>132</v>
      </c>
      <c r="H301">
        <v>132</v>
      </c>
      <c r="K301">
        <v>146</v>
      </c>
      <c r="L301">
        <v>156</v>
      </c>
      <c r="M301">
        <v>70173873.873873875</v>
      </c>
      <c r="N301">
        <v>129053981.08108109</v>
      </c>
      <c r="O301">
        <v>118682675.67567568</v>
      </c>
      <c r="P301">
        <v>126565225.22522523</v>
      </c>
      <c r="Q301">
        <v>55816486.486486487</v>
      </c>
      <c r="R301">
        <v>64903646.846846849</v>
      </c>
      <c r="S301">
        <v>12892</v>
      </c>
      <c r="T301">
        <v>11569</v>
      </c>
    </row>
    <row r="302" spans="1:20" x14ac:dyDescent="0.35">
      <c r="A302" s="7" t="s">
        <v>400</v>
      </c>
      <c r="B302" s="12" t="s">
        <v>140</v>
      </c>
      <c r="C302">
        <v>208791284.21902895</v>
      </c>
      <c r="D302">
        <v>213290147.13560149</v>
      </c>
      <c r="E302">
        <v>2741441.4414414419</v>
      </c>
      <c r="F302">
        <v>2656100</v>
      </c>
      <c r="G302">
        <v>61</v>
      </c>
      <c r="H302">
        <v>36</v>
      </c>
      <c r="K302">
        <v>66</v>
      </c>
      <c r="L302">
        <v>41</v>
      </c>
      <c r="M302">
        <v>41159639.639639638</v>
      </c>
      <c r="N302">
        <v>51670168.468468472</v>
      </c>
      <c r="O302">
        <v>64392112.612612605</v>
      </c>
      <c r="P302">
        <v>68321270.270270273</v>
      </c>
      <c r="Q302">
        <v>38709909.909909904</v>
      </c>
      <c r="R302">
        <v>44237927.927927926</v>
      </c>
      <c r="S302">
        <v>3511</v>
      </c>
      <c r="T302">
        <v>3158</v>
      </c>
    </row>
    <row r="303" spans="1:20" x14ac:dyDescent="0.35">
      <c r="A303" s="7" t="s">
        <v>401</v>
      </c>
      <c r="B303" s="12" t="s">
        <v>121</v>
      </c>
      <c r="C303">
        <v>57945594.932259746</v>
      </c>
      <c r="D303">
        <v>50134160.979888685</v>
      </c>
      <c r="E303">
        <v>414414.41441441502</v>
      </c>
      <c r="F303">
        <v>175151.351351352</v>
      </c>
      <c r="G303">
        <v>19</v>
      </c>
      <c r="H303">
        <v>43</v>
      </c>
      <c r="K303">
        <v>23</v>
      </c>
      <c r="L303">
        <v>55</v>
      </c>
      <c r="M303">
        <v>3117117.1171171181</v>
      </c>
      <c r="N303">
        <v>2428418.9189189202</v>
      </c>
      <c r="O303">
        <v>5981227.4774774769</v>
      </c>
      <c r="P303">
        <v>7445810.8108108109</v>
      </c>
      <c r="Q303">
        <v>1526936.936936937</v>
      </c>
      <c r="R303">
        <v>2458558.558558559</v>
      </c>
      <c r="S303">
        <v>1150</v>
      </c>
      <c r="T303">
        <v>1093</v>
      </c>
    </row>
    <row r="304" spans="1:20" x14ac:dyDescent="0.35">
      <c r="A304" s="7" t="s">
        <v>402</v>
      </c>
      <c r="B304" s="12" t="s">
        <v>290</v>
      </c>
      <c r="C304">
        <v>91400552.212302029</v>
      </c>
      <c r="D304">
        <v>88922305.384837642</v>
      </c>
      <c r="E304">
        <v>466216.21621621703</v>
      </c>
      <c r="F304">
        <v>268497.29729729798</v>
      </c>
      <c r="G304">
        <v>21</v>
      </c>
      <c r="H304">
        <v>18</v>
      </c>
      <c r="K304">
        <v>25</v>
      </c>
      <c r="L304">
        <v>22</v>
      </c>
      <c r="M304">
        <v>3552252.2522522528</v>
      </c>
      <c r="N304">
        <v>5249911.7117117122</v>
      </c>
      <c r="O304">
        <v>12241126.126126127</v>
      </c>
      <c r="P304">
        <v>13701666.666666668</v>
      </c>
      <c r="Q304">
        <v>4203243.2432432435</v>
      </c>
      <c r="R304">
        <v>3580720.7207207209</v>
      </c>
      <c r="S304">
        <v>1966</v>
      </c>
      <c r="T304">
        <v>1618</v>
      </c>
    </row>
    <row r="305" spans="1:20" x14ac:dyDescent="0.35">
      <c r="A305" s="7" t="s">
        <v>403</v>
      </c>
      <c r="B305" s="12" t="s">
        <v>121</v>
      </c>
      <c r="C305">
        <v>98205636.783666983</v>
      </c>
      <c r="D305">
        <v>93091988.899248809</v>
      </c>
      <c r="E305">
        <v>57432.432432431997</v>
      </c>
      <c r="F305">
        <v>9009.0090090100002</v>
      </c>
      <c r="G305">
        <v>16</v>
      </c>
      <c r="H305">
        <v>15</v>
      </c>
      <c r="K305">
        <v>19</v>
      </c>
      <c r="L305">
        <v>15</v>
      </c>
      <c r="M305">
        <v>60360.360360359999</v>
      </c>
      <c r="N305">
        <v>144144.14414414499</v>
      </c>
      <c r="O305">
        <v>7454090.0900900904</v>
      </c>
      <c r="P305">
        <v>9521612.6126126125</v>
      </c>
      <c r="Q305">
        <v>13513.513513514001</v>
      </c>
      <c r="R305">
        <v>162162.16216216201</v>
      </c>
      <c r="S305">
        <v>1212</v>
      </c>
      <c r="T305">
        <v>1618</v>
      </c>
    </row>
    <row r="306" spans="1:20" x14ac:dyDescent="0.35">
      <c r="A306" s="7" t="s">
        <v>404</v>
      </c>
      <c r="B306" s="12" t="s">
        <v>368</v>
      </c>
      <c r="C306">
        <v>225274951.43868986</v>
      </c>
      <c r="D306">
        <v>222461410.10112569</v>
      </c>
      <c r="E306">
        <v>92413963.963963971</v>
      </c>
      <c r="F306">
        <v>148862612.61261261</v>
      </c>
      <c r="G306">
        <v>145</v>
      </c>
      <c r="H306">
        <v>20</v>
      </c>
      <c r="K306">
        <v>176</v>
      </c>
      <c r="L306">
        <v>52</v>
      </c>
      <c r="M306">
        <v>75110180.180180177</v>
      </c>
      <c r="N306">
        <v>100341351.35135137</v>
      </c>
      <c r="O306">
        <v>79700653.153153151</v>
      </c>
      <c r="P306">
        <v>75978203.603603601</v>
      </c>
      <c r="Q306">
        <v>72500270.270270273</v>
      </c>
      <c r="R306">
        <v>92068648.648648649</v>
      </c>
      <c r="S306">
        <v>7542</v>
      </c>
      <c r="T306">
        <v>4205</v>
      </c>
    </row>
    <row r="307" spans="1:20" x14ac:dyDescent="0.35">
      <c r="A307" s="7" t="s">
        <v>405</v>
      </c>
      <c r="B307" s="12" t="s">
        <v>140</v>
      </c>
      <c r="C307">
        <v>109861668.57318445</v>
      </c>
      <c r="D307">
        <v>110936175.81374981</v>
      </c>
      <c r="E307">
        <v>309684.68468468398</v>
      </c>
      <c r="F307">
        <v>207222.52252252301</v>
      </c>
      <c r="G307">
        <v>22</v>
      </c>
      <c r="H307">
        <v>13</v>
      </c>
      <c r="K307">
        <v>23</v>
      </c>
      <c r="L307">
        <v>15</v>
      </c>
      <c r="M307">
        <v>17748108.108108107</v>
      </c>
      <c r="N307">
        <v>22258119.819819819</v>
      </c>
      <c r="O307">
        <v>29596250.450450446</v>
      </c>
      <c r="P307">
        <v>33272693.693693694</v>
      </c>
      <c r="Q307">
        <v>15940900.9009009</v>
      </c>
      <c r="R307">
        <v>18938828.828828827</v>
      </c>
      <c r="S307">
        <v>1506</v>
      </c>
      <c r="T307">
        <v>1427</v>
      </c>
    </row>
    <row r="308" spans="1:20" x14ac:dyDescent="0.35">
      <c r="A308" s="7" t="s">
        <v>406</v>
      </c>
      <c r="B308" s="12" t="s">
        <v>54</v>
      </c>
      <c r="C308">
        <v>151157529.4121868</v>
      </c>
      <c r="D308">
        <v>150695065.83216801</v>
      </c>
      <c r="E308">
        <v>2750450.450450453</v>
      </c>
      <c r="F308">
        <v>6793979.2792792805</v>
      </c>
      <c r="G308">
        <v>117</v>
      </c>
      <c r="H308">
        <v>82</v>
      </c>
      <c r="I308">
        <v>1</v>
      </c>
      <c r="K308">
        <v>195</v>
      </c>
      <c r="L308">
        <v>155</v>
      </c>
      <c r="M308">
        <v>13694054.054054055</v>
      </c>
      <c r="N308">
        <v>20851362.162162159</v>
      </c>
      <c r="O308">
        <v>33959540.540540546</v>
      </c>
      <c r="P308">
        <v>36500036.036036029</v>
      </c>
      <c r="Q308">
        <v>14270180.180180181</v>
      </c>
      <c r="R308">
        <v>18727297.297297295</v>
      </c>
      <c r="S308">
        <v>2327</v>
      </c>
      <c r="T308">
        <v>2262</v>
      </c>
    </row>
    <row r="309" spans="1:20" x14ac:dyDescent="0.35">
      <c r="A309" s="7" t="s">
        <v>407</v>
      </c>
      <c r="B309" s="12" t="s">
        <v>134</v>
      </c>
      <c r="C309">
        <v>66925230.000421613</v>
      </c>
      <c r="D309">
        <v>71852497.469425678</v>
      </c>
      <c r="E309">
        <v>67567.567567567996</v>
      </c>
      <c r="F309">
        <v>340720.720720721</v>
      </c>
      <c r="G309">
        <v>7</v>
      </c>
      <c r="H309">
        <v>4</v>
      </c>
      <c r="K309">
        <v>8</v>
      </c>
      <c r="L309">
        <v>4</v>
      </c>
      <c r="M309">
        <v>2274774.7747747749</v>
      </c>
      <c r="N309">
        <v>3686249.5495495498</v>
      </c>
      <c r="O309">
        <v>5680369.369369369</v>
      </c>
      <c r="P309">
        <v>8672162.1621621624</v>
      </c>
      <c r="Q309">
        <v>1958918.9189189191</v>
      </c>
      <c r="R309">
        <v>3630630.630630631</v>
      </c>
      <c r="S309">
        <v>1011</v>
      </c>
      <c r="T309">
        <v>941</v>
      </c>
    </row>
    <row r="310" spans="1:20" x14ac:dyDescent="0.35">
      <c r="A310" s="7" t="s">
        <v>408</v>
      </c>
      <c r="B310" s="12" t="s">
        <v>290</v>
      </c>
      <c r="C310">
        <v>37795478.122644193</v>
      </c>
      <c r="D310">
        <v>38835193.08661902</v>
      </c>
      <c r="E310">
        <v>1006306.306306307</v>
      </c>
      <c r="F310">
        <v>454263.96396396402</v>
      </c>
      <c r="G310">
        <v>17</v>
      </c>
      <c r="H310">
        <v>15</v>
      </c>
      <c r="K310">
        <v>19</v>
      </c>
      <c r="L310">
        <v>26</v>
      </c>
      <c r="M310">
        <v>11351351.351351352</v>
      </c>
      <c r="N310">
        <v>4582013.5135135138</v>
      </c>
      <c r="O310">
        <v>7530567.5675675673</v>
      </c>
      <c r="P310">
        <v>8517594.5945945941</v>
      </c>
      <c r="Q310">
        <v>8042972.9729729723</v>
      </c>
      <c r="R310">
        <v>2740450.4504504511</v>
      </c>
      <c r="S310">
        <v>1024</v>
      </c>
      <c r="T310">
        <v>926</v>
      </c>
    </row>
    <row r="311" spans="1:20" x14ac:dyDescent="0.35">
      <c r="A311" s="7" t="s">
        <v>409</v>
      </c>
      <c r="B311" s="12" t="s">
        <v>178</v>
      </c>
      <c r="C311">
        <v>672477502.47529638</v>
      </c>
      <c r="D311">
        <v>623978186.55310237</v>
      </c>
      <c r="E311">
        <v>5098198.1981981993</v>
      </c>
      <c r="F311">
        <v>5982145.0450450471</v>
      </c>
      <c r="G311">
        <v>236</v>
      </c>
      <c r="H311">
        <v>217</v>
      </c>
      <c r="K311">
        <v>396</v>
      </c>
      <c r="L311">
        <v>568</v>
      </c>
      <c r="M311">
        <v>66510711.711711712</v>
      </c>
      <c r="N311">
        <v>79077719.819819823</v>
      </c>
      <c r="O311">
        <v>228562157.65765765</v>
      </c>
      <c r="P311">
        <v>242508718.91891891</v>
      </c>
      <c r="Q311">
        <v>61079639.639639638</v>
      </c>
      <c r="R311">
        <v>79208108.108108118</v>
      </c>
      <c r="S311">
        <v>11526</v>
      </c>
      <c r="T311">
        <v>9494</v>
      </c>
    </row>
    <row r="312" spans="1:20" x14ac:dyDescent="0.35">
      <c r="A312" s="7" t="s">
        <v>663</v>
      </c>
      <c r="B312" s="12" t="s">
        <v>87</v>
      </c>
      <c r="S312">
        <v>4</v>
      </c>
    </row>
    <row r="313" spans="1:20" x14ac:dyDescent="0.35">
      <c r="A313" s="7" t="s">
        <v>410</v>
      </c>
      <c r="B313" s="12" t="s">
        <v>54</v>
      </c>
      <c r="C313">
        <v>1225421185.9090922</v>
      </c>
      <c r="D313">
        <v>1230301197.8837676</v>
      </c>
      <c r="E313">
        <v>182156289.1891892</v>
      </c>
      <c r="F313">
        <v>234713679.27927929</v>
      </c>
      <c r="G313">
        <v>445</v>
      </c>
      <c r="H313">
        <v>430</v>
      </c>
      <c r="I313">
        <v>13</v>
      </c>
      <c r="K313">
        <v>970</v>
      </c>
      <c r="L313">
        <v>908</v>
      </c>
      <c r="M313">
        <v>97273873.873873875</v>
      </c>
      <c r="N313">
        <v>242537316.21621624</v>
      </c>
      <c r="O313">
        <v>252774450.45045045</v>
      </c>
      <c r="P313">
        <v>268297502.7027027</v>
      </c>
      <c r="Q313">
        <v>87736396.396396384</v>
      </c>
      <c r="R313">
        <v>230842385.58558559</v>
      </c>
      <c r="S313">
        <v>20838</v>
      </c>
      <c r="T313">
        <v>19321</v>
      </c>
    </row>
    <row r="314" spans="1:20" x14ac:dyDescent="0.35">
      <c r="A314" s="7" t="s">
        <v>411</v>
      </c>
      <c r="B314" s="12" t="s">
        <v>224</v>
      </c>
      <c r="C314">
        <v>617296124.23216522</v>
      </c>
      <c r="D314">
        <v>694956932.56035328</v>
      </c>
      <c r="E314">
        <v>2206306.3063063091</v>
      </c>
      <c r="F314">
        <v>4915563.9639639659</v>
      </c>
      <c r="G314">
        <v>230</v>
      </c>
      <c r="H314">
        <v>179</v>
      </c>
      <c r="K314">
        <v>258</v>
      </c>
      <c r="L314">
        <v>212</v>
      </c>
      <c r="M314">
        <v>79203963.963963971</v>
      </c>
      <c r="N314">
        <v>123375476.57657658</v>
      </c>
      <c r="O314">
        <v>174886422.52252254</v>
      </c>
      <c r="P314">
        <v>217676124.32432431</v>
      </c>
      <c r="Q314">
        <v>82446439.639639646</v>
      </c>
      <c r="R314">
        <v>107966576.57657658</v>
      </c>
      <c r="S314">
        <v>13939</v>
      </c>
      <c r="T314">
        <v>14483</v>
      </c>
    </row>
    <row r="315" spans="1:20" x14ac:dyDescent="0.35">
      <c r="A315" s="7" t="s">
        <v>412</v>
      </c>
      <c r="B315" s="12" t="s">
        <v>413</v>
      </c>
      <c r="C315">
        <v>243456988.67143869</v>
      </c>
      <c r="D315">
        <v>237278199.87283021</v>
      </c>
      <c r="E315">
        <v>970720.72072072199</v>
      </c>
      <c r="F315">
        <v>1339622.522522527</v>
      </c>
      <c r="G315">
        <v>23</v>
      </c>
      <c r="H315">
        <v>31</v>
      </c>
      <c r="K315">
        <v>23</v>
      </c>
      <c r="L315">
        <v>33</v>
      </c>
      <c r="M315">
        <v>4079279.2792792819</v>
      </c>
      <c r="N315">
        <v>144657212.61261261</v>
      </c>
      <c r="O315">
        <v>97523270.270270273</v>
      </c>
      <c r="P315">
        <v>104971324.32432432</v>
      </c>
      <c r="Q315">
        <v>4855765.7657657657</v>
      </c>
      <c r="R315">
        <v>6096846.8468468478</v>
      </c>
      <c r="S315">
        <v>4287</v>
      </c>
      <c r="T315">
        <v>3932</v>
      </c>
    </row>
    <row r="316" spans="1:20" x14ac:dyDescent="0.35">
      <c r="A316" s="7" t="s">
        <v>414</v>
      </c>
      <c r="B316" s="12" t="s">
        <v>214</v>
      </c>
      <c r="C316">
        <v>1540768150.4611053</v>
      </c>
      <c r="D316">
        <v>1451977303.7081175</v>
      </c>
      <c r="E316">
        <v>615366655.85585582</v>
      </c>
      <c r="F316">
        <v>491950005.40540546</v>
      </c>
      <c r="G316">
        <v>1347</v>
      </c>
      <c r="H316">
        <v>779</v>
      </c>
      <c r="I316">
        <v>3</v>
      </c>
      <c r="K316">
        <v>1466</v>
      </c>
      <c r="L316">
        <v>1033</v>
      </c>
      <c r="M316">
        <v>403598423.42342341</v>
      </c>
      <c r="N316">
        <v>240328372.07207206</v>
      </c>
      <c r="O316">
        <v>684760586.48648655</v>
      </c>
      <c r="P316">
        <v>660084342.34234238</v>
      </c>
      <c r="Q316">
        <v>386330720.72072071</v>
      </c>
      <c r="R316">
        <v>226800540.54054055</v>
      </c>
      <c r="S316">
        <v>26603</v>
      </c>
      <c r="T316">
        <v>23374</v>
      </c>
    </row>
    <row r="317" spans="1:20" x14ac:dyDescent="0.35">
      <c r="A317" s="7" t="s">
        <v>415</v>
      </c>
      <c r="B317" s="12" t="s">
        <v>413</v>
      </c>
      <c r="C317">
        <v>137031566.31297112</v>
      </c>
      <c r="D317">
        <v>131051656.78924999</v>
      </c>
      <c r="E317">
        <v>1433783.7837837851</v>
      </c>
      <c r="F317">
        <v>2468712.6126126121</v>
      </c>
      <c r="G317">
        <v>52</v>
      </c>
      <c r="H317">
        <v>29</v>
      </c>
      <c r="K317">
        <v>61</v>
      </c>
      <c r="L317">
        <v>31</v>
      </c>
      <c r="M317">
        <v>20993911.711711712</v>
      </c>
      <c r="N317">
        <v>23679141.441441439</v>
      </c>
      <c r="O317">
        <v>49952128.378378376</v>
      </c>
      <c r="P317">
        <v>51747432.432432435</v>
      </c>
      <c r="Q317">
        <v>18620540.540540539</v>
      </c>
      <c r="R317">
        <v>20537117.117117114</v>
      </c>
      <c r="S317">
        <v>3173</v>
      </c>
      <c r="T317">
        <v>2966</v>
      </c>
    </row>
    <row r="318" spans="1:20" x14ac:dyDescent="0.35">
      <c r="A318" s="7" t="s">
        <v>416</v>
      </c>
      <c r="B318" s="12" t="s">
        <v>236</v>
      </c>
      <c r="C318">
        <v>976808426.82219386</v>
      </c>
      <c r="D318">
        <v>962838699.14320695</v>
      </c>
      <c r="E318">
        <v>5965765.7657657629</v>
      </c>
      <c r="F318">
        <v>4686589.18918919</v>
      </c>
      <c r="G318">
        <v>365</v>
      </c>
      <c r="H318">
        <v>267</v>
      </c>
      <c r="I318">
        <v>8</v>
      </c>
      <c r="K318">
        <v>484</v>
      </c>
      <c r="L318">
        <v>387</v>
      </c>
      <c r="M318">
        <v>189298531.53153151</v>
      </c>
      <c r="N318">
        <v>180879065.76576576</v>
      </c>
      <c r="O318">
        <v>228332657.65765765</v>
      </c>
      <c r="P318">
        <v>242757403.6036036</v>
      </c>
      <c r="Q318">
        <v>182215675.67567569</v>
      </c>
      <c r="R318">
        <v>162124099.0990991</v>
      </c>
      <c r="S318">
        <v>12023</v>
      </c>
      <c r="T318">
        <v>10721</v>
      </c>
    </row>
    <row r="319" spans="1:20" x14ac:dyDescent="0.35">
      <c r="A319" s="7" t="s">
        <v>417</v>
      </c>
      <c r="B319" s="12" t="s">
        <v>117</v>
      </c>
      <c r="C319">
        <v>947164273.01796067</v>
      </c>
      <c r="D319">
        <v>950345213.09596229</v>
      </c>
      <c r="E319">
        <v>652761210.8108108</v>
      </c>
      <c r="F319">
        <v>649920903.6036036</v>
      </c>
      <c r="G319">
        <v>827</v>
      </c>
      <c r="H319">
        <v>854</v>
      </c>
      <c r="I319">
        <v>12</v>
      </c>
      <c r="K319">
        <v>1212</v>
      </c>
      <c r="L319">
        <v>1939</v>
      </c>
      <c r="M319">
        <v>778790261.26126134</v>
      </c>
      <c r="N319">
        <v>469018331.53153151</v>
      </c>
      <c r="O319">
        <v>430571552.25225222</v>
      </c>
      <c r="P319">
        <v>473464664.86486489</v>
      </c>
      <c r="Q319">
        <v>784994504.50450444</v>
      </c>
      <c r="R319">
        <v>260815990.99099097</v>
      </c>
      <c r="S319">
        <v>21387</v>
      </c>
      <c r="T319">
        <v>17516</v>
      </c>
    </row>
    <row r="320" spans="1:20" x14ac:dyDescent="0.35">
      <c r="A320" s="7" t="s">
        <v>418</v>
      </c>
      <c r="B320" s="12" t="s">
        <v>147</v>
      </c>
      <c r="C320">
        <v>23340261.922346484</v>
      </c>
      <c r="D320">
        <v>24101824.963813659</v>
      </c>
      <c r="E320">
        <v>86196396.396396399</v>
      </c>
      <c r="F320">
        <v>180025225.22522521</v>
      </c>
      <c r="G320">
        <v>3</v>
      </c>
      <c r="H320">
        <v>5</v>
      </c>
      <c r="K320">
        <v>3</v>
      </c>
      <c r="L320">
        <v>5</v>
      </c>
      <c r="M320">
        <v>15527477.477477476</v>
      </c>
      <c r="N320">
        <v>9689189.1891891882</v>
      </c>
      <c r="O320">
        <v>7619450.4504504502</v>
      </c>
      <c r="P320">
        <v>7734126.1261261264</v>
      </c>
      <c r="S320">
        <v>604</v>
      </c>
      <c r="T320">
        <v>469</v>
      </c>
    </row>
    <row r="321" spans="1:20" x14ac:dyDescent="0.35">
      <c r="A321" s="7" t="s">
        <v>419</v>
      </c>
      <c r="B321" s="12" t="s">
        <v>304</v>
      </c>
      <c r="C321">
        <v>209335134.58151475</v>
      </c>
      <c r="D321">
        <v>193138385.88606876</v>
      </c>
      <c r="E321">
        <v>163138007.2072072</v>
      </c>
      <c r="F321">
        <v>177296400</v>
      </c>
      <c r="G321">
        <v>153</v>
      </c>
      <c r="H321">
        <v>90</v>
      </c>
      <c r="K321">
        <v>164</v>
      </c>
      <c r="L321">
        <v>111</v>
      </c>
      <c r="M321">
        <v>37144594.59459459</v>
      </c>
      <c r="N321">
        <v>71054054.054054052</v>
      </c>
      <c r="O321">
        <v>46510047.747747742</v>
      </c>
      <c r="P321">
        <v>43533081.081081077</v>
      </c>
      <c r="Q321">
        <v>35283603.603603601</v>
      </c>
      <c r="R321">
        <v>41936846.846846849</v>
      </c>
      <c r="S321">
        <v>4889</v>
      </c>
      <c r="T321">
        <v>2271</v>
      </c>
    </row>
    <row r="322" spans="1:20" x14ac:dyDescent="0.35">
      <c r="A322" s="7" t="s">
        <v>420</v>
      </c>
      <c r="B322" s="12" t="s">
        <v>304</v>
      </c>
      <c r="C322">
        <v>233878957.4062413</v>
      </c>
      <c r="D322">
        <v>229935668.3515878</v>
      </c>
      <c r="E322">
        <v>8373648.6486486467</v>
      </c>
      <c r="F322">
        <v>7228282.8828828922</v>
      </c>
      <c r="G322">
        <v>660</v>
      </c>
      <c r="H322">
        <v>366</v>
      </c>
      <c r="K322">
        <v>942</v>
      </c>
      <c r="L322">
        <v>689</v>
      </c>
      <c r="M322">
        <v>41145045.045045041</v>
      </c>
      <c r="N322">
        <v>48023544.144144148</v>
      </c>
      <c r="O322">
        <v>67358906.306306303</v>
      </c>
      <c r="P322">
        <v>71122390.990990996</v>
      </c>
      <c r="Q322">
        <v>37192475.675675675</v>
      </c>
      <c r="R322">
        <v>42681214.414414406</v>
      </c>
      <c r="S322">
        <v>9621</v>
      </c>
      <c r="T322">
        <v>2969</v>
      </c>
    </row>
    <row r="323" spans="1:20" x14ac:dyDescent="0.35">
      <c r="A323" s="7" t="s">
        <v>421</v>
      </c>
      <c r="B323" s="12" t="s">
        <v>121</v>
      </c>
      <c r="C323">
        <v>11905055.534779074</v>
      </c>
      <c r="D323">
        <v>10612256.364244152</v>
      </c>
      <c r="E323">
        <v>123648.648648649</v>
      </c>
      <c r="F323">
        <v>67567.567567567996</v>
      </c>
      <c r="G323">
        <v>5</v>
      </c>
      <c r="H323">
        <v>6</v>
      </c>
      <c r="K323">
        <v>5</v>
      </c>
      <c r="L323">
        <v>6</v>
      </c>
      <c r="M323">
        <v>127927.927927928</v>
      </c>
      <c r="N323">
        <v>247747.74774774801</v>
      </c>
      <c r="O323">
        <v>1460351.351351351</v>
      </c>
      <c r="P323">
        <v>1028558.558558559</v>
      </c>
      <c r="Q323">
        <v>182432.43243243199</v>
      </c>
      <c r="R323">
        <v>262612.61261261202</v>
      </c>
      <c r="S323">
        <v>402</v>
      </c>
      <c r="T323">
        <v>280</v>
      </c>
    </row>
    <row r="324" spans="1:20" x14ac:dyDescent="0.35">
      <c r="A324" s="7" t="s">
        <v>422</v>
      </c>
      <c r="B324" s="12" t="s">
        <v>60</v>
      </c>
      <c r="C324">
        <v>123809525.81273621</v>
      </c>
      <c r="D324">
        <v>118042153.65522695</v>
      </c>
      <c r="E324">
        <v>1246846.846846849</v>
      </c>
      <c r="F324">
        <v>1371136.936936937</v>
      </c>
      <c r="G324">
        <v>51</v>
      </c>
      <c r="H324">
        <v>43</v>
      </c>
      <c r="I324">
        <v>5</v>
      </c>
      <c r="K324">
        <v>62</v>
      </c>
      <c r="L324">
        <v>72</v>
      </c>
      <c r="M324">
        <v>27879279.27927928</v>
      </c>
      <c r="N324">
        <v>23395909.909909908</v>
      </c>
      <c r="O324">
        <v>43393963.963963971</v>
      </c>
      <c r="P324">
        <v>44335810.810810804</v>
      </c>
      <c r="Q324">
        <v>26153783.783783782</v>
      </c>
      <c r="R324">
        <v>25594324.324324325</v>
      </c>
      <c r="S324">
        <v>2590</v>
      </c>
      <c r="T324">
        <v>2206</v>
      </c>
    </row>
    <row r="325" spans="1:20" x14ac:dyDescent="0.35">
      <c r="A325" s="7" t="s">
        <v>423</v>
      </c>
      <c r="B325" s="12" t="s">
        <v>181</v>
      </c>
      <c r="C325">
        <v>1199201898.3919444</v>
      </c>
      <c r="D325">
        <v>1239237365.5360737</v>
      </c>
      <c r="E325">
        <v>14751801.801801804</v>
      </c>
      <c r="F325">
        <v>16021102.702702712</v>
      </c>
      <c r="G325">
        <v>499</v>
      </c>
      <c r="H325">
        <v>473</v>
      </c>
      <c r="I325">
        <v>7</v>
      </c>
      <c r="K325">
        <v>703</v>
      </c>
      <c r="L325">
        <v>603</v>
      </c>
      <c r="M325">
        <v>203420540.54054055</v>
      </c>
      <c r="N325">
        <v>269605641.44144142</v>
      </c>
      <c r="O325">
        <v>341614690.0900901</v>
      </c>
      <c r="P325">
        <v>371335990.990991</v>
      </c>
      <c r="Q325">
        <v>195307297.29729727</v>
      </c>
      <c r="R325">
        <v>268287612.61261261</v>
      </c>
      <c r="S325">
        <v>31749</v>
      </c>
      <c r="T325">
        <v>22340</v>
      </c>
    </row>
    <row r="326" spans="1:20" x14ac:dyDescent="0.35">
      <c r="A326" s="7" t="s">
        <v>424</v>
      </c>
      <c r="B326" s="12" t="s">
        <v>76</v>
      </c>
      <c r="C326">
        <v>41604063.324374147</v>
      </c>
      <c r="D326">
        <v>34832031.146714002</v>
      </c>
      <c r="E326">
        <v>94594.594594594993</v>
      </c>
      <c r="F326">
        <v>185304.50450450499</v>
      </c>
      <c r="G326">
        <v>8</v>
      </c>
      <c r="H326">
        <v>4</v>
      </c>
      <c r="K326">
        <v>9</v>
      </c>
      <c r="L326">
        <v>5</v>
      </c>
      <c r="M326">
        <v>3454954.9549549548</v>
      </c>
      <c r="N326">
        <v>4059684.684684685</v>
      </c>
      <c r="O326">
        <v>3627585.5855855858</v>
      </c>
      <c r="P326">
        <v>5169117.1171171172</v>
      </c>
      <c r="Q326">
        <v>3017747.7477477482</v>
      </c>
      <c r="R326">
        <v>2960990.9909909908</v>
      </c>
      <c r="S326">
        <v>1024</v>
      </c>
      <c r="T326">
        <v>851</v>
      </c>
    </row>
    <row r="327" spans="1:20" x14ac:dyDescent="0.35">
      <c r="A327" s="7" t="s">
        <v>425</v>
      </c>
      <c r="B327" s="12" t="s">
        <v>76</v>
      </c>
      <c r="C327">
        <v>137766496.70740885</v>
      </c>
      <c r="D327">
        <v>143337433.12800306</v>
      </c>
      <c r="E327">
        <v>217117.11711711701</v>
      </c>
      <c r="F327">
        <v>1221489.1891891879</v>
      </c>
      <c r="G327">
        <v>33</v>
      </c>
      <c r="H327">
        <v>33</v>
      </c>
      <c r="K327">
        <v>37</v>
      </c>
      <c r="L327">
        <v>36</v>
      </c>
      <c r="M327">
        <v>15525855.855855858</v>
      </c>
      <c r="N327">
        <v>27199661.261261258</v>
      </c>
      <c r="O327">
        <v>30396459.459459461</v>
      </c>
      <c r="P327">
        <v>32397117.117117114</v>
      </c>
      <c r="Q327">
        <v>12896756.756756756</v>
      </c>
      <c r="R327">
        <v>20788198.198198199</v>
      </c>
      <c r="S327">
        <v>1523</v>
      </c>
      <c r="T327">
        <v>1476</v>
      </c>
    </row>
    <row r="328" spans="1:20" x14ac:dyDescent="0.35">
      <c r="A328" s="7" t="s">
        <v>426</v>
      </c>
      <c r="B328" s="12" t="s">
        <v>330</v>
      </c>
      <c r="C328">
        <v>723965039.15602577</v>
      </c>
      <c r="D328">
        <v>663544064.45997775</v>
      </c>
      <c r="E328">
        <v>7791666.666666666</v>
      </c>
      <c r="F328">
        <v>3415765.765765768</v>
      </c>
      <c r="G328">
        <v>279</v>
      </c>
      <c r="H328">
        <v>282</v>
      </c>
      <c r="K328">
        <v>312</v>
      </c>
      <c r="L328">
        <v>329</v>
      </c>
      <c r="M328">
        <v>55292792.79279279</v>
      </c>
      <c r="N328">
        <v>144071351.35135135</v>
      </c>
      <c r="O328">
        <v>178476317.56756756</v>
      </c>
      <c r="P328">
        <v>127325953.15315315</v>
      </c>
      <c r="Q328">
        <v>49043873.873873875</v>
      </c>
      <c r="R328">
        <v>143467837.83783785</v>
      </c>
      <c r="S328">
        <v>16593</v>
      </c>
      <c r="T328">
        <v>11621</v>
      </c>
    </row>
    <row r="329" spans="1:20" x14ac:dyDescent="0.35">
      <c r="A329" s="7" t="s">
        <v>427</v>
      </c>
      <c r="B329" s="12" t="s">
        <v>241</v>
      </c>
      <c r="C329">
        <v>185083758.42478085</v>
      </c>
      <c r="D329">
        <v>175251662.73697811</v>
      </c>
      <c r="E329">
        <v>2072072.0720720741</v>
      </c>
      <c r="F329">
        <v>2756350.450450452</v>
      </c>
      <c r="G329">
        <v>69</v>
      </c>
      <c r="H329">
        <v>57</v>
      </c>
      <c r="K329">
        <v>76</v>
      </c>
      <c r="L329">
        <v>64</v>
      </c>
      <c r="M329">
        <v>50194054.054054059</v>
      </c>
      <c r="N329">
        <v>31841132.432432432</v>
      </c>
      <c r="O329">
        <v>70429585.585585579</v>
      </c>
      <c r="P329">
        <v>70811522.522522524</v>
      </c>
      <c r="Q329">
        <v>49069909.909909904</v>
      </c>
      <c r="R329">
        <v>33015765.765765764</v>
      </c>
      <c r="S329">
        <v>5853</v>
      </c>
      <c r="T329">
        <v>5246</v>
      </c>
    </row>
    <row r="330" spans="1:20" x14ac:dyDescent="0.35">
      <c r="A330" s="7" t="s">
        <v>428</v>
      </c>
      <c r="B330" s="12" t="s">
        <v>283</v>
      </c>
      <c r="C330">
        <v>72892089.561786249</v>
      </c>
      <c r="D330">
        <v>97146470.09317328</v>
      </c>
      <c r="E330">
        <v>733333.33333333395</v>
      </c>
      <c r="F330">
        <v>2956306.3063063072</v>
      </c>
      <c r="G330">
        <v>35</v>
      </c>
      <c r="H330">
        <v>45</v>
      </c>
      <c r="K330">
        <v>53</v>
      </c>
      <c r="L330">
        <v>133</v>
      </c>
      <c r="M330">
        <v>30531891.891891893</v>
      </c>
      <c r="N330">
        <v>23728108.108108107</v>
      </c>
      <c r="O330">
        <v>14010477.477477476</v>
      </c>
      <c r="P330">
        <v>22741486.486486487</v>
      </c>
      <c r="Q330">
        <v>32226756.75675676</v>
      </c>
      <c r="R330">
        <v>20119279.27927928</v>
      </c>
      <c r="S330">
        <v>1088</v>
      </c>
      <c r="T330">
        <v>1296</v>
      </c>
    </row>
    <row r="331" spans="1:20" x14ac:dyDescent="0.35">
      <c r="A331" s="7" t="s">
        <v>429</v>
      </c>
      <c r="B331" s="12" t="s">
        <v>283</v>
      </c>
      <c r="C331">
        <v>24669582.192219123</v>
      </c>
      <c r="D331">
        <v>23512263.429374095</v>
      </c>
      <c r="E331">
        <v>258558.558558558</v>
      </c>
      <c r="F331">
        <v>531531.53153153195</v>
      </c>
      <c r="G331">
        <v>1</v>
      </c>
      <c r="H331">
        <v>1</v>
      </c>
      <c r="K331">
        <v>1</v>
      </c>
      <c r="L331">
        <v>2</v>
      </c>
      <c r="M331">
        <v>3411711.7117117122</v>
      </c>
      <c r="N331">
        <v>5198198.1981981983</v>
      </c>
      <c r="O331">
        <v>1795126.1261261259</v>
      </c>
      <c r="P331">
        <v>2366864.8648648649</v>
      </c>
      <c r="Q331">
        <v>4018738.7387387389</v>
      </c>
      <c r="R331">
        <v>4744324.3243243238</v>
      </c>
      <c r="S331">
        <v>536</v>
      </c>
      <c r="T331">
        <v>475</v>
      </c>
    </row>
    <row r="332" spans="1:20" x14ac:dyDescent="0.35">
      <c r="A332" s="7" t="s">
        <v>430</v>
      </c>
      <c r="B332" s="12" t="s">
        <v>283</v>
      </c>
      <c r="C332">
        <v>52499675.971471779</v>
      </c>
      <c r="D332">
        <v>54873567.687379025</v>
      </c>
      <c r="E332">
        <v>265765.76576576597</v>
      </c>
      <c r="F332">
        <v>617117.11711711797</v>
      </c>
      <c r="G332">
        <v>5</v>
      </c>
      <c r="H332">
        <v>4</v>
      </c>
      <c r="K332">
        <v>5</v>
      </c>
      <c r="L332">
        <v>5</v>
      </c>
      <c r="M332">
        <v>355855.85585585597</v>
      </c>
      <c r="N332">
        <v>617117.11711711797</v>
      </c>
      <c r="O332">
        <v>4454729.7297297297</v>
      </c>
      <c r="P332">
        <v>5155711.7117117113</v>
      </c>
      <c r="Q332">
        <v>173423.423423423</v>
      </c>
      <c r="R332">
        <v>385765.76576576597</v>
      </c>
      <c r="S332">
        <v>818</v>
      </c>
      <c r="T332">
        <v>760</v>
      </c>
    </row>
    <row r="333" spans="1:20" x14ac:dyDescent="0.35">
      <c r="A333" s="7" t="s">
        <v>431</v>
      </c>
      <c r="B333" s="12" t="s">
        <v>78</v>
      </c>
      <c r="C333">
        <v>317404731.93363291</v>
      </c>
      <c r="D333">
        <v>314437519.53858668</v>
      </c>
      <c r="E333">
        <v>5807207.2072072104</v>
      </c>
      <c r="F333">
        <v>7733127.0270270258</v>
      </c>
      <c r="G333">
        <v>382</v>
      </c>
      <c r="H333">
        <v>120</v>
      </c>
      <c r="I333">
        <v>1</v>
      </c>
      <c r="K333">
        <v>522</v>
      </c>
      <c r="L333">
        <v>248</v>
      </c>
      <c r="M333">
        <v>32879279.27927928</v>
      </c>
      <c r="N333">
        <v>87791246.846846849</v>
      </c>
      <c r="O333">
        <v>139836477.47747746</v>
      </c>
      <c r="P333">
        <v>138885846.84684685</v>
      </c>
      <c r="Q333">
        <v>30685495.495495494</v>
      </c>
      <c r="R333">
        <v>81744414.414414421</v>
      </c>
      <c r="S333">
        <v>6726</v>
      </c>
      <c r="T333">
        <v>6922</v>
      </c>
    </row>
    <row r="334" spans="1:20" x14ac:dyDescent="0.35">
      <c r="A334" s="7" t="s">
        <v>432</v>
      </c>
      <c r="B334" s="12" t="s">
        <v>105</v>
      </c>
      <c r="C334">
        <v>274749802.67399484</v>
      </c>
      <c r="D334">
        <v>257697313.4389239</v>
      </c>
      <c r="E334">
        <v>1670270.270270271</v>
      </c>
      <c r="F334">
        <v>1532454.0540540549</v>
      </c>
      <c r="G334">
        <v>33</v>
      </c>
      <c r="H334">
        <v>50</v>
      </c>
      <c r="I334">
        <v>2</v>
      </c>
      <c r="K334">
        <v>39</v>
      </c>
      <c r="L334">
        <v>56</v>
      </c>
      <c r="M334">
        <v>33476711.711711712</v>
      </c>
      <c r="N334">
        <v>42515645.945945941</v>
      </c>
      <c r="O334">
        <v>65478873.873873875</v>
      </c>
      <c r="P334">
        <v>69875612.61261262</v>
      </c>
      <c r="Q334">
        <v>34705000</v>
      </c>
      <c r="R334">
        <v>42396306.306306303</v>
      </c>
      <c r="S334">
        <v>3365</v>
      </c>
      <c r="T334">
        <v>3541</v>
      </c>
    </row>
    <row r="335" spans="1:20" x14ac:dyDescent="0.35">
      <c r="A335" s="7" t="s">
        <v>433</v>
      </c>
      <c r="B335" s="12" t="s">
        <v>72</v>
      </c>
      <c r="C335">
        <v>1489816441.7121339</v>
      </c>
      <c r="D335">
        <v>1458627394.7899919</v>
      </c>
      <c r="E335">
        <v>9250900.9009009153</v>
      </c>
      <c r="F335">
        <v>10632923.42342343</v>
      </c>
      <c r="G335">
        <v>446</v>
      </c>
      <c r="H335">
        <v>360</v>
      </c>
      <c r="I335">
        <v>4</v>
      </c>
      <c r="K335">
        <v>554</v>
      </c>
      <c r="L335">
        <v>434</v>
      </c>
      <c r="M335">
        <v>213286936.93693691</v>
      </c>
      <c r="N335">
        <v>247610187.38738739</v>
      </c>
      <c r="O335">
        <v>312545795.04504508</v>
      </c>
      <c r="P335">
        <v>335088387.38738739</v>
      </c>
      <c r="Q335">
        <v>164771351.35135135</v>
      </c>
      <c r="R335">
        <v>182637207.2072072</v>
      </c>
      <c r="S335">
        <v>18774</v>
      </c>
      <c r="T335">
        <v>17857</v>
      </c>
    </row>
    <row r="336" spans="1:20" x14ac:dyDescent="0.35">
      <c r="A336" s="7" t="s">
        <v>434</v>
      </c>
      <c r="B336" s="12" t="s">
        <v>72</v>
      </c>
      <c r="C336">
        <v>1019676070.6332829</v>
      </c>
      <c r="D336">
        <v>1031510512.5779678</v>
      </c>
      <c r="E336">
        <v>72471756.756756768</v>
      </c>
      <c r="F336">
        <v>150697318.01801801</v>
      </c>
      <c r="G336">
        <v>247</v>
      </c>
      <c r="H336">
        <v>219</v>
      </c>
      <c r="I336">
        <v>2</v>
      </c>
      <c r="K336">
        <v>275</v>
      </c>
      <c r="L336">
        <v>259</v>
      </c>
      <c r="M336">
        <v>123234684.68468468</v>
      </c>
      <c r="N336">
        <v>139845206.3063063</v>
      </c>
      <c r="O336">
        <v>191522963.96396396</v>
      </c>
      <c r="P336">
        <v>216974468.46846849</v>
      </c>
      <c r="Q336">
        <v>84187927.927927926</v>
      </c>
      <c r="R336">
        <v>89963783.783783779</v>
      </c>
      <c r="S336">
        <v>14329</v>
      </c>
      <c r="T336">
        <v>13965</v>
      </c>
    </row>
    <row r="337" spans="1:20" x14ac:dyDescent="0.35">
      <c r="A337" s="7" t="s">
        <v>435</v>
      </c>
      <c r="B337" s="12" t="s">
        <v>94</v>
      </c>
      <c r="C337">
        <v>72115114.879414171</v>
      </c>
      <c r="D337">
        <v>71290149.581037551</v>
      </c>
      <c r="E337">
        <v>13513.513513514001</v>
      </c>
      <c r="F337">
        <v>7198.1981981979998</v>
      </c>
      <c r="G337">
        <v>7</v>
      </c>
      <c r="H337">
        <v>7</v>
      </c>
      <c r="K337">
        <v>7</v>
      </c>
      <c r="L337">
        <v>9</v>
      </c>
      <c r="M337">
        <v>554054.05405405397</v>
      </c>
      <c r="N337">
        <v>638207.20720720699</v>
      </c>
      <c r="O337">
        <v>17892968.468468469</v>
      </c>
      <c r="P337">
        <v>19353612.612612613</v>
      </c>
      <c r="Q337">
        <v>546576.57657657703</v>
      </c>
      <c r="R337">
        <v>344594.59459459502</v>
      </c>
      <c r="S337">
        <v>920</v>
      </c>
      <c r="T337">
        <v>870</v>
      </c>
    </row>
    <row r="338" spans="1:20" x14ac:dyDescent="0.35">
      <c r="A338" s="7" t="s">
        <v>436</v>
      </c>
      <c r="B338" s="12" t="s">
        <v>89</v>
      </c>
      <c r="C338">
        <v>380750603.33274579</v>
      </c>
      <c r="D338">
        <v>394012727.13834983</v>
      </c>
      <c r="E338">
        <v>6068468.4684684742</v>
      </c>
      <c r="F338">
        <v>10495562.162162164</v>
      </c>
      <c r="G338">
        <v>106</v>
      </c>
      <c r="H338">
        <v>68</v>
      </c>
      <c r="I338">
        <v>1</v>
      </c>
      <c r="K338">
        <v>114</v>
      </c>
      <c r="L338">
        <v>81</v>
      </c>
      <c r="M338">
        <v>79590990.990990996</v>
      </c>
      <c r="N338">
        <v>62484561.261261255</v>
      </c>
      <c r="O338">
        <v>172072290.990991</v>
      </c>
      <c r="P338">
        <v>180306837.83783782</v>
      </c>
      <c r="Q338">
        <v>78354324.324324325</v>
      </c>
      <c r="R338">
        <v>63912612.612612613</v>
      </c>
      <c r="S338">
        <v>6054</v>
      </c>
      <c r="T338">
        <v>5436</v>
      </c>
    </row>
    <row r="339" spans="1:20" x14ac:dyDescent="0.35">
      <c r="A339" s="7" t="s">
        <v>437</v>
      </c>
      <c r="B339" s="12" t="s">
        <v>70</v>
      </c>
      <c r="C339">
        <v>12108837.632590964</v>
      </c>
      <c r="D339">
        <v>11098759.770939576</v>
      </c>
      <c r="G339">
        <v>9</v>
      </c>
      <c r="H339">
        <v>5</v>
      </c>
      <c r="K339">
        <v>11</v>
      </c>
      <c r="L339">
        <v>5</v>
      </c>
      <c r="O339">
        <v>8084045.0450450452</v>
      </c>
      <c r="P339">
        <v>7222387.3873873884</v>
      </c>
      <c r="S339">
        <v>1907</v>
      </c>
      <c r="T339">
        <v>1074</v>
      </c>
    </row>
    <row r="340" spans="1:20" x14ac:dyDescent="0.35">
      <c r="A340" s="7" t="s">
        <v>438</v>
      </c>
      <c r="B340" s="12" t="s">
        <v>195</v>
      </c>
      <c r="C340">
        <v>1796533293.3412471</v>
      </c>
      <c r="D340">
        <v>1766245696.2069056</v>
      </c>
      <c r="E340">
        <v>187117287.38738739</v>
      </c>
      <c r="F340">
        <v>324792952.25225228</v>
      </c>
      <c r="G340">
        <v>473</v>
      </c>
      <c r="H340">
        <v>334</v>
      </c>
      <c r="K340">
        <v>647</v>
      </c>
      <c r="L340">
        <v>487</v>
      </c>
      <c r="M340">
        <v>202027567.56756759</v>
      </c>
      <c r="N340">
        <v>168766078.37837836</v>
      </c>
      <c r="O340">
        <v>306598621.62162161</v>
      </c>
      <c r="P340">
        <v>313476331.53153151</v>
      </c>
      <c r="Q340">
        <v>171794414.41441441</v>
      </c>
      <c r="R340">
        <v>138591711.7117117</v>
      </c>
      <c r="S340">
        <v>21446</v>
      </c>
      <c r="T340">
        <v>20402</v>
      </c>
    </row>
    <row r="341" spans="1:20" x14ac:dyDescent="0.35">
      <c r="A341" s="7" t="s">
        <v>439</v>
      </c>
      <c r="B341" s="12" t="s">
        <v>178</v>
      </c>
      <c r="C341">
        <v>891314319.20221925</v>
      </c>
      <c r="D341">
        <v>890089599.80261528</v>
      </c>
      <c r="E341">
        <v>9296396.3963963967</v>
      </c>
      <c r="F341">
        <v>13895883.783783788</v>
      </c>
      <c r="G341">
        <v>293</v>
      </c>
      <c r="H341">
        <v>137</v>
      </c>
      <c r="I341">
        <v>1</v>
      </c>
      <c r="K341">
        <v>493</v>
      </c>
      <c r="L341">
        <v>258</v>
      </c>
      <c r="M341">
        <v>279804809.9099099</v>
      </c>
      <c r="N341">
        <v>171664396.3963964</v>
      </c>
      <c r="O341">
        <v>361241572.07207209</v>
      </c>
      <c r="P341">
        <v>372572387.38738739</v>
      </c>
      <c r="Q341">
        <v>271685540.54054052</v>
      </c>
      <c r="R341">
        <v>155016396.3963964</v>
      </c>
      <c r="S341">
        <v>16000</v>
      </c>
      <c r="T341">
        <v>14711</v>
      </c>
    </row>
    <row r="342" spans="1:20" x14ac:dyDescent="0.35">
      <c r="A342" s="7" t="s">
        <v>440</v>
      </c>
      <c r="B342" s="12" t="s">
        <v>78</v>
      </c>
      <c r="C342">
        <v>383860883.41011786</v>
      </c>
      <c r="D342">
        <v>387001564.15301216</v>
      </c>
      <c r="E342">
        <v>5616891.8918918958</v>
      </c>
      <c r="F342">
        <v>8326546.8468468441</v>
      </c>
      <c r="G342">
        <v>90</v>
      </c>
      <c r="H342">
        <v>168</v>
      </c>
      <c r="I342">
        <v>5</v>
      </c>
      <c r="K342">
        <v>249</v>
      </c>
      <c r="L342">
        <v>274</v>
      </c>
      <c r="M342">
        <v>44775675.675675683</v>
      </c>
      <c r="N342">
        <v>57709096.396396399</v>
      </c>
      <c r="O342">
        <v>80061927.927927941</v>
      </c>
      <c r="P342">
        <v>86862234.234234244</v>
      </c>
      <c r="Q342">
        <v>38971621.621621616</v>
      </c>
      <c r="R342">
        <v>52398108.108108111</v>
      </c>
      <c r="S342">
        <v>5516</v>
      </c>
      <c r="T342">
        <v>5176</v>
      </c>
    </row>
    <row r="343" spans="1:20" x14ac:dyDescent="0.35">
      <c r="A343" s="7" t="s">
        <v>441</v>
      </c>
      <c r="B343" s="12" t="s">
        <v>78</v>
      </c>
      <c r="C343">
        <v>164283269.25425887</v>
      </c>
      <c r="D343">
        <v>169935264.62916058</v>
      </c>
      <c r="E343">
        <v>2996396.3963963971</v>
      </c>
      <c r="F343">
        <v>2588368.46846847</v>
      </c>
      <c r="G343">
        <v>52</v>
      </c>
      <c r="H343">
        <v>35</v>
      </c>
      <c r="I343">
        <v>3</v>
      </c>
      <c r="K343">
        <v>57</v>
      </c>
      <c r="L343">
        <v>37</v>
      </c>
      <c r="M343">
        <v>75543873.873873875</v>
      </c>
      <c r="N343">
        <v>28717500</v>
      </c>
      <c r="O343">
        <v>35904522.522522517</v>
      </c>
      <c r="P343">
        <v>35751711.711711712</v>
      </c>
      <c r="Q343">
        <v>71623063.06306307</v>
      </c>
      <c r="R343">
        <v>26162432.432432432</v>
      </c>
      <c r="S343">
        <v>2638</v>
      </c>
      <c r="T343">
        <v>2369</v>
      </c>
    </row>
    <row r="344" spans="1:20" x14ac:dyDescent="0.35">
      <c r="A344" s="7" t="s">
        <v>442</v>
      </c>
      <c r="B344" s="12" t="s">
        <v>123</v>
      </c>
      <c r="C344">
        <v>2185134.1828391152</v>
      </c>
      <c r="D344">
        <v>1960060.1755033149</v>
      </c>
      <c r="G344">
        <v>3</v>
      </c>
      <c r="K344">
        <v>3</v>
      </c>
      <c r="O344">
        <v>935135.13513513503</v>
      </c>
      <c r="P344">
        <v>827378.37837837799</v>
      </c>
      <c r="S344">
        <v>417</v>
      </c>
      <c r="T344">
        <v>322</v>
      </c>
    </row>
    <row r="345" spans="1:20" x14ac:dyDescent="0.35">
      <c r="A345" s="7" t="s">
        <v>443</v>
      </c>
      <c r="B345" s="12" t="s">
        <v>140</v>
      </c>
      <c r="C345">
        <v>391858270.87167925</v>
      </c>
      <c r="D345">
        <v>395903369.32634705</v>
      </c>
      <c r="E345">
        <v>4474324.3243243247</v>
      </c>
      <c r="F345">
        <v>6559398.1981982002</v>
      </c>
      <c r="G345">
        <v>65</v>
      </c>
      <c r="H345">
        <v>104</v>
      </c>
      <c r="I345">
        <v>10</v>
      </c>
      <c r="K345">
        <v>112</v>
      </c>
      <c r="L345">
        <v>132</v>
      </c>
      <c r="M345">
        <v>46912972.972972974</v>
      </c>
      <c r="N345">
        <v>50132272.972972974</v>
      </c>
      <c r="O345">
        <v>103285459.45945945</v>
      </c>
      <c r="P345">
        <v>111724475.67567568</v>
      </c>
      <c r="Q345">
        <v>41774414.414414413</v>
      </c>
      <c r="R345">
        <v>42770360.360360362</v>
      </c>
      <c r="S345">
        <v>5920</v>
      </c>
      <c r="T345">
        <v>5723</v>
      </c>
    </row>
    <row r="346" spans="1:20" x14ac:dyDescent="0.35">
      <c r="A346" s="7" t="s">
        <v>444</v>
      </c>
      <c r="B346" s="12" t="s">
        <v>76</v>
      </c>
      <c r="C346">
        <v>44131303.925081074</v>
      </c>
      <c r="D346">
        <v>41647195.353428103</v>
      </c>
      <c r="E346">
        <v>317117.11711711698</v>
      </c>
      <c r="F346">
        <v>263854.95495495602</v>
      </c>
      <c r="G346">
        <v>7</v>
      </c>
      <c r="H346">
        <v>3</v>
      </c>
      <c r="K346">
        <v>9</v>
      </c>
      <c r="L346">
        <v>3</v>
      </c>
      <c r="M346">
        <v>5456756.7567567565</v>
      </c>
      <c r="N346">
        <v>11204958.558558555</v>
      </c>
      <c r="O346">
        <v>10070828.828828828</v>
      </c>
      <c r="P346">
        <v>9996585.5855855867</v>
      </c>
      <c r="Q346">
        <v>6012702.702702703</v>
      </c>
      <c r="R346">
        <v>9365585.5855855867</v>
      </c>
      <c r="S346">
        <v>1861</v>
      </c>
      <c r="T346">
        <v>582</v>
      </c>
    </row>
    <row r="347" spans="1:20" x14ac:dyDescent="0.35">
      <c r="A347" s="7" t="s">
        <v>445</v>
      </c>
      <c r="B347" s="12" t="s">
        <v>89</v>
      </c>
      <c r="C347">
        <v>1213269339.3138285</v>
      </c>
      <c r="D347">
        <v>1211778266.742862</v>
      </c>
      <c r="E347">
        <v>421563687.38738739</v>
      </c>
      <c r="F347">
        <v>938812593.69369364</v>
      </c>
      <c r="G347">
        <v>1349</v>
      </c>
      <c r="H347">
        <v>412</v>
      </c>
      <c r="I347">
        <v>9</v>
      </c>
      <c r="K347">
        <v>2187</v>
      </c>
      <c r="L347">
        <v>1046</v>
      </c>
      <c r="M347">
        <v>357537387.38738739</v>
      </c>
      <c r="N347">
        <v>241024895.4954955</v>
      </c>
      <c r="O347">
        <v>397932727.92792791</v>
      </c>
      <c r="P347">
        <v>398430027.02702701</v>
      </c>
      <c r="Q347">
        <v>257531351.35135135</v>
      </c>
      <c r="R347">
        <v>240035225.22522521</v>
      </c>
      <c r="S347">
        <v>19404</v>
      </c>
      <c r="T347">
        <v>16056</v>
      </c>
    </row>
    <row r="348" spans="1:20" x14ac:dyDescent="0.35">
      <c r="A348" s="7" t="s">
        <v>446</v>
      </c>
      <c r="B348" s="12" t="s">
        <v>48</v>
      </c>
      <c r="C348">
        <v>119588010.17864801</v>
      </c>
      <c r="D348">
        <v>116369506.75328265</v>
      </c>
      <c r="E348">
        <v>2914414.4144144161</v>
      </c>
      <c r="F348">
        <v>1478471.1711711709</v>
      </c>
      <c r="G348">
        <v>17</v>
      </c>
      <c r="H348">
        <v>4</v>
      </c>
      <c r="K348">
        <v>20</v>
      </c>
      <c r="L348">
        <v>5</v>
      </c>
      <c r="M348">
        <v>29697477.477477476</v>
      </c>
      <c r="N348">
        <v>19308253.153153151</v>
      </c>
      <c r="O348">
        <v>40322864.864864863</v>
      </c>
      <c r="P348">
        <v>43161324.324324317</v>
      </c>
      <c r="Q348">
        <v>30053423.423423424</v>
      </c>
      <c r="R348">
        <v>19680990.990990993</v>
      </c>
      <c r="S348">
        <v>1164</v>
      </c>
      <c r="T348">
        <v>1059</v>
      </c>
    </row>
    <row r="349" spans="1:20" x14ac:dyDescent="0.35">
      <c r="A349" s="7" t="s">
        <v>447</v>
      </c>
      <c r="B349" s="12" t="s">
        <v>448</v>
      </c>
      <c r="C349">
        <v>240646495.21806279</v>
      </c>
      <c r="D349">
        <v>247700918.25491893</v>
      </c>
      <c r="E349">
        <v>4837837.8378378358</v>
      </c>
      <c r="F349">
        <v>9288738.7387387399</v>
      </c>
      <c r="G349">
        <v>196</v>
      </c>
      <c r="H349">
        <v>428</v>
      </c>
      <c r="K349">
        <v>223</v>
      </c>
      <c r="L349">
        <v>454</v>
      </c>
      <c r="M349">
        <v>29853873.873873871</v>
      </c>
      <c r="N349">
        <v>133600450.45045045</v>
      </c>
      <c r="O349">
        <v>95574099.0990991</v>
      </c>
      <c r="P349">
        <v>102941243.24324325</v>
      </c>
      <c r="Q349">
        <v>29113243.243243244</v>
      </c>
      <c r="R349">
        <v>133101351.35135135</v>
      </c>
      <c r="S349">
        <v>10714</v>
      </c>
      <c r="T349">
        <v>5697</v>
      </c>
    </row>
    <row r="350" spans="1:20" x14ac:dyDescent="0.35">
      <c r="A350" s="7" t="s">
        <v>449</v>
      </c>
      <c r="B350" s="12" t="s">
        <v>76</v>
      </c>
      <c r="C350">
        <v>58493715.944802061</v>
      </c>
      <c r="D350">
        <v>62137838.895912252</v>
      </c>
      <c r="E350">
        <v>629729.72972973296</v>
      </c>
      <c r="F350">
        <v>612453.15315315395</v>
      </c>
      <c r="G350">
        <v>31</v>
      </c>
      <c r="H350">
        <v>26</v>
      </c>
      <c r="I350">
        <v>1</v>
      </c>
      <c r="K350">
        <v>35</v>
      </c>
      <c r="L350">
        <v>31</v>
      </c>
      <c r="M350">
        <v>20111801.801801801</v>
      </c>
      <c r="N350">
        <v>17610784.684684683</v>
      </c>
      <c r="O350">
        <v>20773376.576576576</v>
      </c>
      <c r="P350">
        <v>21401477.477477476</v>
      </c>
      <c r="Q350">
        <v>16599099.0990991</v>
      </c>
      <c r="R350">
        <v>14352432.432432432</v>
      </c>
      <c r="S350">
        <v>1951</v>
      </c>
      <c r="T350">
        <v>1852</v>
      </c>
    </row>
    <row r="351" spans="1:20" x14ac:dyDescent="0.35">
      <c r="A351" s="7" t="s">
        <v>450</v>
      </c>
      <c r="B351" s="12" t="s">
        <v>83</v>
      </c>
      <c r="C351">
        <v>2146668833.3545203</v>
      </c>
      <c r="D351">
        <v>2203829606.6994362</v>
      </c>
      <c r="E351">
        <v>774956357.65765774</v>
      </c>
      <c r="F351">
        <v>831579965.76576579</v>
      </c>
      <c r="G351">
        <v>908</v>
      </c>
      <c r="H351">
        <v>452</v>
      </c>
      <c r="I351">
        <v>4</v>
      </c>
      <c r="K351">
        <v>1033</v>
      </c>
      <c r="L351">
        <v>800</v>
      </c>
      <c r="M351">
        <v>319736531.53153151</v>
      </c>
      <c r="N351">
        <v>337527383.78378379</v>
      </c>
      <c r="O351">
        <v>450761488.73873878</v>
      </c>
      <c r="P351">
        <v>503160241.44144148</v>
      </c>
      <c r="Q351">
        <v>302495810.8108108</v>
      </c>
      <c r="R351">
        <v>307375090.0900901</v>
      </c>
      <c r="S351">
        <v>35627</v>
      </c>
      <c r="T351">
        <v>31454</v>
      </c>
    </row>
    <row r="352" spans="1:20" x14ac:dyDescent="0.35">
      <c r="A352" s="7" t="s">
        <v>451</v>
      </c>
      <c r="B352" s="12" t="s">
        <v>70</v>
      </c>
      <c r="C352">
        <v>146442419.05790043</v>
      </c>
      <c r="D352">
        <v>134833575.80384347</v>
      </c>
      <c r="E352">
        <v>807207.20720720803</v>
      </c>
      <c r="F352">
        <v>2195839.6396396402</v>
      </c>
      <c r="G352">
        <v>32</v>
      </c>
      <c r="H352">
        <v>15</v>
      </c>
      <c r="K352">
        <v>34</v>
      </c>
      <c r="L352">
        <v>19</v>
      </c>
      <c r="M352">
        <v>4682882.882882881</v>
      </c>
      <c r="N352">
        <v>192665321.62162164</v>
      </c>
      <c r="O352">
        <v>88366657.657657668</v>
      </c>
      <c r="P352">
        <v>78347693.693693697</v>
      </c>
      <c r="Q352">
        <v>3815135.1351351328</v>
      </c>
      <c r="R352">
        <v>190418738.73873875</v>
      </c>
      <c r="S352">
        <v>3062</v>
      </c>
      <c r="T352">
        <v>2766</v>
      </c>
    </row>
    <row r="353" spans="1:20" x14ac:dyDescent="0.35">
      <c r="A353" s="7" t="s">
        <v>452</v>
      </c>
      <c r="B353" s="12" t="s">
        <v>167</v>
      </c>
      <c r="C353">
        <v>170400365.77754942</v>
      </c>
      <c r="D353">
        <v>172680026.34156549</v>
      </c>
      <c r="E353">
        <v>3272972.9729729719</v>
      </c>
      <c r="F353">
        <v>4097809.0090090092</v>
      </c>
      <c r="G353">
        <v>6</v>
      </c>
      <c r="H353">
        <v>26</v>
      </c>
      <c r="K353">
        <v>6</v>
      </c>
      <c r="L353">
        <v>30</v>
      </c>
      <c r="M353">
        <v>9168918.9189189207</v>
      </c>
      <c r="N353">
        <v>13911776.576576576</v>
      </c>
      <c r="O353">
        <v>32238567.567567568</v>
      </c>
      <c r="P353">
        <v>40927927.927927926</v>
      </c>
      <c r="Q353">
        <v>8687387.3873873875</v>
      </c>
      <c r="R353">
        <v>9678558.5585585553</v>
      </c>
      <c r="S353">
        <v>2860</v>
      </c>
      <c r="T353">
        <v>2935</v>
      </c>
    </row>
    <row r="354" spans="1:20" x14ac:dyDescent="0.35">
      <c r="A354" s="7" t="s">
        <v>453</v>
      </c>
      <c r="B354" s="12" t="s">
        <v>121</v>
      </c>
      <c r="C354">
        <v>6806150.4211964225</v>
      </c>
      <c r="D354">
        <v>7976670.3997533079</v>
      </c>
      <c r="E354">
        <v>34234.234234233998</v>
      </c>
      <c r="F354">
        <v>9009.0090090100002</v>
      </c>
      <c r="G354">
        <v>2</v>
      </c>
      <c r="H354">
        <v>1</v>
      </c>
      <c r="K354">
        <v>2</v>
      </c>
      <c r="L354">
        <v>1</v>
      </c>
      <c r="M354">
        <v>36036.036036035999</v>
      </c>
      <c r="N354">
        <v>99099.0990991</v>
      </c>
      <c r="O354">
        <v>730315.31531531503</v>
      </c>
      <c r="P354">
        <v>691252.25225225196</v>
      </c>
      <c r="R354">
        <v>90090.090090090001</v>
      </c>
      <c r="S354">
        <v>160</v>
      </c>
      <c r="T354">
        <v>122</v>
      </c>
    </row>
    <row r="355" spans="1:20" x14ac:dyDescent="0.35">
      <c r="A355" s="7" t="s">
        <v>454</v>
      </c>
      <c r="B355" s="12" t="s">
        <v>224</v>
      </c>
      <c r="C355">
        <v>58141789.647133008</v>
      </c>
      <c r="D355">
        <v>58854514.243782952</v>
      </c>
      <c r="E355">
        <v>1801.801801802</v>
      </c>
      <c r="F355">
        <v>13513.513513514001</v>
      </c>
      <c r="G355">
        <v>2</v>
      </c>
      <c r="H355">
        <v>1</v>
      </c>
      <c r="K355">
        <v>3</v>
      </c>
      <c r="L355">
        <v>1</v>
      </c>
      <c r="M355">
        <v>272072.07207207201</v>
      </c>
      <c r="N355">
        <v>914414.41441441397</v>
      </c>
      <c r="O355">
        <v>10918459.459459459</v>
      </c>
      <c r="P355">
        <v>15727315.315315315</v>
      </c>
      <c r="Q355">
        <v>288108.10810810799</v>
      </c>
      <c r="R355">
        <v>258738.73873873899</v>
      </c>
      <c r="S355">
        <v>1398</v>
      </c>
      <c r="T355">
        <v>1558</v>
      </c>
    </row>
    <row r="356" spans="1:20" x14ac:dyDescent="0.35">
      <c r="A356" s="7" t="s">
        <v>455</v>
      </c>
      <c r="B356" s="12" t="s">
        <v>94</v>
      </c>
      <c r="C356">
        <v>84855829.927479506</v>
      </c>
      <c r="D356">
        <v>104830808.84438527</v>
      </c>
      <c r="E356">
        <v>743243.24324324401</v>
      </c>
      <c r="F356">
        <v>2722185.5855855849</v>
      </c>
      <c r="G356">
        <v>26</v>
      </c>
      <c r="H356">
        <v>41</v>
      </c>
      <c r="K356">
        <v>27</v>
      </c>
      <c r="L356">
        <v>45</v>
      </c>
      <c r="M356">
        <v>32808558.558558561</v>
      </c>
      <c r="N356">
        <v>22129090.990990993</v>
      </c>
      <c r="O356">
        <v>19281572.072072074</v>
      </c>
      <c r="P356">
        <v>26568842.342342343</v>
      </c>
      <c r="Q356">
        <v>30465495.495495494</v>
      </c>
      <c r="R356">
        <v>18607927.927927926</v>
      </c>
      <c r="S356">
        <v>2159</v>
      </c>
      <c r="T356">
        <v>2087</v>
      </c>
    </row>
    <row r="357" spans="1:20" x14ac:dyDescent="0.35">
      <c r="A357" s="7" t="s">
        <v>456</v>
      </c>
      <c r="B357" s="12" t="s">
        <v>60</v>
      </c>
      <c r="C357">
        <v>12838976.32292936</v>
      </c>
      <c r="D357">
        <v>14623364.73833514</v>
      </c>
      <c r="E357">
        <v>221621.62162162201</v>
      </c>
      <c r="F357">
        <v>46846.846846847002</v>
      </c>
      <c r="G357">
        <v>8</v>
      </c>
      <c r="H357">
        <v>4</v>
      </c>
      <c r="K357">
        <v>8</v>
      </c>
      <c r="L357">
        <v>5</v>
      </c>
      <c r="M357">
        <v>1257657.6576576571</v>
      </c>
      <c r="N357">
        <v>947747.74774774804</v>
      </c>
      <c r="O357">
        <v>6080846.8468468459</v>
      </c>
      <c r="P357">
        <v>7389747.7477477482</v>
      </c>
      <c r="Q357">
        <v>869639.63963963999</v>
      </c>
      <c r="R357">
        <v>979189.189189189</v>
      </c>
      <c r="S357">
        <v>636</v>
      </c>
      <c r="T357">
        <v>586</v>
      </c>
    </row>
    <row r="358" spans="1:20" x14ac:dyDescent="0.35">
      <c r="A358" s="7" t="s">
        <v>457</v>
      </c>
      <c r="B358" s="12" t="s">
        <v>214</v>
      </c>
      <c r="C358">
        <v>232744259.15558806</v>
      </c>
      <c r="D358">
        <v>227805993.81116277</v>
      </c>
      <c r="E358">
        <v>473873.87387387402</v>
      </c>
      <c r="F358">
        <v>454954.95495495503</v>
      </c>
      <c r="G358">
        <v>46</v>
      </c>
      <c r="H358">
        <v>13</v>
      </c>
      <c r="K358">
        <v>48</v>
      </c>
      <c r="L358">
        <v>16</v>
      </c>
      <c r="M358">
        <v>1014414.414414414</v>
      </c>
      <c r="N358">
        <v>114779279.27927928</v>
      </c>
      <c r="O358">
        <v>119713792.7927928</v>
      </c>
      <c r="P358">
        <v>120187540.54054055</v>
      </c>
      <c r="Q358">
        <v>1821171.1711711709</v>
      </c>
      <c r="R358">
        <v>114022252.25225225</v>
      </c>
      <c r="S358">
        <v>3379</v>
      </c>
      <c r="T358">
        <v>3190</v>
      </c>
    </row>
    <row r="359" spans="1:20" x14ac:dyDescent="0.35">
      <c r="A359" s="7" t="s">
        <v>458</v>
      </c>
      <c r="B359" s="12" t="s">
        <v>459</v>
      </c>
      <c r="C359">
        <v>929874243.88363421</v>
      </c>
      <c r="D359">
        <v>951743815.76576412</v>
      </c>
      <c r="E359">
        <v>23471396.396396413</v>
      </c>
      <c r="F359">
        <v>33396474.77477479</v>
      </c>
      <c r="G359">
        <v>706</v>
      </c>
      <c r="H359">
        <v>455</v>
      </c>
      <c r="I359">
        <v>2</v>
      </c>
      <c r="K359">
        <v>890</v>
      </c>
      <c r="L359">
        <v>616</v>
      </c>
      <c r="M359">
        <v>290326036.03603601</v>
      </c>
      <c r="N359">
        <v>422859490.0900901</v>
      </c>
      <c r="O359">
        <v>327634515.76576579</v>
      </c>
      <c r="P359">
        <v>357566807.2072072</v>
      </c>
      <c r="Q359">
        <v>244702072.07207206</v>
      </c>
      <c r="R359">
        <v>373589279.27927929</v>
      </c>
      <c r="S359">
        <v>44766</v>
      </c>
      <c r="T359">
        <v>24728</v>
      </c>
    </row>
    <row r="360" spans="1:20" x14ac:dyDescent="0.35">
      <c r="A360" s="7" t="s">
        <v>460</v>
      </c>
      <c r="B360" s="12" t="s">
        <v>459</v>
      </c>
      <c r="C360">
        <v>3277690389.9925976</v>
      </c>
      <c r="D360">
        <v>3133458760.1676674</v>
      </c>
      <c r="E360">
        <v>20919819.819819827</v>
      </c>
      <c r="F360">
        <v>26297389.189189199</v>
      </c>
      <c r="G360">
        <v>998</v>
      </c>
      <c r="H360">
        <v>761</v>
      </c>
      <c r="I360">
        <v>6</v>
      </c>
      <c r="K360">
        <v>1154</v>
      </c>
      <c r="L360">
        <v>959</v>
      </c>
      <c r="M360">
        <v>157919099.0990991</v>
      </c>
      <c r="N360">
        <v>394805830.63063067</v>
      </c>
      <c r="O360">
        <v>2150727230.1801801</v>
      </c>
      <c r="P360">
        <v>2016438531.5315316</v>
      </c>
      <c r="Q360">
        <v>147331351.35135135</v>
      </c>
      <c r="R360">
        <v>343251666.66666669</v>
      </c>
      <c r="S360">
        <v>59156</v>
      </c>
      <c r="T360">
        <v>31219</v>
      </c>
    </row>
    <row r="361" spans="1:20" x14ac:dyDescent="0.35">
      <c r="A361" s="7" t="s">
        <v>461</v>
      </c>
      <c r="B361" s="12" t="s">
        <v>459</v>
      </c>
      <c r="C361">
        <v>1449784555.3523307</v>
      </c>
      <c r="D361">
        <v>1447812040.5147181</v>
      </c>
      <c r="E361">
        <v>507636604.5045045</v>
      </c>
      <c r="F361">
        <v>885247805.4054054</v>
      </c>
      <c r="G361">
        <v>1132</v>
      </c>
      <c r="H361">
        <v>629</v>
      </c>
      <c r="I361">
        <v>6</v>
      </c>
      <c r="K361">
        <v>1312</v>
      </c>
      <c r="L361">
        <v>834</v>
      </c>
      <c r="M361">
        <v>1569153145.9459457</v>
      </c>
      <c r="N361">
        <v>1219265488.2882884</v>
      </c>
      <c r="O361">
        <v>398204193.6936937</v>
      </c>
      <c r="P361">
        <v>433760547.74774778</v>
      </c>
      <c r="Q361">
        <v>1549988423.4234235</v>
      </c>
      <c r="R361">
        <v>1109011981.981982</v>
      </c>
      <c r="S361">
        <v>46389</v>
      </c>
      <c r="T361">
        <v>23626</v>
      </c>
    </row>
    <row r="362" spans="1:20" x14ac:dyDescent="0.35">
      <c r="A362" s="7" t="s">
        <v>462</v>
      </c>
      <c r="B362" s="12" t="s">
        <v>459</v>
      </c>
      <c r="C362">
        <v>1059564516.5045663</v>
      </c>
      <c r="D362">
        <v>963395586.30734754</v>
      </c>
      <c r="E362">
        <v>8078828.8288288424</v>
      </c>
      <c r="F362">
        <v>16295463.963963969</v>
      </c>
      <c r="G362">
        <v>437</v>
      </c>
      <c r="H362">
        <v>225</v>
      </c>
      <c r="I362">
        <v>5</v>
      </c>
      <c r="K362">
        <v>501</v>
      </c>
      <c r="L362">
        <v>270</v>
      </c>
      <c r="M362">
        <v>156823603.6036036</v>
      </c>
      <c r="N362">
        <v>251939389.1891892</v>
      </c>
      <c r="O362">
        <v>238497801.8018018</v>
      </c>
      <c r="P362">
        <v>245318223.42342341</v>
      </c>
      <c r="Q362">
        <v>115243243.24324325</v>
      </c>
      <c r="R362">
        <v>231172702.7027027</v>
      </c>
      <c r="S362">
        <v>32330</v>
      </c>
      <c r="T362">
        <v>18269</v>
      </c>
    </row>
    <row r="363" spans="1:20" x14ac:dyDescent="0.35">
      <c r="A363" s="7" t="s">
        <v>463</v>
      </c>
      <c r="B363" s="12" t="s">
        <v>459</v>
      </c>
      <c r="C363">
        <v>1017284381.4023465</v>
      </c>
      <c r="D363">
        <v>1052979094.5823457</v>
      </c>
      <c r="E363">
        <v>18559684.684684694</v>
      </c>
      <c r="F363">
        <v>21043960.360360365</v>
      </c>
      <c r="G363">
        <v>2719</v>
      </c>
      <c r="H363">
        <v>869</v>
      </c>
      <c r="I363">
        <v>1</v>
      </c>
      <c r="K363">
        <v>2996</v>
      </c>
      <c r="L363">
        <v>1451</v>
      </c>
      <c r="M363">
        <v>202096936.93693691</v>
      </c>
      <c r="N363">
        <v>620410076.57657659</v>
      </c>
      <c r="O363">
        <v>416131718.46846849</v>
      </c>
      <c r="P363">
        <v>428814612.61261261</v>
      </c>
      <c r="Q363">
        <v>197862342.34234235</v>
      </c>
      <c r="R363">
        <v>438314819.81981987</v>
      </c>
      <c r="S363">
        <v>41801</v>
      </c>
      <c r="T363">
        <v>28393</v>
      </c>
    </row>
    <row r="364" spans="1:20" x14ac:dyDescent="0.35">
      <c r="A364" s="7" t="s">
        <v>464</v>
      </c>
      <c r="B364" s="12" t="s">
        <v>459</v>
      </c>
      <c r="C364">
        <v>1175503140.3745518</v>
      </c>
      <c r="D364">
        <v>1160023515.5019333</v>
      </c>
      <c r="E364">
        <v>2279985617.1171174</v>
      </c>
      <c r="F364">
        <v>2211876081.0810809</v>
      </c>
      <c r="G364">
        <v>695</v>
      </c>
      <c r="H364">
        <v>360</v>
      </c>
      <c r="I364">
        <v>4</v>
      </c>
      <c r="K364">
        <v>768</v>
      </c>
      <c r="L364">
        <v>444</v>
      </c>
      <c r="M364">
        <v>178910701.8018018</v>
      </c>
      <c r="N364">
        <v>375237234.23423421</v>
      </c>
      <c r="O364">
        <v>508747707.65765768</v>
      </c>
      <c r="P364">
        <v>524227927.92792791</v>
      </c>
      <c r="Q364">
        <v>174226846.84684685</v>
      </c>
      <c r="R364">
        <v>379831126.12612617</v>
      </c>
      <c r="S364">
        <v>50974</v>
      </c>
      <c r="T364">
        <v>28878</v>
      </c>
    </row>
    <row r="365" spans="1:20" x14ac:dyDescent="0.35">
      <c r="A365" s="7" t="s">
        <v>465</v>
      </c>
      <c r="B365" s="12" t="s">
        <v>54</v>
      </c>
      <c r="C365">
        <v>79354021.844088748</v>
      </c>
      <c r="D365">
        <v>76989333.10484466</v>
      </c>
      <c r="E365">
        <v>1005405.405405405</v>
      </c>
      <c r="F365">
        <v>725470.27027027204</v>
      </c>
      <c r="G365">
        <v>28</v>
      </c>
      <c r="H365">
        <v>17</v>
      </c>
      <c r="K365">
        <v>37</v>
      </c>
      <c r="L365">
        <v>55</v>
      </c>
      <c r="M365">
        <v>8487207.2072072085</v>
      </c>
      <c r="N365">
        <v>7922069.369369369</v>
      </c>
      <c r="O365">
        <v>16526972.972972972</v>
      </c>
      <c r="P365">
        <v>16625576.576576576</v>
      </c>
      <c r="Q365">
        <v>7645585.5855855849</v>
      </c>
      <c r="R365">
        <v>7718918.9189189179</v>
      </c>
      <c r="S365">
        <v>1361</v>
      </c>
      <c r="T365">
        <v>1077</v>
      </c>
    </row>
    <row r="366" spans="1:20" x14ac:dyDescent="0.35">
      <c r="A366" s="7" t="s">
        <v>466</v>
      </c>
      <c r="B366" s="12" t="s">
        <v>87</v>
      </c>
      <c r="C366">
        <v>2924067.3260608618</v>
      </c>
      <c r="D366">
        <v>3270562.0677360059</v>
      </c>
      <c r="H366">
        <v>1</v>
      </c>
      <c r="L366">
        <v>1</v>
      </c>
      <c r="O366">
        <v>569819.81981982</v>
      </c>
      <c r="P366">
        <v>1172072.072072072</v>
      </c>
      <c r="S366">
        <v>98</v>
      </c>
      <c r="T366">
        <v>88</v>
      </c>
    </row>
    <row r="367" spans="1:20" x14ac:dyDescent="0.35">
      <c r="A367" s="7" t="s">
        <v>467</v>
      </c>
      <c r="B367" s="12" t="s">
        <v>143</v>
      </c>
      <c r="C367">
        <v>367840288.40854776</v>
      </c>
      <c r="D367">
        <v>394973644.84977192</v>
      </c>
      <c r="E367">
        <v>317117.11711711797</v>
      </c>
      <c r="F367">
        <v>896190.09009009099</v>
      </c>
      <c r="G367">
        <v>76</v>
      </c>
      <c r="H367">
        <v>23</v>
      </c>
      <c r="K367">
        <v>85</v>
      </c>
      <c r="L367">
        <v>26</v>
      </c>
      <c r="M367">
        <v>20028828.828828827</v>
      </c>
      <c r="N367">
        <v>21328611.711711712</v>
      </c>
      <c r="O367">
        <v>56593726.126126125</v>
      </c>
      <c r="P367">
        <v>71912097.297297299</v>
      </c>
      <c r="Q367">
        <v>16584414.414414413</v>
      </c>
      <c r="R367">
        <v>18062475.675675675</v>
      </c>
      <c r="S367">
        <v>5324</v>
      </c>
      <c r="T367">
        <v>4956</v>
      </c>
    </row>
    <row r="368" spans="1:20" x14ac:dyDescent="0.35">
      <c r="A368" s="7" t="s">
        <v>468</v>
      </c>
      <c r="B368" s="12" t="s">
        <v>80</v>
      </c>
      <c r="C368">
        <v>316280868.97359186</v>
      </c>
      <c r="D368">
        <v>303433264.06444949</v>
      </c>
      <c r="E368">
        <v>1104054.0540540561</v>
      </c>
      <c r="F368">
        <v>1152252.2522522551</v>
      </c>
      <c r="G368">
        <v>45</v>
      </c>
      <c r="H368">
        <v>35</v>
      </c>
      <c r="K368">
        <v>51</v>
      </c>
      <c r="L368">
        <v>39</v>
      </c>
      <c r="M368">
        <v>11636486.486486487</v>
      </c>
      <c r="N368">
        <v>10242342.342342343</v>
      </c>
      <c r="O368">
        <v>120095966.66666667</v>
      </c>
      <c r="P368">
        <v>116183236.03603603</v>
      </c>
      <c r="Q368">
        <v>9838828.8288288284</v>
      </c>
      <c r="R368">
        <v>7614594.5945945941</v>
      </c>
      <c r="S368">
        <v>5249</v>
      </c>
      <c r="T368">
        <v>6019</v>
      </c>
    </row>
    <row r="369" spans="1:20" x14ac:dyDescent="0.35">
      <c r="A369" s="7" t="s">
        <v>469</v>
      </c>
      <c r="B369" s="12" t="s">
        <v>470</v>
      </c>
      <c r="C369">
        <v>381956077.96074355</v>
      </c>
      <c r="D369">
        <v>373805277.83807969</v>
      </c>
      <c r="E369">
        <v>3736936.9369369368</v>
      </c>
      <c r="F369">
        <v>4526444.1441441458</v>
      </c>
      <c r="G369">
        <v>51</v>
      </c>
      <c r="H369">
        <v>32</v>
      </c>
      <c r="K369">
        <v>53</v>
      </c>
      <c r="L369">
        <v>62</v>
      </c>
      <c r="M369">
        <v>31177927.927927926</v>
      </c>
      <c r="N369">
        <v>24511666.666666672</v>
      </c>
      <c r="O369">
        <v>121654232.43243243</v>
      </c>
      <c r="P369">
        <v>127535464.86486487</v>
      </c>
      <c r="Q369">
        <v>30321754.954954956</v>
      </c>
      <c r="R369">
        <v>39413405.40540541</v>
      </c>
      <c r="S369">
        <v>5607</v>
      </c>
      <c r="T369">
        <v>5507</v>
      </c>
    </row>
    <row r="370" spans="1:20" x14ac:dyDescent="0.35">
      <c r="A370" s="7" t="s">
        <v>471</v>
      </c>
      <c r="B370" s="12" t="s">
        <v>470</v>
      </c>
      <c r="C370">
        <v>31763692.178020354</v>
      </c>
      <c r="D370">
        <v>33152230.620370951</v>
      </c>
      <c r="E370">
        <v>225225.225225225</v>
      </c>
      <c r="F370">
        <v>190090.09009009</v>
      </c>
      <c r="G370">
        <v>3</v>
      </c>
      <c r="H370">
        <v>1</v>
      </c>
      <c r="K370">
        <v>4</v>
      </c>
      <c r="L370">
        <v>1</v>
      </c>
      <c r="M370">
        <v>3054054.054054054</v>
      </c>
      <c r="N370">
        <v>460360.36036036001</v>
      </c>
      <c r="O370">
        <v>2618378.3783783782</v>
      </c>
      <c r="P370">
        <v>3973675.6756756762</v>
      </c>
      <c r="Q370">
        <v>3119459.4594594589</v>
      </c>
      <c r="R370">
        <v>1052702.702702703</v>
      </c>
      <c r="S370">
        <v>644</v>
      </c>
      <c r="T370">
        <v>673</v>
      </c>
    </row>
    <row r="371" spans="1:20" x14ac:dyDescent="0.35">
      <c r="A371" s="7" t="s">
        <v>472</v>
      </c>
      <c r="B371" s="12" t="s">
        <v>470</v>
      </c>
      <c r="C371">
        <v>3877754.6295226761</v>
      </c>
      <c r="D371">
        <v>4000337.2003944102</v>
      </c>
      <c r="E371">
        <v>393693.69369369402</v>
      </c>
      <c r="F371">
        <v>803603.60360360402</v>
      </c>
      <c r="G371">
        <v>1</v>
      </c>
      <c r="K371">
        <v>1</v>
      </c>
      <c r="M371">
        <v>2943243.243243244</v>
      </c>
      <c r="N371">
        <v>1263063.0630630639</v>
      </c>
      <c r="O371">
        <v>917657.65765765798</v>
      </c>
      <c r="P371">
        <v>939684.68468468497</v>
      </c>
      <c r="Q371">
        <v>2703603.6036036038</v>
      </c>
      <c r="R371">
        <v>5522882.8828828828</v>
      </c>
      <c r="S371">
        <v>550</v>
      </c>
      <c r="T371">
        <v>371</v>
      </c>
    </row>
    <row r="372" spans="1:20" x14ac:dyDescent="0.35">
      <c r="A372" s="7" t="s">
        <v>473</v>
      </c>
      <c r="B372" s="12" t="s">
        <v>470</v>
      </c>
      <c r="C372">
        <v>134397451.29242957</v>
      </c>
      <c r="D372">
        <v>130140517.40342918</v>
      </c>
      <c r="E372">
        <v>1124324.324324325</v>
      </c>
      <c r="F372">
        <v>1551073.8738738741</v>
      </c>
      <c r="G372">
        <v>17</v>
      </c>
      <c r="H372">
        <v>17</v>
      </c>
      <c r="K372">
        <v>17</v>
      </c>
      <c r="L372">
        <v>44</v>
      </c>
      <c r="M372">
        <v>71739189.189189196</v>
      </c>
      <c r="N372">
        <v>26088920.72072072</v>
      </c>
      <c r="O372">
        <v>18233358.558558561</v>
      </c>
      <c r="P372">
        <v>22239736.936936937</v>
      </c>
      <c r="Q372">
        <v>33413063.063063063</v>
      </c>
      <c r="R372">
        <v>20107207.207207207</v>
      </c>
      <c r="S372">
        <v>2317</v>
      </c>
      <c r="T372">
        <v>2288</v>
      </c>
    </row>
    <row r="373" spans="1:20" x14ac:dyDescent="0.35">
      <c r="A373" s="7" t="s">
        <v>474</v>
      </c>
      <c r="B373" s="12" t="s">
        <v>470</v>
      </c>
      <c r="C373">
        <v>189165060.24701706</v>
      </c>
      <c r="D373">
        <v>185610482.88619745</v>
      </c>
      <c r="E373">
        <v>362686122.52252251</v>
      </c>
      <c r="F373">
        <v>230240400.9009009</v>
      </c>
      <c r="G373">
        <v>39</v>
      </c>
      <c r="H373">
        <v>20</v>
      </c>
      <c r="K373">
        <v>40</v>
      </c>
      <c r="L373">
        <v>31</v>
      </c>
      <c r="M373">
        <v>40417353.153153151</v>
      </c>
      <c r="N373">
        <v>27062972.072072074</v>
      </c>
      <c r="O373">
        <v>40443612.612612605</v>
      </c>
      <c r="P373">
        <v>45848639.639639638</v>
      </c>
      <c r="Q373">
        <v>13652702.702702705</v>
      </c>
      <c r="R373">
        <v>19776756.756756756</v>
      </c>
      <c r="S373">
        <v>2593</v>
      </c>
      <c r="T373">
        <v>2216</v>
      </c>
    </row>
    <row r="374" spans="1:20" x14ac:dyDescent="0.35">
      <c r="A374" s="7" t="s">
        <v>475</v>
      </c>
      <c r="B374" s="12" t="s">
        <v>470</v>
      </c>
      <c r="C374">
        <v>70134705.954965368</v>
      </c>
      <c r="D374">
        <v>69360861.525697351</v>
      </c>
      <c r="E374">
        <v>421621.62162162201</v>
      </c>
      <c r="F374">
        <v>491891.891891893</v>
      </c>
      <c r="G374">
        <v>6</v>
      </c>
      <c r="H374">
        <v>7</v>
      </c>
      <c r="K374">
        <v>6</v>
      </c>
      <c r="L374">
        <v>8</v>
      </c>
      <c r="M374">
        <v>9232432.4324324317</v>
      </c>
      <c r="N374">
        <v>3712612.612612613</v>
      </c>
      <c r="O374">
        <v>15004881.081081079</v>
      </c>
      <c r="P374">
        <v>17562486.486486487</v>
      </c>
      <c r="Q374">
        <v>7944864.8648648662</v>
      </c>
      <c r="R374">
        <v>8697567.5675675683</v>
      </c>
      <c r="S374">
        <v>1426</v>
      </c>
      <c r="T374">
        <v>1413</v>
      </c>
    </row>
    <row r="375" spans="1:20" x14ac:dyDescent="0.35">
      <c r="A375" s="7" t="s">
        <v>476</v>
      </c>
      <c r="B375" s="12" t="s">
        <v>470</v>
      </c>
      <c r="C375">
        <v>716324172.17282009</v>
      </c>
      <c r="D375">
        <v>752772598.33029056</v>
      </c>
      <c r="E375">
        <v>13124324.32432433</v>
      </c>
      <c r="F375">
        <v>14508755.855855864</v>
      </c>
      <c r="G375">
        <v>273</v>
      </c>
      <c r="H375">
        <v>442</v>
      </c>
      <c r="I375">
        <v>1</v>
      </c>
      <c r="K375">
        <v>548</v>
      </c>
      <c r="L375">
        <v>680</v>
      </c>
      <c r="M375">
        <v>226690540.54054055</v>
      </c>
      <c r="N375">
        <v>212135731.53153151</v>
      </c>
      <c r="O375">
        <v>186215023.42342341</v>
      </c>
      <c r="P375">
        <v>211518983.78378376</v>
      </c>
      <c r="Q375">
        <v>224149279.27927929</v>
      </c>
      <c r="R375">
        <v>216309232.43243244</v>
      </c>
      <c r="S375">
        <v>19089</v>
      </c>
      <c r="T375">
        <v>15957</v>
      </c>
    </row>
    <row r="376" spans="1:20" x14ac:dyDescent="0.35">
      <c r="A376" s="7" t="s">
        <v>477</v>
      </c>
      <c r="B376" s="12" t="s">
        <v>260</v>
      </c>
      <c r="C376">
        <v>825543648.71841967</v>
      </c>
      <c r="D376">
        <v>824100561.89907134</v>
      </c>
      <c r="E376">
        <v>4566441.4414414419</v>
      </c>
      <c r="F376">
        <v>7978861.2612612639</v>
      </c>
      <c r="G376">
        <v>208</v>
      </c>
      <c r="H376">
        <v>111</v>
      </c>
      <c r="I376">
        <v>1</v>
      </c>
      <c r="K376">
        <v>221</v>
      </c>
      <c r="L376">
        <v>126</v>
      </c>
      <c r="M376">
        <v>103157657.65765767</v>
      </c>
      <c r="N376">
        <v>127524785.58558558</v>
      </c>
      <c r="O376">
        <v>221800743.24324322</v>
      </c>
      <c r="P376">
        <v>237241819.81981981</v>
      </c>
      <c r="Q376">
        <v>102402252.25225225</v>
      </c>
      <c r="R376">
        <v>123192702.7027027</v>
      </c>
      <c r="S376">
        <v>11885</v>
      </c>
      <c r="T376">
        <v>11789</v>
      </c>
    </row>
    <row r="377" spans="1:20" x14ac:dyDescent="0.35">
      <c r="A377" s="7" t="s">
        <v>478</v>
      </c>
      <c r="B377" s="12" t="s">
        <v>479</v>
      </c>
      <c r="C377">
        <v>63597801.420557261</v>
      </c>
      <c r="D377">
        <v>62492154.824258946</v>
      </c>
      <c r="E377">
        <v>919819.81981982104</v>
      </c>
      <c r="F377">
        <v>1036036.036036036</v>
      </c>
      <c r="G377">
        <v>15</v>
      </c>
      <c r="H377">
        <v>19</v>
      </c>
      <c r="K377">
        <v>15</v>
      </c>
      <c r="L377">
        <v>20</v>
      </c>
      <c r="M377">
        <v>20424324.324324325</v>
      </c>
      <c r="N377">
        <v>17961801.801801801</v>
      </c>
      <c r="O377">
        <v>15105675.675675675</v>
      </c>
      <c r="P377">
        <v>16339673.873873875</v>
      </c>
      <c r="Q377">
        <v>20296576.576576576</v>
      </c>
      <c r="R377">
        <v>18098558.558558561</v>
      </c>
      <c r="S377">
        <v>1304</v>
      </c>
      <c r="T377">
        <v>785</v>
      </c>
    </row>
    <row r="378" spans="1:20" x14ac:dyDescent="0.35">
      <c r="A378" s="7" t="s">
        <v>480</v>
      </c>
      <c r="B378" s="12" t="s">
        <v>123</v>
      </c>
      <c r="C378">
        <v>453685432.32821792</v>
      </c>
      <c r="D378">
        <v>438455549.7056545</v>
      </c>
      <c r="E378">
        <v>3984684.684684685</v>
      </c>
      <c r="F378">
        <v>3213780.1801801808</v>
      </c>
      <c r="G378">
        <v>90</v>
      </c>
      <c r="H378">
        <v>68</v>
      </c>
      <c r="K378">
        <v>97</v>
      </c>
      <c r="L378">
        <v>73</v>
      </c>
      <c r="M378">
        <v>34020360.360360362</v>
      </c>
      <c r="N378">
        <v>39604714.414414413</v>
      </c>
      <c r="O378">
        <v>170524705.4054054</v>
      </c>
      <c r="P378">
        <v>177439627.02702704</v>
      </c>
      <c r="Q378">
        <v>32404367.567567568</v>
      </c>
      <c r="R378">
        <v>36037700.900900893</v>
      </c>
      <c r="S378">
        <v>6170</v>
      </c>
      <c r="T378">
        <v>5790</v>
      </c>
    </row>
    <row r="379" spans="1:20" x14ac:dyDescent="0.35">
      <c r="A379" s="7" t="s">
        <v>481</v>
      </c>
      <c r="B379" s="12" t="s">
        <v>470</v>
      </c>
      <c r="C379">
        <v>35968637.775387369</v>
      </c>
      <c r="D379">
        <v>36033697.327489376</v>
      </c>
      <c r="E379">
        <v>95495.495495495998</v>
      </c>
      <c r="F379">
        <v>366666.66666666599</v>
      </c>
      <c r="G379">
        <v>3</v>
      </c>
      <c r="H379">
        <v>6</v>
      </c>
      <c r="K379">
        <v>4</v>
      </c>
      <c r="L379">
        <v>6</v>
      </c>
      <c r="M379">
        <v>1897297.297297297</v>
      </c>
      <c r="N379">
        <v>830630.63063062995</v>
      </c>
      <c r="O379">
        <v>4774360.3603603598</v>
      </c>
      <c r="P379">
        <v>4698450.4504504502</v>
      </c>
      <c r="Q379">
        <v>1091801.8018018019</v>
      </c>
      <c r="R379">
        <v>1436576.576576578</v>
      </c>
      <c r="S379">
        <v>653</v>
      </c>
      <c r="T379">
        <v>602</v>
      </c>
    </row>
    <row r="380" spans="1:20" x14ac:dyDescent="0.35">
      <c r="A380" s="7" t="s">
        <v>482</v>
      </c>
      <c r="B380" s="12" t="s">
        <v>167</v>
      </c>
      <c r="C380">
        <v>372759472.34832245</v>
      </c>
      <c r="D380">
        <v>389587036.67304069</v>
      </c>
      <c r="E380">
        <v>4391891.8918918902</v>
      </c>
      <c r="F380">
        <v>9381337.8378378358</v>
      </c>
      <c r="G380">
        <v>323</v>
      </c>
      <c r="H380">
        <v>136</v>
      </c>
      <c r="I380">
        <v>1</v>
      </c>
      <c r="K380">
        <v>417</v>
      </c>
      <c r="L380">
        <v>253</v>
      </c>
      <c r="M380">
        <v>37878775.675675683</v>
      </c>
      <c r="N380">
        <v>163330437.83783782</v>
      </c>
      <c r="O380">
        <v>155283279.27927926</v>
      </c>
      <c r="P380">
        <v>170807189.1891892</v>
      </c>
      <c r="Q380">
        <v>35422432.432432435</v>
      </c>
      <c r="R380">
        <v>158735900.9009009</v>
      </c>
      <c r="S380">
        <v>10107</v>
      </c>
      <c r="T380">
        <v>8517</v>
      </c>
    </row>
    <row r="381" spans="1:20" x14ac:dyDescent="0.35">
      <c r="A381" s="7" t="s">
        <v>483</v>
      </c>
      <c r="B381" s="12" t="s">
        <v>167</v>
      </c>
      <c r="C381">
        <v>419657417.56503975</v>
      </c>
      <c r="D381">
        <v>442792238.65512222</v>
      </c>
      <c r="E381">
        <v>588136272.97297287</v>
      </c>
      <c r="F381">
        <v>757369155.85585582</v>
      </c>
      <c r="G381">
        <v>952</v>
      </c>
      <c r="H381">
        <v>565</v>
      </c>
      <c r="I381">
        <v>1</v>
      </c>
      <c r="K381">
        <v>1675</v>
      </c>
      <c r="L381">
        <v>1196</v>
      </c>
      <c r="M381">
        <v>80477163.06306307</v>
      </c>
      <c r="N381">
        <v>112253813.51351351</v>
      </c>
      <c r="O381">
        <v>167558128.82882884</v>
      </c>
      <c r="P381">
        <v>196522005.4054054</v>
      </c>
      <c r="Q381">
        <v>70668962.16216217</v>
      </c>
      <c r="R381">
        <v>99066169.369369373</v>
      </c>
      <c r="S381">
        <v>10036</v>
      </c>
      <c r="T381">
        <v>9651</v>
      </c>
    </row>
    <row r="382" spans="1:20" x14ac:dyDescent="0.35">
      <c r="A382" s="7" t="s">
        <v>667</v>
      </c>
      <c r="B382" s="12" t="s">
        <v>181</v>
      </c>
      <c r="E382">
        <v>65472972.972972974</v>
      </c>
      <c r="F382">
        <v>217972972.97297296</v>
      </c>
      <c r="M382">
        <v>4530180.1801801799</v>
      </c>
      <c r="N382">
        <v>3722522.5225225231</v>
      </c>
    </row>
    <row r="383" spans="1:20" x14ac:dyDescent="0.35">
      <c r="A383" s="7" t="s">
        <v>484</v>
      </c>
      <c r="B383" s="12" t="s">
        <v>50</v>
      </c>
      <c r="C383">
        <v>255776624.8354331</v>
      </c>
      <c r="D383">
        <v>256919181.41099992</v>
      </c>
      <c r="E383">
        <v>4452252.2522522537</v>
      </c>
      <c r="F383">
        <v>3932704.5045045069</v>
      </c>
      <c r="G383">
        <v>74</v>
      </c>
      <c r="H383">
        <v>47</v>
      </c>
      <c r="K383">
        <v>77</v>
      </c>
      <c r="L383">
        <v>50</v>
      </c>
      <c r="M383">
        <v>49373603.603603601</v>
      </c>
      <c r="N383">
        <v>46647991.891891889</v>
      </c>
      <c r="O383">
        <v>111700583.78378378</v>
      </c>
      <c r="P383">
        <v>116166360.36036037</v>
      </c>
      <c r="Q383">
        <v>47549819.819819815</v>
      </c>
      <c r="R383">
        <v>41580540.540540539</v>
      </c>
      <c r="S383">
        <v>3876</v>
      </c>
      <c r="T383">
        <v>3431</v>
      </c>
    </row>
    <row r="384" spans="1:20" x14ac:dyDescent="0.35">
      <c r="A384" s="7" t="s">
        <v>485</v>
      </c>
      <c r="B384" s="12" t="s">
        <v>134</v>
      </c>
      <c r="C384">
        <v>341158704.05115032</v>
      </c>
      <c r="D384">
        <v>338740747.51625937</v>
      </c>
      <c r="E384">
        <v>4031756.7567567579</v>
      </c>
      <c r="F384">
        <v>2856078.3783783792</v>
      </c>
      <c r="G384">
        <v>71</v>
      </c>
      <c r="H384">
        <v>70</v>
      </c>
      <c r="K384">
        <v>73</v>
      </c>
      <c r="L384">
        <v>78</v>
      </c>
      <c r="M384">
        <v>55130630.630630635</v>
      </c>
      <c r="N384">
        <v>53919864.864864863</v>
      </c>
      <c r="O384">
        <v>65962813.513513513</v>
      </c>
      <c r="P384">
        <v>72340180.180180177</v>
      </c>
      <c r="Q384">
        <v>35464234.234234229</v>
      </c>
      <c r="R384">
        <v>39460540.540540539</v>
      </c>
      <c r="S384">
        <v>4894</v>
      </c>
      <c r="T384">
        <v>4654</v>
      </c>
    </row>
    <row r="385" spans="1:20" x14ac:dyDescent="0.35">
      <c r="A385" s="7" t="s">
        <v>486</v>
      </c>
      <c r="B385" s="12" t="s">
        <v>76</v>
      </c>
      <c r="C385">
        <v>74844270.033121988</v>
      </c>
      <c r="D385">
        <v>91199800.839888871</v>
      </c>
      <c r="E385">
        <v>1639639.63963964</v>
      </c>
      <c r="F385">
        <v>1665281.9819819829</v>
      </c>
      <c r="G385">
        <v>20</v>
      </c>
      <c r="H385">
        <v>29</v>
      </c>
      <c r="K385">
        <v>20</v>
      </c>
      <c r="L385">
        <v>31</v>
      </c>
      <c r="M385">
        <v>17506396.396396395</v>
      </c>
      <c r="N385">
        <v>19373175.675675675</v>
      </c>
      <c r="O385">
        <v>29196485.585585583</v>
      </c>
      <c r="P385">
        <v>31950178.378378376</v>
      </c>
      <c r="Q385">
        <v>15974814.414414415</v>
      </c>
      <c r="R385">
        <v>17489322.522522524</v>
      </c>
      <c r="S385">
        <v>1576</v>
      </c>
      <c r="T385">
        <v>1499</v>
      </c>
    </row>
    <row r="386" spans="1:20" x14ac:dyDescent="0.35">
      <c r="A386" s="7" t="s">
        <v>487</v>
      </c>
      <c r="B386" s="12" t="s">
        <v>307</v>
      </c>
      <c r="C386">
        <v>578464146.44086027</v>
      </c>
      <c r="D386">
        <v>574761477.50408876</v>
      </c>
      <c r="E386">
        <v>7759459.4594594631</v>
      </c>
      <c r="F386">
        <v>8337707.2072072076</v>
      </c>
      <c r="G386">
        <v>232</v>
      </c>
      <c r="H386">
        <v>177</v>
      </c>
      <c r="K386">
        <v>253</v>
      </c>
      <c r="L386">
        <v>202</v>
      </c>
      <c r="M386">
        <v>123583873.87387387</v>
      </c>
      <c r="N386">
        <v>214782429.72972974</v>
      </c>
      <c r="O386">
        <v>244250234.23423424</v>
      </c>
      <c r="P386">
        <v>251819855.85585588</v>
      </c>
      <c r="Q386">
        <v>125386936.93693694</v>
      </c>
      <c r="R386">
        <v>214554549.54954955</v>
      </c>
      <c r="S386">
        <v>15717</v>
      </c>
      <c r="T386">
        <v>11371</v>
      </c>
    </row>
    <row r="387" spans="1:20" x14ac:dyDescent="0.35">
      <c r="A387" s="7" t="s">
        <v>488</v>
      </c>
      <c r="B387" s="12" t="s">
        <v>315</v>
      </c>
      <c r="C387">
        <v>133505026.01154192</v>
      </c>
      <c r="D387">
        <v>126947836.42023747</v>
      </c>
      <c r="E387">
        <v>1985585.585585586</v>
      </c>
      <c r="F387">
        <v>1589890.0900900899</v>
      </c>
      <c r="G387">
        <v>13</v>
      </c>
      <c r="H387">
        <v>10</v>
      </c>
      <c r="K387">
        <v>15</v>
      </c>
      <c r="L387">
        <v>10</v>
      </c>
      <c r="M387">
        <v>59464774.774774775</v>
      </c>
      <c r="N387">
        <v>80302819.819819823</v>
      </c>
      <c r="O387">
        <v>56976882.882882878</v>
      </c>
      <c r="P387">
        <v>52765189.189189196</v>
      </c>
      <c r="Q387">
        <v>55869639.639639638</v>
      </c>
      <c r="R387">
        <v>83873333.333333328</v>
      </c>
      <c r="S387">
        <v>1721</v>
      </c>
      <c r="T387">
        <v>1695</v>
      </c>
    </row>
    <row r="388" spans="1:20" x14ac:dyDescent="0.35">
      <c r="A388" s="7" t="s">
        <v>489</v>
      </c>
      <c r="B388" s="12" t="s">
        <v>181</v>
      </c>
      <c r="C388">
        <v>307144680.88967258</v>
      </c>
      <c r="D388">
        <v>313545286.77186364</v>
      </c>
      <c r="E388">
        <v>1868018.0180180171</v>
      </c>
      <c r="F388">
        <v>3152252.2522522518</v>
      </c>
      <c r="G388">
        <v>163</v>
      </c>
      <c r="H388">
        <v>126</v>
      </c>
      <c r="I388">
        <v>1</v>
      </c>
      <c r="K388">
        <v>229</v>
      </c>
      <c r="L388">
        <v>148</v>
      </c>
      <c r="M388">
        <v>33521981.981981982</v>
      </c>
      <c r="N388">
        <v>41343243.243243247</v>
      </c>
      <c r="O388">
        <v>89599351.351351351</v>
      </c>
      <c r="P388">
        <v>100556790.990991</v>
      </c>
      <c r="Q388">
        <v>33244774.774774775</v>
      </c>
      <c r="R388">
        <v>40909639.639639638</v>
      </c>
      <c r="S388">
        <v>7931</v>
      </c>
      <c r="T388">
        <v>6859</v>
      </c>
    </row>
    <row r="389" spans="1:20" x14ac:dyDescent="0.35">
      <c r="A389" s="7" t="s">
        <v>490</v>
      </c>
      <c r="B389" s="12" t="s">
        <v>220</v>
      </c>
      <c r="C389">
        <v>181676922.03872305</v>
      </c>
      <c r="D389">
        <v>176408693.67842299</v>
      </c>
      <c r="E389">
        <v>102702.702702703</v>
      </c>
      <c r="F389">
        <v>69819.819819819997</v>
      </c>
      <c r="G389">
        <v>62</v>
      </c>
      <c r="H389">
        <v>68</v>
      </c>
      <c r="I389">
        <v>1</v>
      </c>
      <c r="K389">
        <v>71</v>
      </c>
      <c r="L389">
        <v>102</v>
      </c>
      <c r="M389">
        <v>4973333.333333334</v>
      </c>
      <c r="N389">
        <v>1722522.522522524</v>
      </c>
      <c r="O389">
        <v>44633187.387387387</v>
      </c>
      <c r="P389">
        <v>47284430.630630635</v>
      </c>
      <c r="Q389">
        <v>3792522.5225225231</v>
      </c>
      <c r="R389">
        <v>924414.41441441595</v>
      </c>
      <c r="S389">
        <v>4230</v>
      </c>
      <c r="T389">
        <v>4027</v>
      </c>
    </row>
    <row r="390" spans="1:20" x14ac:dyDescent="0.35">
      <c r="A390" s="7" t="s">
        <v>491</v>
      </c>
      <c r="B390" s="12" t="s">
        <v>220</v>
      </c>
      <c r="C390">
        <v>58946594.097280942</v>
      </c>
      <c r="D390">
        <v>45002759.390326723</v>
      </c>
      <c r="E390">
        <v>510810.810810811</v>
      </c>
      <c r="F390">
        <v>101198.198198199</v>
      </c>
      <c r="G390">
        <v>32</v>
      </c>
      <c r="H390">
        <v>12</v>
      </c>
      <c r="I390">
        <v>1</v>
      </c>
      <c r="K390">
        <v>35</v>
      </c>
      <c r="L390">
        <v>16</v>
      </c>
      <c r="M390">
        <v>16202252.252252253</v>
      </c>
      <c r="N390">
        <v>11444125.225225223</v>
      </c>
      <c r="O390">
        <v>17023099.0990991</v>
      </c>
      <c r="P390">
        <v>15968998.198198197</v>
      </c>
      <c r="Q390">
        <v>16048198.198198197</v>
      </c>
      <c r="R390">
        <v>13803783.783783784</v>
      </c>
      <c r="S390">
        <v>1425</v>
      </c>
      <c r="T390">
        <v>1225</v>
      </c>
    </row>
    <row r="391" spans="1:20" x14ac:dyDescent="0.35">
      <c r="A391" s="7" t="s">
        <v>492</v>
      </c>
      <c r="B391" s="12" t="s">
        <v>60</v>
      </c>
      <c r="C391">
        <v>207879847.82484245</v>
      </c>
      <c r="D391">
        <v>211135972.76075822</v>
      </c>
      <c r="E391">
        <v>3012612.6126126172</v>
      </c>
      <c r="F391">
        <v>3840124.3243243271</v>
      </c>
      <c r="G391">
        <v>62</v>
      </c>
      <c r="H391">
        <v>26</v>
      </c>
      <c r="K391">
        <v>90</v>
      </c>
      <c r="L391">
        <v>35</v>
      </c>
      <c r="M391">
        <v>41074504.504504502</v>
      </c>
      <c r="N391">
        <v>67252240.540540546</v>
      </c>
      <c r="O391">
        <v>92477072.072072059</v>
      </c>
      <c r="P391">
        <v>97393369.369369373</v>
      </c>
      <c r="Q391">
        <v>38287567.567567565</v>
      </c>
      <c r="R391">
        <v>63642612.612612605</v>
      </c>
      <c r="S391">
        <v>3840</v>
      </c>
      <c r="T391">
        <v>4173</v>
      </c>
    </row>
    <row r="392" spans="1:20" x14ac:dyDescent="0.35">
      <c r="A392" s="7" t="s">
        <v>493</v>
      </c>
      <c r="B392" s="12" t="s">
        <v>448</v>
      </c>
      <c r="C392">
        <v>248163448.94620192</v>
      </c>
      <c r="D392">
        <v>236478762.23665312</v>
      </c>
      <c r="E392">
        <v>1489189.18918919</v>
      </c>
      <c r="F392">
        <v>5387790.0900900904</v>
      </c>
      <c r="G392">
        <v>175</v>
      </c>
      <c r="H392">
        <v>239</v>
      </c>
      <c r="K392">
        <v>238</v>
      </c>
      <c r="L392">
        <v>287</v>
      </c>
      <c r="M392">
        <v>66121621.621621624</v>
      </c>
      <c r="N392">
        <v>54768832.432432435</v>
      </c>
      <c r="O392">
        <v>89231657.657657668</v>
      </c>
      <c r="P392">
        <v>93296162.162162155</v>
      </c>
      <c r="Q392">
        <v>66051081.081081085</v>
      </c>
      <c r="R392">
        <v>53838738.738738738</v>
      </c>
      <c r="S392">
        <v>5780</v>
      </c>
      <c r="T392">
        <v>4949</v>
      </c>
    </row>
    <row r="393" spans="1:20" x14ac:dyDescent="0.35">
      <c r="A393" s="7" t="s">
        <v>7</v>
      </c>
      <c r="B393" s="12" t="s">
        <v>193</v>
      </c>
      <c r="C393">
        <v>206892343.33871564</v>
      </c>
      <c r="D393">
        <v>201546534.46167859</v>
      </c>
      <c r="E393">
        <v>530630.63063063298</v>
      </c>
      <c r="F393">
        <v>844144.144144146</v>
      </c>
      <c r="G393">
        <v>71</v>
      </c>
      <c r="H393">
        <v>58</v>
      </c>
      <c r="I393">
        <v>1</v>
      </c>
      <c r="K393">
        <v>84</v>
      </c>
      <c r="L393">
        <v>68</v>
      </c>
      <c r="M393">
        <v>38942792.79279279</v>
      </c>
      <c r="N393">
        <v>70136486.486486495</v>
      </c>
      <c r="O393">
        <v>143190450.45045045</v>
      </c>
      <c r="P393">
        <v>135319693.6936937</v>
      </c>
      <c r="Q393">
        <v>38376756.756756753</v>
      </c>
      <c r="R393">
        <v>69285585.585585579</v>
      </c>
      <c r="S393">
        <v>5614</v>
      </c>
      <c r="T393">
        <v>4824</v>
      </c>
    </row>
    <row r="394" spans="1:20" x14ac:dyDescent="0.35">
      <c r="A394" s="7" t="s">
        <v>494</v>
      </c>
      <c r="B394" s="12" t="s">
        <v>330</v>
      </c>
      <c r="C394">
        <v>241165460.64480799</v>
      </c>
      <c r="D394">
        <v>239631935.89016345</v>
      </c>
      <c r="E394">
        <v>885585.58558558498</v>
      </c>
      <c r="F394">
        <v>534351.35135135299</v>
      </c>
      <c r="G394">
        <v>114</v>
      </c>
      <c r="H394">
        <v>121</v>
      </c>
      <c r="K394">
        <v>243</v>
      </c>
      <c r="L394">
        <v>141</v>
      </c>
      <c r="M394">
        <v>22100810.810810812</v>
      </c>
      <c r="N394">
        <v>14392518.018018018</v>
      </c>
      <c r="O394">
        <v>60443081.081081077</v>
      </c>
      <c r="P394">
        <v>61074603.603603601</v>
      </c>
      <c r="Q394">
        <v>21012342.342342339</v>
      </c>
      <c r="R394">
        <v>13250180.180180181</v>
      </c>
      <c r="S394">
        <v>8533</v>
      </c>
      <c r="T394">
        <v>6005</v>
      </c>
    </row>
    <row r="395" spans="1:20" x14ac:dyDescent="0.35">
      <c r="A395" s="7" t="s">
        <v>495</v>
      </c>
      <c r="B395" s="12" t="s">
        <v>330</v>
      </c>
      <c r="C395">
        <v>409641791.30590677</v>
      </c>
      <c r="D395">
        <v>412678397.99465656</v>
      </c>
      <c r="E395">
        <v>3794144.1441441472</v>
      </c>
      <c r="F395">
        <v>818314115.31531537</v>
      </c>
      <c r="G395">
        <v>173</v>
      </c>
      <c r="H395">
        <v>164</v>
      </c>
      <c r="K395">
        <v>194</v>
      </c>
      <c r="L395">
        <v>198</v>
      </c>
      <c r="M395">
        <v>26349054.054054055</v>
      </c>
      <c r="N395">
        <v>27697346.846846849</v>
      </c>
      <c r="O395">
        <v>91637968.468468457</v>
      </c>
      <c r="P395">
        <v>99509574.77477479</v>
      </c>
      <c r="Q395">
        <v>24343603.603603605</v>
      </c>
      <c r="R395">
        <v>27765225.225225225</v>
      </c>
      <c r="S395">
        <v>9743</v>
      </c>
      <c r="T395">
        <v>7349</v>
      </c>
    </row>
    <row r="396" spans="1:20" x14ac:dyDescent="0.35">
      <c r="A396" s="7" t="s">
        <v>496</v>
      </c>
      <c r="B396" s="12" t="s">
        <v>330</v>
      </c>
      <c r="C396">
        <v>412550959.69469357</v>
      </c>
      <c r="D396">
        <v>377185822.09751314</v>
      </c>
      <c r="E396">
        <v>7143693.6936936947</v>
      </c>
      <c r="F396">
        <v>4147600.0000000009</v>
      </c>
      <c r="G396">
        <v>222</v>
      </c>
      <c r="H396">
        <v>218</v>
      </c>
      <c r="K396">
        <v>326</v>
      </c>
      <c r="L396">
        <v>278</v>
      </c>
      <c r="M396">
        <v>49077477.477477483</v>
      </c>
      <c r="N396">
        <v>64190731.531531528</v>
      </c>
      <c r="O396">
        <v>89954612.612612605</v>
      </c>
      <c r="P396">
        <v>91158774.774774775</v>
      </c>
      <c r="Q396">
        <v>46168648.648648649</v>
      </c>
      <c r="R396">
        <v>63868378.378378384</v>
      </c>
      <c r="S396">
        <v>12506</v>
      </c>
      <c r="T396">
        <v>8309</v>
      </c>
    </row>
    <row r="397" spans="1:20" x14ac:dyDescent="0.35">
      <c r="A397" s="7" t="s">
        <v>497</v>
      </c>
      <c r="B397" s="12" t="s">
        <v>330</v>
      </c>
      <c r="C397">
        <v>1842850179.7523313</v>
      </c>
      <c r="D397">
        <v>1485765533.5618551</v>
      </c>
      <c r="E397">
        <v>1503957629.7297299</v>
      </c>
      <c r="F397">
        <v>18160863.063063063</v>
      </c>
      <c r="G397">
        <v>1253</v>
      </c>
      <c r="H397">
        <v>756</v>
      </c>
      <c r="I397">
        <v>3</v>
      </c>
      <c r="K397">
        <v>2342</v>
      </c>
      <c r="L397">
        <v>897</v>
      </c>
      <c r="M397">
        <v>781968799.09909916</v>
      </c>
      <c r="N397">
        <v>907674980.18018019</v>
      </c>
      <c r="O397">
        <v>469057432.43243247</v>
      </c>
      <c r="P397">
        <v>320421171.17117119</v>
      </c>
      <c r="Q397">
        <v>309592612.61261261</v>
      </c>
      <c r="R397">
        <v>849099909.90990984</v>
      </c>
      <c r="S397">
        <v>37367</v>
      </c>
      <c r="T397">
        <v>27410</v>
      </c>
    </row>
    <row r="398" spans="1:20" x14ac:dyDescent="0.35">
      <c r="A398" s="7" t="s">
        <v>498</v>
      </c>
      <c r="B398" s="12" t="s">
        <v>330</v>
      </c>
      <c r="C398">
        <v>1327505799.3058395</v>
      </c>
      <c r="D398">
        <v>1216614937.6927123</v>
      </c>
      <c r="E398">
        <v>15345945.94594595</v>
      </c>
      <c r="F398">
        <v>6042242.3423423423</v>
      </c>
      <c r="G398">
        <v>531</v>
      </c>
      <c r="H398">
        <v>524</v>
      </c>
      <c r="I398">
        <v>3</v>
      </c>
      <c r="K398">
        <v>682</v>
      </c>
      <c r="L398">
        <v>612</v>
      </c>
      <c r="M398">
        <v>346977837.83783782</v>
      </c>
      <c r="N398">
        <v>169718827.02702704</v>
      </c>
      <c r="O398">
        <v>379762344.5945946</v>
      </c>
      <c r="P398">
        <v>321502470.27027029</v>
      </c>
      <c r="Q398">
        <v>338300360.36036038</v>
      </c>
      <c r="R398">
        <v>171409279.27927926</v>
      </c>
      <c r="S398">
        <v>31464</v>
      </c>
      <c r="T398">
        <v>26068</v>
      </c>
    </row>
    <row r="399" spans="1:20" x14ac:dyDescent="0.35">
      <c r="A399" s="7" t="s">
        <v>499</v>
      </c>
      <c r="B399" s="12" t="s">
        <v>143</v>
      </c>
      <c r="C399">
        <v>533530365.38801038</v>
      </c>
      <c r="D399">
        <v>539474198.54547191</v>
      </c>
      <c r="E399">
        <v>110875618.91891892</v>
      </c>
      <c r="F399">
        <v>190082064.86486486</v>
      </c>
      <c r="G399">
        <v>273</v>
      </c>
      <c r="H399">
        <v>89</v>
      </c>
      <c r="K399">
        <v>291</v>
      </c>
      <c r="L399">
        <v>114</v>
      </c>
      <c r="M399">
        <v>78960360.360360354</v>
      </c>
      <c r="N399">
        <v>74173970.270270273</v>
      </c>
      <c r="O399">
        <v>80510556.756756753</v>
      </c>
      <c r="P399">
        <v>97103025.225225225</v>
      </c>
      <c r="Q399">
        <v>31118468.468468469</v>
      </c>
      <c r="R399">
        <v>34207837.837837838</v>
      </c>
      <c r="S399">
        <v>9052</v>
      </c>
      <c r="T399">
        <v>8568</v>
      </c>
    </row>
    <row r="400" spans="1:20" x14ac:dyDescent="0.35">
      <c r="A400" s="7" t="s">
        <v>500</v>
      </c>
      <c r="B400" s="12" t="s">
        <v>220</v>
      </c>
      <c r="C400">
        <v>624830092.62292063</v>
      </c>
      <c r="D400">
        <v>650050883.9678123</v>
      </c>
      <c r="E400">
        <v>10406531.531531533</v>
      </c>
      <c r="F400">
        <v>15258685.58558559</v>
      </c>
      <c r="G400">
        <v>287</v>
      </c>
      <c r="H400">
        <v>336</v>
      </c>
      <c r="I400">
        <v>5</v>
      </c>
      <c r="K400">
        <v>366</v>
      </c>
      <c r="L400">
        <v>468</v>
      </c>
      <c r="M400">
        <v>228715225.22522521</v>
      </c>
      <c r="N400">
        <v>366376023.42342341</v>
      </c>
      <c r="O400">
        <v>191428229.72972974</v>
      </c>
      <c r="P400">
        <v>205212783.78378376</v>
      </c>
      <c r="Q400">
        <v>221420540.54054055</v>
      </c>
      <c r="R400">
        <v>339013963.96396399</v>
      </c>
      <c r="S400">
        <v>20067</v>
      </c>
      <c r="T400">
        <v>11585</v>
      </c>
    </row>
    <row r="401" spans="1:20" x14ac:dyDescent="0.35">
      <c r="A401" s="7" t="s">
        <v>501</v>
      </c>
      <c r="B401" s="12" t="s">
        <v>397</v>
      </c>
      <c r="C401">
        <v>1778090641.0942345</v>
      </c>
      <c r="D401">
        <v>1818160221.4182987</v>
      </c>
      <c r="E401">
        <v>266106727.02702704</v>
      </c>
      <c r="F401">
        <v>386342272.07207209</v>
      </c>
      <c r="G401">
        <v>597</v>
      </c>
      <c r="H401">
        <v>533</v>
      </c>
      <c r="I401">
        <v>1</v>
      </c>
      <c r="K401">
        <v>712</v>
      </c>
      <c r="L401">
        <v>702</v>
      </c>
      <c r="M401">
        <v>198741666.66666666</v>
      </c>
      <c r="N401">
        <v>278310747.74774772</v>
      </c>
      <c r="O401">
        <v>371453852.25225222</v>
      </c>
      <c r="P401">
        <v>401714012.61261261</v>
      </c>
      <c r="Q401">
        <v>185973648.64864865</v>
      </c>
      <c r="R401">
        <v>252527522.52252254</v>
      </c>
      <c r="S401">
        <v>28686</v>
      </c>
      <c r="T401">
        <v>26864</v>
      </c>
    </row>
    <row r="402" spans="1:20" x14ac:dyDescent="0.35">
      <c r="A402" s="7" t="s">
        <v>502</v>
      </c>
      <c r="B402" s="12" t="s">
        <v>70</v>
      </c>
      <c r="C402">
        <v>27712809.868269335</v>
      </c>
      <c r="D402">
        <v>28150316.329799451</v>
      </c>
      <c r="E402">
        <v>295495.49549549603</v>
      </c>
      <c r="F402">
        <v>1427477.4774774769</v>
      </c>
      <c r="G402">
        <v>10</v>
      </c>
      <c r="H402">
        <v>8</v>
      </c>
      <c r="K402">
        <v>10</v>
      </c>
      <c r="L402">
        <v>9</v>
      </c>
      <c r="M402">
        <v>1181981.981981982</v>
      </c>
      <c r="N402">
        <v>4757207.2072072076</v>
      </c>
      <c r="O402">
        <v>19621207.207207207</v>
      </c>
      <c r="P402">
        <v>21334234.234234232</v>
      </c>
      <c r="Q402">
        <v>928648.64864864806</v>
      </c>
      <c r="R402">
        <v>3380990.9909909908</v>
      </c>
      <c r="S402">
        <v>708</v>
      </c>
      <c r="T402">
        <v>674</v>
      </c>
    </row>
    <row r="403" spans="1:20" x14ac:dyDescent="0.35">
      <c r="A403" s="7" t="s">
        <v>503</v>
      </c>
      <c r="B403" s="12" t="s">
        <v>330</v>
      </c>
      <c r="C403">
        <v>762662743.00679314</v>
      </c>
      <c r="D403">
        <v>737525146.02973092</v>
      </c>
      <c r="E403">
        <v>7326351.3513513505</v>
      </c>
      <c r="F403">
        <v>6216021.6216216246</v>
      </c>
      <c r="G403">
        <v>314</v>
      </c>
      <c r="H403">
        <v>236</v>
      </c>
      <c r="K403">
        <v>438</v>
      </c>
      <c r="L403">
        <v>279</v>
      </c>
      <c r="M403">
        <v>118023153.15315315</v>
      </c>
      <c r="N403">
        <v>202996172.97297296</v>
      </c>
      <c r="O403">
        <v>240543414.86486486</v>
      </c>
      <c r="P403">
        <v>192944754.95495495</v>
      </c>
      <c r="Q403">
        <v>115718648.64864865</v>
      </c>
      <c r="R403">
        <v>208489819.81981981</v>
      </c>
      <c r="S403">
        <v>18508</v>
      </c>
      <c r="T403">
        <v>15889</v>
      </c>
    </row>
    <row r="404" spans="1:20" x14ac:dyDescent="0.35">
      <c r="A404" s="7" t="s">
        <v>504</v>
      </c>
      <c r="B404" s="12" t="s">
        <v>283</v>
      </c>
      <c r="C404">
        <v>233461006.09257549</v>
      </c>
      <c r="D404">
        <v>230798914.42581883</v>
      </c>
      <c r="E404">
        <v>254961887.38738739</v>
      </c>
      <c r="F404">
        <v>175199822.52252254</v>
      </c>
      <c r="G404">
        <v>43</v>
      </c>
      <c r="H404">
        <v>13</v>
      </c>
      <c r="K404">
        <v>45</v>
      </c>
      <c r="L404">
        <v>22</v>
      </c>
      <c r="M404">
        <v>43671147.747747742</v>
      </c>
      <c r="N404">
        <v>39366291.891891889</v>
      </c>
      <c r="O404">
        <v>39669837.837837838</v>
      </c>
      <c r="P404">
        <v>44336522.522522517</v>
      </c>
      <c r="Q404">
        <v>15725045.045045044</v>
      </c>
      <c r="R404">
        <v>17442612.612612613</v>
      </c>
      <c r="S404">
        <v>3146</v>
      </c>
      <c r="T404">
        <v>2439</v>
      </c>
    </row>
    <row r="405" spans="1:20" x14ac:dyDescent="0.35">
      <c r="A405" s="7" t="s">
        <v>505</v>
      </c>
      <c r="B405" s="12" t="s">
        <v>260</v>
      </c>
      <c r="C405">
        <v>140773397.6848397</v>
      </c>
      <c r="D405">
        <v>144539118.1613799</v>
      </c>
      <c r="E405">
        <v>109909.90990991</v>
      </c>
      <c r="F405">
        <v>27027.027027028002</v>
      </c>
      <c r="G405">
        <v>6</v>
      </c>
      <c r="H405">
        <v>14</v>
      </c>
      <c r="K405">
        <v>8</v>
      </c>
      <c r="L405">
        <v>16</v>
      </c>
      <c r="M405">
        <v>2042342.3423423441</v>
      </c>
      <c r="N405">
        <v>2810810.8108108109</v>
      </c>
      <c r="O405">
        <v>31785702.702702705</v>
      </c>
      <c r="P405">
        <v>40741863.063063063</v>
      </c>
      <c r="Q405">
        <v>2305945.945945947</v>
      </c>
      <c r="R405">
        <v>3737837.8378378381</v>
      </c>
      <c r="S405">
        <v>2260</v>
      </c>
      <c r="T405">
        <v>2301</v>
      </c>
    </row>
    <row r="406" spans="1:20" x14ac:dyDescent="0.35">
      <c r="A406" s="7" t="s">
        <v>506</v>
      </c>
      <c r="B406" s="12" t="s">
        <v>236</v>
      </c>
      <c r="C406">
        <v>345694634.72485614</v>
      </c>
      <c r="D406">
        <v>332905202.12260723</v>
      </c>
      <c r="E406">
        <v>3698648.6486486509</v>
      </c>
      <c r="F406">
        <v>4063158.5585585628</v>
      </c>
      <c r="G406">
        <v>96</v>
      </c>
      <c r="H406">
        <v>125</v>
      </c>
      <c r="I406">
        <v>1</v>
      </c>
      <c r="K406">
        <v>253</v>
      </c>
      <c r="L406">
        <v>165</v>
      </c>
      <c r="M406">
        <v>96966891.891891882</v>
      </c>
      <c r="N406">
        <v>76670658.558558553</v>
      </c>
      <c r="O406">
        <v>77074171.171171173</v>
      </c>
      <c r="P406">
        <v>79244828.828828827</v>
      </c>
      <c r="Q406">
        <v>93080405.405405402</v>
      </c>
      <c r="R406">
        <v>70761306.306306303</v>
      </c>
      <c r="S406">
        <v>5428</v>
      </c>
      <c r="T406">
        <v>4547</v>
      </c>
    </row>
    <row r="407" spans="1:20" x14ac:dyDescent="0.35">
      <c r="A407" s="7" t="s">
        <v>507</v>
      </c>
      <c r="B407" s="12" t="s">
        <v>134</v>
      </c>
      <c r="C407">
        <v>42537866.966352336</v>
      </c>
      <c r="D407">
        <v>56636862.988040738</v>
      </c>
      <c r="G407">
        <v>2</v>
      </c>
      <c r="H407">
        <v>4</v>
      </c>
      <c r="K407">
        <v>2</v>
      </c>
      <c r="L407">
        <v>4</v>
      </c>
      <c r="O407">
        <v>7512783.7837837841</v>
      </c>
      <c r="P407">
        <v>9958954.9549549557</v>
      </c>
      <c r="S407">
        <v>1312</v>
      </c>
      <c r="T407">
        <v>1139</v>
      </c>
    </row>
    <row r="408" spans="1:20" x14ac:dyDescent="0.35">
      <c r="A408" s="7" t="s">
        <v>508</v>
      </c>
      <c r="B408" s="12" t="s">
        <v>397</v>
      </c>
      <c r="C408">
        <v>364156603.81818783</v>
      </c>
      <c r="D408">
        <v>371325252.65769601</v>
      </c>
      <c r="E408">
        <v>1797747.74774775</v>
      </c>
      <c r="F408">
        <v>1968077.477477479</v>
      </c>
      <c r="G408">
        <v>70</v>
      </c>
      <c r="H408">
        <v>69</v>
      </c>
      <c r="K408">
        <v>91</v>
      </c>
      <c r="L408">
        <v>102</v>
      </c>
      <c r="M408">
        <v>40095945.945945948</v>
      </c>
      <c r="N408">
        <v>40259354.954954959</v>
      </c>
      <c r="O408">
        <v>54015315.315315314</v>
      </c>
      <c r="P408">
        <v>57571927.927927926</v>
      </c>
      <c r="Q408">
        <v>39017837.837837838</v>
      </c>
      <c r="R408">
        <v>34959729.729729727</v>
      </c>
      <c r="S408">
        <v>4669</v>
      </c>
      <c r="T408">
        <v>4440</v>
      </c>
    </row>
    <row r="409" spans="1:20" x14ac:dyDescent="0.35">
      <c r="A409" s="7" t="s">
        <v>509</v>
      </c>
      <c r="B409" s="12" t="s">
        <v>134</v>
      </c>
      <c r="C409">
        <v>400281634.21991199</v>
      </c>
      <c r="D409">
        <v>420191697.79332548</v>
      </c>
      <c r="E409">
        <v>3254054.0540540558</v>
      </c>
      <c r="F409">
        <v>3346647.7477477491</v>
      </c>
      <c r="G409">
        <v>106</v>
      </c>
      <c r="H409">
        <v>89</v>
      </c>
      <c r="K409">
        <v>116</v>
      </c>
      <c r="L409">
        <v>95</v>
      </c>
      <c r="M409">
        <v>37882882.882882878</v>
      </c>
      <c r="N409">
        <v>43665130.630630627</v>
      </c>
      <c r="O409">
        <v>64745353.603603601</v>
      </c>
      <c r="P409">
        <v>71727594.594594598</v>
      </c>
      <c r="Q409">
        <v>30303333.333333336</v>
      </c>
      <c r="R409">
        <v>33584054.054054059</v>
      </c>
      <c r="S409">
        <v>6159</v>
      </c>
      <c r="T409">
        <v>5443</v>
      </c>
    </row>
    <row r="410" spans="1:20" x14ac:dyDescent="0.35">
      <c r="A410" s="7" t="s">
        <v>510</v>
      </c>
      <c r="B410" s="12" t="s">
        <v>134</v>
      </c>
      <c r="C410">
        <v>1104899243.4779158</v>
      </c>
      <c r="D410">
        <v>1131704353.2801132</v>
      </c>
      <c r="E410">
        <v>9387612.6126126163</v>
      </c>
      <c r="F410">
        <v>9675850.4504504558</v>
      </c>
      <c r="G410">
        <v>360</v>
      </c>
      <c r="H410">
        <v>279</v>
      </c>
      <c r="K410">
        <v>426</v>
      </c>
      <c r="L410">
        <v>390</v>
      </c>
      <c r="M410">
        <v>94958558.558558553</v>
      </c>
      <c r="N410">
        <v>103030649.54954955</v>
      </c>
      <c r="O410">
        <v>119614738.73873873</v>
      </c>
      <c r="P410">
        <v>128600711.7117117</v>
      </c>
      <c r="Q410">
        <v>91527837.837837845</v>
      </c>
      <c r="R410">
        <v>89355855.855855852</v>
      </c>
      <c r="S410">
        <v>19446</v>
      </c>
      <c r="T410">
        <v>17970</v>
      </c>
    </row>
    <row r="411" spans="1:20" x14ac:dyDescent="0.35">
      <c r="A411" s="7" t="s">
        <v>8</v>
      </c>
      <c r="B411" s="12" t="s">
        <v>158</v>
      </c>
      <c r="C411">
        <v>295519764.03191042</v>
      </c>
      <c r="D411">
        <v>287413587.27569234</v>
      </c>
      <c r="E411">
        <v>6419819.8198198183</v>
      </c>
      <c r="F411">
        <v>6724681.9819819843</v>
      </c>
      <c r="G411">
        <v>35</v>
      </c>
      <c r="H411">
        <v>59</v>
      </c>
      <c r="K411">
        <v>36</v>
      </c>
      <c r="L411">
        <v>63</v>
      </c>
      <c r="M411">
        <v>49063063.063063063</v>
      </c>
      <c r="N411">
        <v>53050210.810810819</v>
      </c>
      <c r="O411">
        <v>87199500</v>
      </c>
      <c r="P411">
        <v>86734216.216216221</v>
      </c>
      <c r="Q411">
        <v>43423243.24324324</v>
      </c>
      <c r="R411">
        <v>47952882.882882878</v>
      </c>
      <c r="S411">
        <v>4160</v>
      </c>
      <c r="T411">
        <v>3415</v>
      </c>
    </row>
    <row r="412" spans="1:20" x14ac:dyDescent="0.35">
      <c r="A412" s="7" t="s">
        <v>511</v>
      </c>
      <c r="B412" s="12" t="s">
        <v>134</v>
      </c>
      <c r="C412">
        <v>208492012.33923012</v>
      </c>
      <c r="D412">
        <v>235916269.00596207</v>
      </c>
      <c r="E412">
        <v>743243.24324324296</v>
      </c>
      <c r="F412">
        <v>1035164.864864866</v>
      </c>
      <c r="G412">
        <v>14</v>
      </c>
      <c r="H412">
        <v>3</v>
      </c>
      <c r="K412">
        <v>17</v>
      </c>
      <c r="L412">
        <v>4</v>
      </c>
      <c r="M412">
        <v>7049549.5495495498</v>
      </c>
      <c r="N412">
        <v>14594863.063063065</v>
      </c>
      <c r="O412">
        <v>28346144.144144144</v>
      </c>
      <c r="P412">
        <v>34518684.684684686</v>
      </c>
      <c r="Q412">
        <v>5645675.6756756762</v>
      </c>
      <c r="R412">
        <v>7463153.1531531541</v>
      </c>
      <c r="S412">
        <v>3978</v>
      </c>
      <c r="T412">
        <v>3209</v>
      </c>
    </row>
    <row r="413" spans="1:20" x14ac:dyDescent="0.35">
      <c r="A413" s="7" t="s">
        <v>512</v>
      </c>
      <c r="B413" s="12" t="s">
        <v>62</v>
      </c>
      <c r="C413">
        <v>936856483.03108633</v>
      </c>
      <c r="D413">
        <v>918508768.39766169</v>
      </c>
      <c r="E413">
        <v>7253153.1531531624</v>
      </c>
      <c r="F413">
        <v>6259909.0090090111</v>
      </c>
      <c r="G413">
        <v>284</v>
      </c>
      <c r="H413">
        <v>185</v>
      </c>
      <c r="I413">
        <v>1</v>
      </c>
      <c r="K413">
        <v>369</v>
      </c>
      <c r="L413">
        <v>276</v>
      </c>
      <c r="M413">
        <v>119816126.12612613</v>
      </c>
      <c r="N413">
        <v>63753152.252252258</v>
      </c>
      <c r="O413">
        <v>192578469.36936939</v>
      </c>
      <c r="P413">
        <v>198818279.27927926</v>
      </c>
      <c r="Q413">
        <v>118444234.23423424</v>
      </c>
      <c r="R413">
        <v>68271034.234234229</v>
      </c>
      <c r="S413">
        <v>15888</v>
      </c>
      <c r="T413">
        <v>15699</v>
      </c>
    </row>
    <row r="414" spans="1:20" x14ac:dyDescent="0.35">
      <c r="A414" s="7" t="s">
        <v>673</v>
      </c>
      <c r="B414" s="12" t="s">
        <v>105</v>
      </c>
      <c r="E414">
        <v>50000000</v>
      </c>
      <c r="F414">
        <v>132747747.74774775</v>
      </c>
      <c r="M414">
        <v>694594.59459459502</v>
      </c>
      <c r="N414">
        <v>324324.32432432403</v>
      </c>
    </row>
    <row r="415" spans="1:20" x14ac:dyDescent="0.35">
      <c r="A415" s="7" t="s">
        <v>513</v>
      </c>
      <c r="B415" s="12" t="s">
        <v>117</v>
      </c>
      <c r="C415">
        <v>97341278.951202437</v>
      </c>
      <c r="D415">
        <v>83277285.777539298</v>
      </c>
      <c r="E415">
        <v>336936.93693693698</v>
      </c>
      <c r="F415">
        <v>1830630.6306306319</v>
      </c>
      <c r="G415">
        <v>43</v>
      </c>
      <c r="H415">
        <v>41</v>
      </c>
      <c r="K415">
        <v>45</v>
      </c>
      <c r="L415">
        <v>43</v>
      </c>
      <c r="M415">
        <v>3955945.945945946</v>
      </c>
      <c r="N415">
        <v>6539864.8648648662</v>
      </c>
      <c r="O415">
        <v>42159207.20720721</v>
      </c>
      <c r="P415">
        <v>38077414.414414413</v>
      </c>
      <c r="Q415">
        <v>3659369.3693693699</v>
      </c>
      <c r="R415">
        <v>5790675.6756756753</v>
      </c>
      <c r="S415">
        <v>2140</v>
      </c>
      <c r="T415">
        <v>2086</v>
      </c>
    </row>
    <row r="416" spans="1:20" x14ac:dyDescent="0.35">
      <c r="A416" s="7" t="s">
        <v>514</v>
      </c>
      <c r="B416" s="12" t="s">
        <v>304</v>
      </c>
      <c r="C416">
        <v>172364344.03468385</v>
      </c>
      <c r="D416">
        <v>165739430.86301631</v>
      </c>
      <c r="E416">
        <v>2114414.4144144142</v>
      </c>
      <c r="F416">
        <v>1197293.693693694</v>
      </c>
      <c r="G416">
        <v>88</v>
      </c>
      <c r="H416">
        <v>86</v>
      </c>
      <c r="I416">
        <v>2</v>
      </c>
      <c r="K416">
        <v>91</v>
      </c>
      <c r="L416">
        <v>92</v>
      </c>
      <c r="M416">
        <v>15083333.333333332</v>
      </c>
      <c r="N416">
        <v>7589896.3963963967</v>
      </c>
      <c r="O416">
        <v>17044864.864864863</v>
      </c>
      <c r="P416">
        <v>17497459.459459461</v>
      </c>
      <c r="Q416">
        <v>14395135.135135137</v>
      </c>
      <c r="R416">
        <v>6992252.2522522528</v>
      </c>
      <c r="S416">
        <v>2078</v>
      </c>
      <c r="T416">
        <v>1452</v>
      </c>
    </row>
    <row r="417" spans="1:20" x14ac:dyDescent="0.35">
      <c r="A417" s="7" t="s">
        <v>515</v>
      </c>
      <c r="B417" s="12" t="s">
        <v>304</v>
      </c>
      <c r="C417">
        <v>48691557.494401902</v>
      </c>
      <c r="D417">
        <v>52187780.630522668</v>
      </c>
      <c r="E417">
        <v>451351.35135135101</v>
      </c>
      <c r="F417">
        <v>1015642.3423423429</v>
      </c>
      <c r="G417">
        <v>11</v>
      </c>
      <c r="H417">
        <v>11</v>
      </c>
      <c r="K417">
        <v>12</v>
      </c>
      <c r="L417">
        <v>11</v>
      </c>
      <c r="M417">
        <v>5317117.1171171172</v>
      </c>
      <c r="N417">
        <v>8308879.2792792805</v>
      </c>
      <c r="O417">
        <v>6904018.0180180185</v>
      </c>
      <c r="P417">
        <v>8035576.5765765766</v>
      </c>
      <c r="Q417">
        <v>3897477.477477476</v>
      </c>
      <c r="R417">
        <v>5978288.2882882869</v>
      </c>
      <c r="S417">
        <v>941</v>
      </c>
      <c r="T417">
        <v>319</v>
      </c>
    </row>
    <row r="418" spans="1:20" x14ac:dyDescent="0.35">
      <c r="A418" s="7" t="s">
        <v>516</v>
      </c>
      <c r="B418" s="12" t="s">
        <v>304</v>
      </c>
      <c r="C418">
        <v>100248861.11884737</v>
      </c>
      <c r="D418">
        <v>104360897.91011232</v>
      </c>
      <c r="E418">
        <v>770270.27027026704</v>
      </c>
      <c r="F418">
        <v>845206.30630630802</v>
      </c>
      <c r="G418">
        <v>43</v>
      </c>
      <c r="H418">
        <v>43</v>
      </c>
      <c r="K418">
        <v>48</v>
      </c>
      <c r="L418">
        <v>50</v>
      </c>
      <c r="M418">
        <v>5666666.666666667</v>
      </c>
      <c r="N418">
        <v>8136490.0900900885</v>
      </c>
      <c r="O418">
        <v>16040819.819819819</v>
      </c>
      <c r="P418">
        <v>16433585.585585589</v>
      </c>
      <c r="Q418">
        <v>5418738.738738738</v>
      </c>
      <c r="R418">
        <v>7505855.8558558552</v>
      </c>
      <c r="S418">
        <v>1855</v>
      </c>
      <c r="T418">
        <v>1345</v>
      </c>
    </row>
    <row r="419" spans="1:20" x14ac:dyDescent="0.35">
      <c r="A419" s="7" t="s">
        <v>517</v>
      </c>
      <c r="B419" s="12" t="s">
        <v>304</v>
      </c>
      <c r="C419">
        <v>79861079.598439723</v>
      </c>
      <c r="D419">
        <v>78654795.679506242</v>
      </c>
      <c r="E419">
        <v>102702.702702703</v>
      </c>
      <c r="F419">
        <v>354159.45945945999</v>
      </c>
      <c r="G419">
        <v>28</v>
      </c>
      <c r="H419">
        <v>26</v>
      </c>
      <c r="K419">
        <v>28</v>
      </c>
      <c r="L419">
        <v>27</v>
      </c>
      <c r="M419">
        <v>2001801.8018018019</v>
      </c>
      <c r="N419">
        <v>3101581.0810810798</v>
      </c>
      <c r="O419">
        <v>10051612.612612613</v>
      </c>
      <c r="P419">
        <v>11534207.207207208</v>
      </c>
      <c r="Q419">
        <v>1469279.2792792779</v>
      </c>
      <c r="R419">
        <v>1640990.9909909901</v>
      </c>
      <c r="S419">
        <v>1312</v>
      </c>
      <c r="T419">
        <v>732</v>
      </c>
    </row>
    <row r="420" spans="1:20" x14ac:dyDescent="0.35">
      <c r="A420" s="7" t="s">
        <v>518</v>
      </c>
      <c r="B420" s="12" t="s">
        <v>448</v>
      </c>
      <c r="C420">
        <v>82353252.683192775</v>
      </c>
      <c r="D420">
        <v>79791740.376464143</v>
      </c>
      <c r="E420">
        <v>644144.14414414298</v>
      </c>
      <c r="F420">
        <v>1714414.4144144161</v>
      </c>
      <c r="G420">
        <v>22</v>
      </c>
      <c r="H420">
        <v>36</v>
      </c>
      <c r="K420">
        <v>28</v>
      </c>
      <c r="L420">
        <v>43</v>
      </c>
      <c r="M420">
        <v>5917567.5675675673</v>
      </c>
      <c r="N420">
        <v>70094864.864864871</v>
      </c>
      <c r="O420">
        <v>27750984.234234236</v>
      </c>
      <c r="P420">
        <v>28098297.297297299</v>
      </c>
      <c r="Q420">
        <v>5704594.5945945941</v>
      </c>
      <c r="R420">
        <v>70068648.648648649</v>
      </c>
      <c r="S420">
        <v>3308</v>
      </c>
      <c r="T420">
        <v>1705</v>
      </c>
    </row>
    <row r="421" spans="1:20" x14ac:dyDescent="0.35">
      <c r="A421" s="7" t="s">
        <v>519</v>
      </c>
      <c r="B421" s="12" t="s">
        <v>85</v>
      </c>
      <c r="C421">
        <v>252570520.54470301</v>
      </c>
      <c r="D421">
        <v>256231554.41830841</v>
      </c>
      <c r="E421">
        <v>2427027.0270270272</v>
      </c>
      <c r="F421">
        <v>3892623.4234234248</v>
      </c>
      <c r="G421">
        <v>46</v>
      </c>
      <c r="H421">
        <v>23</v>
      </c>
      <c r="K421">
        <v>54</v>
      </c>
      <c r="L421">
        <v>27</v>
      </c>
      <c r="M421">
        <v>61842792.79279279</v>
      </c>
      <c r="N421">
        <v>109607792.79279278</v>
      </c>
      <c r="O421">
        <v>61804241.441441439</v>
      </c>
      <c r="P421">
        <v>69733639.639639646</v>
      </c>
      <c r="Q421">
        <v>52256079.279279277</v>
      </c>
      <c r="R421">
        <v>85570990.990990996</v>
      </c>
      <c r="S421">
        <v>4346</v>
      </c>
      <c r="T421">
        <v>3924</v>
      </c>
    </row>
    <row r="422" spans="1:20" x14ac:dyDescent="0.35">
      <c r="A422" s="7" t="s">
        <v>520</v>
      </c>
      <c r="B422" s="12" t="s">
        <v>304</v>
      </c>
      <c r="C422">
        <v>126755272.6807552</v>
      </c>
      <c r="D422">
        <v>127290027.78302012</v>
      </c>
      <c r="E422">
        <v>264864.86486486503</v>
      </c>
      <c r="F422">
        <v>239163.96396396399</v>
      </c>
      <c r="G422">
        <v>16</v>
      </c>
      <c r="H422">
        <v>18</v>
      </c>
      <c r="K422">
        <v>16</v>
      </c>
      <c r="L422">
        <v>19</v>
      </c>
      <c r="M422">
        <v>8325225.225225226</v>
      </c>
      <c r="N422">
        <v>7313391.8918918921</v>
      </c>
      <c r="O422">
        <v>22324563.063063063</v>
      </c>
      <c r="P422">
        <v>23819666.666666664</v>
      </c>
      <c r="Q422">
        <v>4892792.7927927924</v>
      </c>
      <c r="R422">
        <v>5673063.0630630627</v>
      </c>
      <c r="S422">
        <v>1442</v>
      </c>
      <c r="T422">
        <v>1436</v>
      </c>
    </row>
    <row r="423" spans="1:20" x14ac:dyDescent="0.35">
      <c r="A423" s="7" t="s">
        <v>521</v>
      </c>
      <c r="B423" s="12" t="s">
        <v>399</v>
      </c>
      <c r="C423">
        <v>898716373.37173009</v>
      </c>
      <c r="D423">
        <v>900553703.72525954</v>
      </c>
      <c r="E423">
        <v>13140090.090090096</v>
      </c>
      <c r="F423">
        <v>18721568.468468472</v>
      </c>
      <c r="G423">
        <v>380</v>
      </c>
      <c r="H423">
        <v>239</v>
      </c>
      <c r="I423">
        <v>6</v>
      </c>
      <c r="K423">
        <v>691</v>
      </c>
      <c r="L423">
        <v>1026</v>
      </c>
      <c r="M423">
        <v>145288738.73873875</v>
      </c>
      <c r="N423">
        <v>183539180.18018019</v>
      </c>
      <c r="O423">
        <v>227522463.96396396</v>
      </c>
      <c r="P423">
        <v>236766441.44144145</v>
      </c>
      <c r="Q423">
        <v>132680630.63063063</v>
      </c>
      <c r="R423">
        <v>170055989.1891892</v>
      </c>
      <c r="S423">
        <v>16680</v>
      </c>
      <c r="T423">
        <v>13597</v>
      </c>
    </row>
    <row r="424" spans="1:20" x14ac:dyDescent="0.35">
      <c r="A424" s="7" t="s">
        <v>522</v>
      </c>
      <c r="B424" s="12" t="s">
        <v>143</v>
      </c>
      <c r="C424">
        <v>252954689.04409632</v>
      </c>
      <c r="D424">
        <v>262672460.06528282</v>
      </c>
      <c r="E424">
        <v>591891.89189189195</v>
      </c>
      <c r="F424">
        <v>735093.69369369396</v>
      </c>
      <c r="G424">
        <v>64</v>
      </c>
      <c r="H424">
        <v>21</v>
      </c>
      <c r="K424">
        <v>66</v>
      </c>
      <c r="L424">
        <v>23</v>
      </c>
      <c r="M424">
        <v>14375675.675675675</v>
      </c>
      <c r="N424">
        <v>13350833.333333334</v>
      </c>
      <c r="O424">
        <v>32105315.315315317</v>
      </c>
      <c r="P424">
        <v>32973257.657657657</v>
      </c>
      <c r="Q424">
        <v>14192702.702702705</v>
      </c>
      <c r="R424">
        <v>11928648.648648649</v>
      </c>
      <c r="S424">
        <v>3104</v>
      </c>
      <c r="T424">
        <v>2963</v>
      </c>
    </row>
    <row r="425" spans="1:20" x14ac:dyDescent="0.35">
      <c r="A425" s="7" t="s">
        <v>523</v>
      </c>
      <c r="B425" s="12" t="s">
        <v>66</v>
      </c>
      <c r="C425">
        <v>174623139.19373548</v>
      </c>
      <c r="D425">
        <v>163447158.51181549</v>
      </c>
      <c r="E425">
        <v>5071171.1711711716</v>
      </c>
      <c r="F425">
        <v>5423052.2522522528</v>
      </c>
      <c r="G425">
        <v>40</v>
      </c>
      <c r="H425">
        <v>46</v>
      </c>
      <c r="K425">
        <v>48</v>
      </c>
      <c r="L425">
        <v>50</v>
      </c>
      <c r="M425">
        <v>69107207.207207203</v>
      </c>
      <c r="N425">
        <v>78301044.144144148</v>
      </c>
      <c r="O425">
        <v>83886576.576576576</v>
      </c>
      <c r="P425">
        <v>81014801.801801801</v>
      </c>
      <c r="Q425">
        <v>68162432.432432428</v>
      </c>
      <c r="R425">
        <v>80190945.945945948</v>
      </c>
      <c r="S425">
        <v>5560</v>
      </c>
      <c r="T425">
        <v>3608</v>
      </c>
    </row>
    <row r="426" spans="1:20" x14ac:dyDescent="0.35">
      <c r="A426" s="7" t="s">
        <v>524</v>
      </c>
      <c r="B426" s="12" t="s">
        <v>220</v>
      </c>
      <c r="C426">
        <v>226395728.01134804</v>
      </c>
      <c r="D426">
        <v>225700860.2833696</v>
      </c>
      <c r="E426">
        <v>1332432.432432432</v>
      </c>
      <c r="F426">
        <v>518672.97297297203</v>
      </c>
      <c r="G426">
        <v>83</v>
      </c>
      <c r="H426">
        <v>67</v>
      </c>
      <c r="K426">
        <v>91</v>
      </c>
      <c r="L426">
        <v>73</v>
      </c>
      <c r="M426">
        <v>18192792.792792793</v>
      </c>
      <c r="N426">
        <v>14686808.108108109</v>
      </c>
      <c r="O426">
        <v>57519495.495495498</v>
      </c>
      <c r="P426">
        <v>60301403.603603601</v>
      </c>
      <c r="Q426">
        <v>14838108.108108109</v>
      </c>
      <c r="R426">
        <v>9891756.7567567565</v>
      </c>
      <c r="S426">
        <v>4653</v>
      </c>
      <c r="T426">
        <v>6570</v>
      </c>
    </row>
    <row r="427" spans="1:20" x14ac:dyDescent="0.35">
      <c r="A427" s="7" t="s">
        <v>525</v>
      </c>
      <c r="B427" s="12" t="s">
        <v>413</v>
      </c>
      <c r="C427">
        <v>2499516703.9178247</v>
      </c>
      <c r="D427">
        <v>2518915051.0908775</v>
      </c>
      <c r="E427">
        <v>567042216.21621621</v>
      </c>
      <c r="F427">
        <v>771763384.68468463</v>
      </c>
      <c r="G427">
        <v>865</v>
      </c>
      <c r="H427">
        <v>993</v>
      </c>
      <c r="I427">
        <v>2</v>
      </c>
      <c r="K427">
        <v>1670</v>
      </c>
      <c r="L427">
        <v>1650</v>
      </c>
      <c r="M427">
        <v>493825531.53153151</v>
      </c>
      <c r="N427">
        <v>461692627.92792791</v>
      </c>
      <c r="O427">
        <v>738221563.06306303</v>
      </c>
      <c r="P427">
        <v>808004063.96396387</v>
      </c>
      <c r="Q427">
        <v>500410270.27027029</v>
      </c>
      <c r="R427">
        <v>261663333.33333334</v>
      </c>
      <c r="S427">
        <v>35031</v>
      </c>
      <c r="T427">
        <v>31772</v>
      </c>
    </row>
    <row r="428" spans="1:20" x14ac:dyDescent="0.35">
      <c r="A428" s="7" t="s">
        <v>526</v>
      </c>
      <c r="B428" s="12" t="s">
        <v>413</v>
      </c>
      <c r="C428">
        <v>283049477.3314178</v>
      </c>
      <c r="D428">
        <v>283747574.47588187</v>
      </c>
      <c r="E428">
        <v>123588513.51351352</v>
      </c>
      <c r="F428">
        <v>92175570.270270273</v>
      </c>
      <c r="G428">
        <v>46</v>
      </c>
      <c r="H428">
        <v>34</v>
      </c>
      <c r="K428">
        <v>49</v>
      </c>
      <c r="L428">
        <v>40</v>
      </c>
      <c r="M428">
        <v>19178245.945945945</v>
      </c>
      <c r="N428">
        <v>20386391.891891893</v>
      </c>
      <c r="O428">
        <v>88534891.891891882</v>
      </c>
      <c r="P428">
        <v>92138608.108108118</v>
      </c>
      <c r="Q428">
        <v>14103063.063063065</v>
      </c>
      <c r="R428">
        <v>14412072.072072072</v>
      </c>
      <c r="S428">
        <v>4951</v>
      </c>
      <c r="T428">
        <v>4896</v>
      </c>
    </row>
    <row r="429" spans="1:20" x14ac:dyDescent="0.35">
      <c r="A429" s="7" t="s">
        <v>662</v>
      </c>
      <c r="B429" s="12" t="s">
        <v>189</v>
      </c>
      <c r="C429">
        <v>1860237.05251012</v>
      </c>
      <c r="G429">
        <v>4</v>
      </c>
      <c r="K429">
        <v>5</v>
      </c>
      <c r="O429">
        <v>1074234.2342342341</v>
      </c>
      <c r="S429">
        <v>134</v>
      </c>
    </row>
    <row r="430" spans="1:20" x14ac:dyDescent="0.35">
      <c r="A430" s="7" t="s">
        <v>527</v>
      </c>
      <c r="B430" s="12" t="s">
        <v>147</v>
      </c>
      <c r="C430">
        <v>587981000.34788489</v>
      </c>
      <c r="D430">
        <v>557323886.58094203</v>
      </c>
      <c r="E430">
        <v>11338963.963963967</v>
      </c>
      <c r="F430">
        <v>15030789.189189192</v>
      </c>
      <c r="G430">
        <v>371</v>
      </c>
      <c r="H430">
        <v>226</v>
      </c>
      <c r="K430">
        <v>520</v>
      </c>
      <c r="L430">
        <v>380</v>
      </c>
      <c r="M430">
        <v>180003812.61261261</v>
      </c>
      <c r="N430">
        <v>179825494.5945946</v>
      </c>
      <c r="O430">
        <v>205089827.02702704</v>
      </c>
      <c r="P430">
        <v>208735790.99099097</v>
      </c>
      <c r="Q430">
        <v>173177747.74774775</v>
      </c>
      <c r="R430">
        <v>171722252.25225225</v>
      </c>
      <c r="S430">
        <v>11418</v>
      </c>
      <c r="T430">
        <v>13851</v>
      </c>
    </row>
    <row r="431" spans="1:20" x14ac:dyDescent="0.35">
      <c r="A431" s="7" t="s">
        <v>528</v>
      </c>
      <c r="B431" s="12" t="s">
        <v>121</v>
      </c>
      <c r="C431">
        <v>65770776.458842501</v>
      </c>
      <c r="D431">
        <v>57445028.704005986</v>
      </c>
      <c r="E431">
        <v>521621.62162162102</v>
      </c>
      <c r="F431">
        <v>507436.03603603801</v>
      </c>
      <c r="G431">
        <v>30</v>
      </c>
      <c r="H431">
        <v>38</v>
      </c>
      <c r="K431">
        <v>35</v>
      </c>
      <c r="L431">
        <v>40</v>
      </c>
      <c r="M431">
        <v>5787387.3873873875</v>
      </c>
      <c r="N431">
        <v>5526461.261261262</v>
      </c>
      <c r="O431">
        <v>8166229.7297297297</v>
      </c>
      <c r="P431">
        <v>7846855.8558558561</v>
      </c>
      <c r="Q431">
        <v>5354054.0540540544</v>
      </c>
      <c r="R431">
        <v>5870450.4504504511</v>
      </c>
      <c r="S431">
        <v>1065</v>
      </c>
      <c r="T431">
        <v>984</v>
      </c>
    </row>
    <row r="432" spans="1:20" x14ac:dyDescent="0.35">
      <c r="A432" s="7" t="s">
        <v>529</v>
      </c>
      <c r="B432" s="12" t="s">
        <v>448</v>
      </c>
      <c r="C432">
        <v>123003053.47796768</v>
      </c>
      <c r="D432">
        <v>148076937.41420311</v>
      </c>
      <c r="E432">
        <v>1154054.054054054</v>
      </c>
      <c r="F432">
        <v>2401801.8018018021</v>
      </c>
      <c r="G432">
        <v>132</v>
      </c>
      <c r="H432">
        <v>32</v>
      </c>
      <c r="K432">
        <v>159</v>
      </c>
      <c r="L432">
        <v>34</v>
      </c>
      <c r="M432">
        <v>20897072.072072074</v>
      </c>
      <c r="N432">
        <v>21404954.954954956</v>
      </c>
      <c r="O432">
        <v>60103290.540540546</v>
      </c>
      <c r="P432">
        <v>71927846.846846849</v>
      </c>
      <c r="Q432">
        <v>22683198.198198196</v>
      </c>
      <c r="R432">
        <v>20420360.360360362</v>
      </c>
      <c r="S432">
        <v>2397</v>
      </c>
      <c r="T432">
        <v>2134</v>
      </c>
    </row>
    <row r="433" spans="1:20" x14ac:dyDescent="0.35">
      <c r="A433" s="7" t="s">
        <v>530</v>
      </c>
      <c r="B433" s="12" t="s">
        <v>448</v>
      </c>
      <c r="C433">
        <v>272633694.85361922</v>
      </c>
      <c r="D433">
        <v>273960650.39893717</v>
      </c>
      <c r="E433">
        <v>2817117.1171171162</v>
      </c>
      <c r="F433">
        <v>6814189.18918919</v>
      </c>
      <c r="G433">
        <v>238</v>
      </c>
      <c r="H433">
        <v>336</v>
      </c>
      <c r="K433">
        <v>248</v>
      </c>
      <c r="L433">
        <v>360</v>
      </c>
      <c r="M433">
        <v>58971171.171171166</v>
      </c>
      <c r="N433">
        <v>56518243.24324324</v>
      </c>
      <c r="O433">
        <v>129272945.94594595</v>
      </c>
      <c r="P433">
        <v>131720176.57657658</v>
      </c>
      <c r="Q433">
        <v>58851621.621621624</v>
      </c>
      <c r="R433">
        <v>55537432.432432435</v>
      </c>
      <c r="S433">
        <v>8044</v>
      </c>
      <c r="T433">
        <v>5076</v>
      </c>
    </row>
    <row r="434" spans="1:20" x14ac:dyDescent="0.35">
      <c r="A434" s="7" t="s">
        <v>531</v>
      </c>
      <c r="B434" s="12" t="s">
        <v>123</v>
      </c>
      <c r="C434">
        <v>714668312.72704589</v>
      </c>
      <c r="D434">
        <v>723675604.98721659</v>
      </c>
      <c r="E434">
        <v>321608779.27927929</v>
      </c>
      <c r="F434">
        <v>553701637.83783782</v>
      </c>
      <c r="G434">
        <v>559</v>
      </c>
      <c r="H434">
        <v>441</v>
      </c>
      <c r="I434">
        <v>8</v>
      </c>
      <c r="K434">
        <v>1286</v>
      </c>
      <c r="L434">
        <v>1107</v>
      </c>
      <c r="M434">
        <v>278014144.14414412</v>
      </c>
      <c r="N434">
        <v>431095055.85585588</v>
      </c>
      <c r="O434">
        <v>253441930.63063061</v>
      </c>
      <c r="P434">
        <v>271245831.53153151</v>
      </c>
      <c r="Q434">
        <v>274807747.74774772</v>
      </c>
      <c r="R434">
        <v>430587567.56756753</v>
      </c>
      <c r="S434">
        <v>18423</v>
      </c>
      <c r="T434">
        <v>11740</v>
      </c>
    </row>
    <row r="435" spans="1:20" x14ac:dyDescent="0.35">
      <c r="A435" s="7" t="s">
        <v>532</v>
      </c>
      <c r="B435" s="12" t="s">
        <v>85</v>
      </c>
      <c r="C435">
        <v>210438890.11291</v>
      </c>
      <c r="D435">
        <v>237534909.48693666</v>
      </c>
      <c r="E435">
        <v>2333333.333333334</v>
      </c>
      <c r="F435">
        <v>4119880.1801801822</v>
      </c>
      <c r="G435">
        <v>48</v>
      </c>
      <c r="H435">
        <v>42</v>
      </c>
      <c r="K435">
        <v>56</v>
      </c>
      <c r="L435">
        <v>47</v>
      </c>
      <c r="M435">
        <v>47289729.729729727</v>
      </c>
      <c r="N435">
        <v>88019907.207207203</v>
      </c>
      <c r="O435">
        <v>45566036.036036037</v>
      </c>
      <c r="P435">
        <v>60461279.279279277</v>
      </c>
      <c r="Q435">
        <v>35505315.315315314</v>
      </c>
      <c r="R435">
        <v>70798198.198198199</v>
      </c>
      <c r="S435">
        <v>3779</v>
      </c>
      <c r="T435">
        <v>3740</v>
      </c>
    </row>
    <row r="436" spans="1:20" x14ac:dyDescent="0.35">
      <c r="A436" s="7" t="s">
        <v>9</v>
      </c>
      <c r="B436" s="12" t="s">
        <v>158</v>
      </c>
      <c r="C436">
        <v>563032350.55292141</v>
      </c>
      <c r="D436">
        <v>533068956.22284913</v>
      </c>
      <c r="E436">
        <v>15408427.027027026</v>
      </c>
      <c r="F436">
        <v>17138469.369369369</v>
      </c>
      <c r="G436">
        <v>98</v>
      </c>
      <c r="H436">
        <v>127</v>
      </c>
      <c r="I436">
        <v>1</v>
      </c>
      <c r="K436">
        <v>106</v>
      </c>
      <c r="L436">
        <v>151</v>
      </c>
      <c r="M436">
        <v>791461212.61261261</v>
      </c>
      <c r="N436">
        <v>821123052.25225234</v>
      </c>
      <c r="O436">
        <v>202463612.61261261</v>
      </c>
      <c r="P436">
        <v>193444061.26126125</v>
      </c>
      <c r="Q436">
        <v>706172612.61261261</v>
      </c>
      <c r="R436">
        <v>757542027.02702713</v>
      </c>
      <c r="S436">
        <v>8388</v>
      </c>
      <c r="T436">
        <v>7079</v>
      </c>
    </row>
    <row r="437" spans="1:20" x14ac:dyDescent="0.35">
      <c r="A437" s="7" t="s">
        <v>533</v>
      </c>
      <c r="B437" s="12" t="s">
        <v>94</v>
      </c>
      <c r="C437">
        <v>538542453.7775414</v>
      </c>
      <c r="D437">
        <v>548929653.50203586</v>
      </c>
      <c r="E437">
        <v>1597297.297297301</v>
      </c>
      <c r="F437">
        <v>3112102.702702703</v>
      </c>
      <c r="G437">
        <v>112</v>
      </c>
      <c r="H437">
        <v>133</v>
      </c>
      <c r="K437">
        <v>123</v>
      </c>
      <c r="L437">
        <v>141</v>
      </c>
      <c r="M437">
        <v>50758558.558558561</v>
      </c>
      <c r="N437">
        <v>56934977.477477469</v>
      </c>
      <c r="O437">
        <v>72116117.117117122</v>
      </c>
      <c r="P437">
        <v>82954825.225225225</v>
      </c>
      <c r="Q437">
        <v>33355495.495495494</v>
      </c>
      <c r="R437">
        <v>33916216.216216214</v>
      </c>
      <c r="S437">
        <v>6705</v>
      </c>
      <c r="T437">
        <v>5787</v>
      </c>
    </row>
    <row r="438" spans="1:20" x14ac:dyDescent="0.35">
      <c r="A438" s="7" t="s">
        <v>534</v>
      </c>
      <c r="B438" s="12" t="s">
        <v>304</v>
      </c>
      <c r="C438">
        <v>15294517.320247917</v>
      </c>
      <c r="D438">
        <v>19739170.547957662</v>
      </c>
      <c r="G438">
        <v>7</v>
      </c>
      <c r="H438">
        <v>7</v>
      </c>
      <c r="K438">
        <v>8</v>
      </c>
      <c r="L438">
        <v>7</v>
      </c>
      <c r="O438">
        <v>2705225.2252252251</v>
      </c>
      <c r="P438">
        <v>2431846.8468468469</v>
      </c>
      <c r="S438">
        <v>481</v>
      </c>
      <c r="T438">
        <v>365</v>
      </c>
    </row>
    <row r="439" spans="1:20" x14ac:dyDescent="0.35">
      <c r="A439" s="7" t="s">
        <v>535</v>
      </c>
      <c r="B439" s="12" t="s">
        <v>304</v>
      </c>
      <c r="C439">
        <v>220505725.84713966</v>
      </c>
      <c r="D439">
        <v>211257916.96787539</v>
      </c>
      <c r="E439">
        <v>1221621.621621622</v>
      </c>
      <c r="F439">
        <v>1884681.0810810809</v>
      </c>
      <c r="G439">
        <v>34</v>
      </c>
      <c r="H439">
        <v>40</v>
      </c>
      <c r="K439">
        <v>41</v>
      </c>
      <c r="L439">
        <v>44</v>
      </c>
      <c r="M439">
        <v>18825225.225225225</v>
      </c>
      <c r="N439">
        <v>18977473.873873871</v>
      </c>
      <c r="O439">
        <v>19898378.378378376</v>
      </c>
      <c r="P439">
        <v>18737945.945945945</v>
      </c>
      <c r="Q439">
        <v>9494864.8648648635</v>
      </c>
      <c r="R439">
        <v>10613243.243243244</v>
      </c>
      <c r="S439">
        <v>2945</v>
      </c>
      <c r="T439">
        <v>2655</v>
      </c>
    </row>
    <row r="440" spans="1:20" x14ac:dyDescent="0.35">
      <c r="A440" s="7" t="s">
        <v>536</v>
      </c>
      <c r="B440" s="12" t="s">
        <v>85</v>
      </c>
      <c r="C440">
        <v>197727251.71117356</v>
      </c>
      <c r="D440">
        <v>204013614.18603981</v>
      </c>
      <c r="E440">
        <v>1311711.7117117131</v>
      </c>
      <c r="F440">
        <v>2574834.2342342348</v>
      </c>
      <c r="G440">
        <v>97</v>
      </c>
      <c r="H440">
        <v>213</v>
      </c>
      <c r="I440">
        <v>4</v>
      </c>
      <c r="K440">
        <v>114</v>
      </c>
      <c r="L440">
        <v>241</v>
      </c>
      <c r="M440">
        <v>80499009.009009004</v>
      </c>
      <c r="N440">
        <v>106644880.18018018</v>
      </c>
      <c r="O440">
        <v>85427549.54954955</v>
      </c>
      <c r="P440">
        <v>93741333.333333328</v>
      </c>
      <c r="Q440">
        <v>65413693.693693697</v>
      </c>
      <c r="R440">
        <v>93477747.747747749</v>
      </c>
      <c r="S440">
        <v>3109</v>
      </c>
      <c r="T440">
        <v>3045</v>
      </c>
    </row>
    <row r="441" spans="1:20" x14ac:dyDescent="0.35">
      <c r="A441" s="7" t="s">
        <v>537</v>
      </c>
      <c r="B441" s="12" t="s">
        <v>448</v>
      </c>
      <c r="C441">
        <v>270490396.18504667</v>
      </c>
      <c r="D441">
        <v>257590100.77743053</v>
      </c>
      <c r="E441">
        <v>2704504.5045045051</v>
      </c>
      <c r="F441">
        <v>3561261.2612612639</v>
      </c>
      <c r="G441">
        <v>259</v>
      </c>
      <c r="H441">
        <v>87</v>
      </c>
      <c r="I441">
        <v>3</v>
      </c>
      <c r="K441">
        <v>298</v>
      </c>
      <c r="L441">
        <v>100</v>
      </c>
      <c r="M441">
        <v>27475855.855855856</v>
      </c>
      <c r="N441">
        <v>53817342.342342347</v>
      </c>
      <c r="O441">
        <v>75785863.063063055</v>
      </c>
      <c r="P441">
        <v>77341477.477477476</v>
      </c>
      <c r="Q441">
        <v>28290630.630630627</v>
      </c>
      <c r="R441">
        <v>49896261.261261262</v>
      </c>
      <c r="S441">
        <v>7095</v>
      </c>
      <c r="T441">
        <v>5190</v>
      </c>
    </row>
    <row r="442" spans="1:20" x14ac:dyDescent="0.35">
      <c r="A442" s="7" t="s">
        <v>538</v>
      </c>
      <c r="B442" s="12" t="s">
        <v>117</v>
      </c>
      <c r="C442">
        <v>610630486.17986786</v>
      </c>
      <c r="D442">
        <v>583341053.21604347</v>
      </c>
      <c r="E442">
        <v>13598423.423423428</v>
      </c>
      <c r="F442">
        <v>14726736.936936937</v>
      </c>
      <c r="G442">
        <v>205</v>
      </c>
      <c r="H442">
        <v>205</v>
      </c>
      <c r="K442">
        <v>239</v>
      </c>
      <c r="L442">
        <v>250</v>
      </c>
      <c r="M442">
        <v>136770900</v>
      </c>
      <c r="N442">
        <v>137345919.81981981</v>
      </c>
      <c r="O442">
        <v>346508040.54054052</v>
      </c>
      <c r="P442">
        <v>331669504.5045045</v>
      </c>
      <c r="Q442">
        <v>128503603.6036036</v>
      </c>
      <c r="R442">
        <v>124360855.85585585</v>
      </c>
      <c r="S442">
        <v>12460</v>
      </c>
      <c r="T442">
        <v>11160</v>
      </c>
    </row>
    <row r="443" spans="1:20" x14ac:dyDescent="0.35">
      <c r="A443" s="7" t="s">
        <v>539</v>
      </c>
      <c r="B443" s="12" t="s">
        <v>83</v>
      </c>
      <c r="C443">
        <v>1926220420.8921335</v>
      </c>
      <c r="D443">
        <v>1908640888.0645514</v>
      </c>
      <c r="E443">
        <v>9528005.4054054078</v>
      </c>
      <c r="F443">
        <v>11727684.684684685</v>
      </c>
      <c r="G443">
        <v>363</v>
      </c>
      <c r="H443">
        <v>415</v>
      </c>
      <c r="I443">
        <v>2</v>
      </c>
      <c r="K443">
        <v>403</v>
      </c>
      <c r="L443">
        <v>481</v>
      </c>
      <c r="M443">
        <v>135335666.66666669</v>
      </c>
      <c r="N443">
        <v>131115484.68468469</v>
      </c>
      <c r="O443">
        <v>207178399.54954955</v>
      </c>
      <c r="P443">
        <v>223074304.5045045</v>
      </c>
      <c r="Q443">
        <v>129915358.55855855</v>
      </c>
      <c r="R443">
        <v>111360673.87387387</v>
      </c>
      <c r="S443">
        <v>23221</v>
      </c>
      <c r="T443">
        <v>21673</v>
      </c>
    </row>
    <row r="444" spans="1:20" x14ac:dyDescent="0.35">
      <c r="A444" s="7" t="s">
        <v>540</v>
      </c>
      <c r="B444" s="12" t="s">
        <v>315</v>
      </c>
      <c r="C444">
        <v>231732743.09002292</v>
      </c>
      <c r="D444">
        <v>226971821.6242027</v>
      </c>
      <c r="E444">
        <v>144405954.05405405</v>
      </c>
      <c r="F444">
        <v>199769853.15315315</v>
      </c>
      <c r="G444">
        <v>49</v>
      </c>
      <c r="H444">
        <v>48</v>
      </c>
      <c r="K444">
        <v>52</v>
      </c>
      <c r="L444">
        <v>50</v>
      </c>
      <c r="M444">
        <v>16094594.594594592</v>
      </c>
      <c r="N444">
        <v>57908776.576576576</v>
      </c>
      <c r="O444">
        <v>43746756.75675676</v>
      </c>
      <c r="P444">
        <v>46204351.351351351</v>
      </c>
      <c r="Q444">
        <v>13553513.513513513</v>
      </c>
      <c r="R444">
        <v>42500360.360360362</v>
      </c>
      <c r="S444">
        <v>2725</v>
      </c>
      <c r="T444">
        <v>2604</v>
      </c>
    </row>
    <row r="445" spans="1:20" x14ac:dyDescent="0.35">
      <c r="A445" s="7" t="s">
        <v>541</v>
      </c>
      <c r="B445" s="12" t="s">
        <v>169</v>
      </c>
      <c r="C445">
        <v>1621948950.6101205</v>
      </c>
      <c r="D445">
        <v>1620454604.1849649</v>
      </c>
      <c r="E445">
        <v>5284684.6846846826</v>
      </c>
      <c r="F445">
        <v>8854438.7387387399</v>
      </c>
      <c r="G445">
        <v>204</v>
      </c>
      <c r="H445">
        <v>285</v>
      </c>
      <c r="I445">
        <v>1</v>
      </c>
      <c r="K445">
        <v>244</v>
      </c>
      <c r="L445">
        <v>364</v>
      </c>
      <c r="M445">
        <v>98940968.468468457</v>
      </c>
      <c r="N445">
        <v>109280218.91891891</v>
      </c>
      <c r="O445">
        <v>596944889.63963974</v>
      </c>
      <c r="P445">
        <v>629048297.29729724</v>
      </c>
      <c r="Q445">
        <v>100921711.7117117</v>
      </c>
      <c r="R445">
        <v>107288198.1981982</v>
      </c>
      <c r="S445">
        <v>24046</v>
      </c>
      <c r="T445">
        <v>20059</v>
      </c>
    </row>
    <row r="446" spans="1:20" x14ac:dyDescent="0.35">
      <c r="A446" s="7" t="s">
        <v>542</v>
      </c>
      <c r="B446" s="12" t="s">
        <v>479</v>
      </c>
      <c r="C446">
        <v>513461337.60707259</v>
      </c>
      <c r="D446">
        <v>491200145.03752047</v>
      </c>
      <c r="E446">
        <v>1247747.74774775</v>
      </c>
      <c r="F446">
        <v>2202702.702702703</v>
      </c>
      <c r="G446">
        <v>59</v>
      </c>
      <c r="H446">
        <v>39</v>
      </c>
      <c r="K446">
        <v>65</v>
      </c>
      <c r="L446">
        <v>46</v>
      </c>
      <c r="M446">
        <v>3527027.0270270281</v>
      </c>
      <c r="N446">
        <v>4621621.6216216302</v>
      </c>
      <c r="O446">
        <v>67100567.567567565</v>
      </c>
      <c r="P446">
        <v>84629954.954954967</v>
      </c>
      <c r="Q446">
        <v>2818198.1981981969</v>
      </c>
      <c r="R446">
        <v>3891981.981981989</v>
      </c>
      <c r="S446">
        <v>6909</v>
      </c>
      <c r="T446">
        <v>5455</v>
      </c>
    </row>
    <row r="447" spans="1:20" x14ac:dyDescent="0.35">
      <c r="A447" s="7" t="s">
        <v>543</v>
      </c>
      <c r="B447" s="12" t="s">
        <v>80</v>
      </c>
      <c r="C447">
        <v>125728875.93894355</v>
      </c>
      <c r="D447">
        <v>131678651.52555229</v>
      </c>
      <c r="E447">
        <v>1355405.4054054059</v>
      </c>
      <c r="F447">
        <v>2038270.2702702719</v>
      </c>
      <c r="G447">
        <v>41</v>
      </c>
      <c r="H447">
        <v>11</v>
      </c>
      <c r="K447">
        <v>43</v>
      </c>
      <c r="L447">
        <v>19</v>
      </c>
      <c r="M447">
        <v>30425675.675675675</v>
      </c>
      <c r="N447">
        <v>14421650.450450452</v>
      </c>
      <c r="O447">
        <v>46439774.774774775</v>
      </c>
      <c r="P447">
        <v>48347900.9009009</v>
      </c>
      <c r="Q447">
        <v>30150720.72072072</v>
      </c>
      <c r="R447">
        <v>13784954.954954956</v>
      </c>
      <c r="S447">
        <v>2929</v>
      </c>
      <c r="T447">
        <v>2361</v>
      </c>
    </row>
    <row r="448" spans="1:20" x14ac:dyDescent="0.35">
      <c r="A448" s="7" t="s">
        <v>544</v>
      </c>
      <c r="B448" s="12" t="s">
        <v>169</v>
      </c>
      <c r="C448">
        <v>120327498.4796012</v>
      </c>
      <c r="D448">
        <v>168821239.39813536</v>
      </c>
      <c r="E448">
        <v>277477.47747747699</v>
      </c>
      <c r="F448">
        <v>461261.26126126101</v>
      </c>
      <c r="G448">
        <v>17</v>
      </c>
      <c r="H448">
        <v>5</v>
      </c>
      <c r="K448">
        <v>19</v>
      </c>
      <c r="L448">
        <v>6</v>
      </c>
      <c r="M448">
        <v>1178378.378378378</v>
      </c>
      <c r="N448">
        <v>461261.26126126101</v>
      </c>
      <c r="O448">
        <v>49607691.891891889</v>
      </c>
      <c r="P448">
        <v>62568171.171171166</v>
      </c>
      <c r="Q448">
        <v>825765.76576576603</v>
      </c>
      <c r="R448">
        <v>1236486.4864864871</v>
      </c>
      <c r="S448">
        <v>2424</v>
      </c>
      <c r="T448">
        <v>2376</v>
      </c>
    </row>
    <row r="449" spans="1:20" x14ac:dyDescent="0.35">
      <c r="A449" s="7" t="s">
        <v>545</v>
      </c>
      <c r="B449" s="12" t="s">
        <v>224</v>
      </c>
      <c r="C449">
        <v>23641.878947639001</v>
      </c>
      <c r="D449">
        <v>42313.454668708</v>
      </c>
      <c r="O449">
        <v>16666.666666666999</v>
      </c>
      <c r="P449">
        <v>6081.0810810809999</v>
      </c>
      <c r="S449">
        <v>1</v>
      </c>
    </row>
    <row r="450" spans="1:20" x14ac:dyDescent="0.35">
      <c r="A450" s="7" t="s">
        <v>546</v>
      </c>
      <c r="B450" s="12" t="s">
        <v>136</v>
      </c>
      <c r="C450">
        <v>317336970.60021013</v>
      </c>
      <c r="D450">
        <v>328363728.05295801</v>
      </c>
      <c r="E450">
        <v>1154954.9549549541</v>
      </c>
      <c r="F450">
        <v>3375860.360360363</v>
      </c>
      <c r="G450">
        <v>103</v>
      </c>
      <c r="H450">
        <v>64</v>
      </c>
      <c r="K450">
        <v>108</v>
      </c>
      <c r="L450">
        <v>66</v>
      </c>
      <c r="M450">
        <v>72283783.783783793</v>
      </c>
      <c r="N450">
        <v>78369208.108108118</v>
      </c>
      <c r="O450">
        <v>105237200.9009009</v>
      </c>
      <c r="P450">
        <v>125254259.45945945</v>
      </c>
      <c r="Q450">
        <v>58356486.486486487</v>
      </c>
      <c r="R450">
        <v>61487477.477477483</v>
      </c>
      <c r="S450">
        <v>4475</v>
      </c>
      <c r="T450">
        <v>4160</v>
      </c>
    </row>
    <row r="451" spans="1:20" x14ac:dyDescent="0.35">
      <c r="A451" s="7" t="s">
        <v>547</v>
      </c>
      <c r="B451" s="12" t="s">
        <v>136</v>
      </c>
      <c r="C451">
        <v>591578052.32081187</v>
      </c>
      <c r="D451">
        <v>598456299.01531935</v>
      </c>
      <c r="E451">
        <v>366105607.2072072</v>
      </c>
      <c r="F451">
        <v>499535518.01801807</v>
      </c>
      <c r="G451">
        <v>292</v>
      </c>
      <c r="H451">
        <v>292</v>
      </c>
      <c r="I451">
        <v>7</v>
      </c>
      <c r="K451">
        <v>334</v>
      </c>
      <c r="L451">
        <v>369</v>
      </c>
      <c r="M451">
        <v>146136936.93693691</v>
      </c>
      <c r="N451">
        <v>146166681.98198199</v>
      </c>
      <c r="O451">
        <v>194312146.84684685</v>
      </c>
      <c r="P451">
        <v>206355978.37837836</v>
      </c>
      <c r="Q451">
        <v>123929405.4054054</v>
      </c>
      <c r="R451">
        <v>120603963.96396397</v>
      </c>
      <c r="S451">
        <v>13155</v>
      </c>
      <c r="T451">
        <v>12950</v>
      </c>
    </row>
    <row r="452" spans="1:20" x14ac:dyDescent="0.35">
      <c r="A452" s="7" t="s">
        <v>548</v>
      </c>
      <c r="B452" s="12" t="s">
        <v>136</v>
      </c>
      <c r="C452">
        <v>669095327.55712056</v>
      </c>
      <c r="D452">
        <v>691006375.7884407</v>
      </c>
      <c r="E452">
        <v>4827027.0270270295</v>
      </c>
      <c r="F452">
        <v>3065572.0720720729</v>
      </c>
      <c r="G452">
        <v>105</v>
      </c>
      <c r="H452">
        <v>129</v>
      </c>
      <c r="I452">
        <v>6</v>
      </c>
      <c r="K452">
        <v>118</v>
      </c>
      <c r="L452">
        <v>136</v>
      </c>
      <c r="M452">
        <v>23836036.036036037</v>
      </c>
      <c r="N452">
        <v>29342470.270270273</v>
      </c>
      <c r="O452">
        <v>107874908.10810812</v>
      </c>
      <c r="P452">
        <v>117548311.7117117</v>
      </c>
      <c r="Q452">
        <v>22517567.567567568</v>
      </c>
      <c r="R452">
        <v>23346576.576576576</v>
      </c>
      <c r="S452">
        <v>8849</v>
      </c>
      <c r="T452">
        <v>8754</v>
      </c>
    </row>
    <row r="453" spans="1:20" x14ac:dyDescent="0.35">
      <c r="A453" s="7" t="s">
        <v>549</v>
      </c>
      <c r="B453" s="12" t="s">
        <v>136</v>
      </c>
      <c r="C453">
        <v>281523463.4799698</v>
      </c>
      <c r="D453">
        <v>257580476.58378989</v>
      </c>
      <c r="E453">
        <v>648648.64864864806</v>
      </c>
      <c r="F453">
        <v>1867814.414414413</v>
      </c>
      <c r="G453">
        <v>48</v>
      </c>
      <c r="H453">
        <v>66</v>
      </c>
      <c r="I453">
        <v>1</v>
      </c>
      <c r="K453">
        <v>52</v>
      </c>
      <c r="L453">
        <v>68</v>
      </c>
      <c r="M453">
        <v>19423423.423423424</v>
      </c>
      <c r="N453">
        <v>23101586.486486487</v>
      </c>
      <c r="O453">
        <v>45910243.24324324</v>
      </c>
      <c r="P453">
        <v>49152405.40540541</v>
      </c>
      <c r="Q453">
        <v>16353243.243243244</v>
      </c>
      <c r="R453">
        <v>18642972.97297297</v>
      </c>
      <c r="S453">
        <v>4064</v>
      </c>
      <c r="T453">
        <v>3536</v>
      </c>
    </row>
    <row r="454" spans="1:20" x14ac:dyDescent="0.35">
      <c r="A454" s="7" t="s">
        <v>550</v>
      </c>
      <c r="B454" s="12" t="s">
        <v>87</v>
      </c>
      <c r="C454">
        <v>118792387.54288717</v>
      </c>
      <c r="D454">
        <v>113391449.21693343</v>
      </c>
      <c r="E454">
        <v>158558.55855855899</v>
      </c>
      <c r="F454">
        <v>128336.93693693601</v>
      </c>
      <c r="G454">
        <v>63</v>
      </c>
      <c r="H454">
        <v>31</v>
      </c>
      <c r="K454">
        <v>68</v>
      </c>
      <c r="L454">
        <v>33</v>
      </c>
      <c r="M454">
        <v>6848648.6486486495</v>
      </c>
      <c r="N454">
        <v>5708823.4234234234</v>
      </c>
      <c r="O454">
        <v>19026601.801801801</v>
      </c>
      <c r="P454">
        <v>20118540.540540539</v>
      </c>
      <c r="Q454">
        <v>6769459.4594594594</v>
      </c>
      <c r="R454">
        <v>4826666.666666667</v>
      </c>
      <c r="S454">
        <v>1563</v>
      </c>
      <c r="T454">
        <v>1333</v>
      </c>
    </row>
    <row r="455" spans="1:20" x14ac:dyDescent="0.35">
      <c r="A455" s="7" t="s">
        <v>551</v>
      </c>
      <c r="B455" s="12" t="s">
        <v>87</v>
      </c>
      <c r="C455">
        <v>176268676.97311032</v>
      </c>
      <c r="D455">
        <v>178426529.50215575</v>
      </c>
      <c r="E455">
        <v>558558.55855855905</v>
      </c>
      <c r="F455">
        <v>813824.32432432601</v>
      </c>
      <c r="G455">
        <v>105</v>
      </c>
      <c r="H455">
        <v>69</v>
      </c>
      <c r="I455">
        <v>1</v>
      </c>
      <c r="K455">
        <v>115</v>
      </c>
      <c r="L455">
        <v>76</v>
      </c>
      <c r="M455">
        <v>11924324.324324325</v>
      </c>
      <c r="N455">
        <v>13664860.36036036</v>
      </c>
      <c r="O455">
        <v>24174448.648648649</v>
      </c>
      <c r="P455">
        <v>24179909.909909911</v>
      </c>
      <c r="Q455">
        <v>9418288.2882882878</v>
      </c>
      <c r="R455">
        <v>9802342.3423423432</v>
      </c>
      <c r="S455">
        <v>2838</v>
      </c>
      <c r="T455">
        <v>2599</v>
      </c>
    </row>
    <row r="456" spans="1:20" x14ac:dyDescent="0.35">
      <c r="A456" s="7" t="s">
        <v>552</v>
      </c>
      <c r="B456" s="12" t="s">
        <v>66</v>
      </c>
      <c r="C456">
        <v>354530083.40846878</v>
      </c>
      <c r="D456">
        <v>357421135.31797439</v>
      </c>
      <c r="E456">
        <v>13903603.603603603</v>
      </c>
      <c r="F456">
        <v>20245487.387387391</v>
      </c>
      <c r="G456">
        <v>260</v>
      </c>
      <c r="H456">
        <v>123</v>
      </c>
      <c r="I456">
        <v>1</v>
      </c>
      <c r="K456">
        <v>289</v>
      </c>
      <c r="L456">
        <v>154</v>
      </c>
      <c r="M456">
        <v>229312072.07207206</v>
      </c>
      <c r="N456">
        <v>343656067.56756753</v>
      </c>
      <c r="O456">
        <v>152096795.04504505</v>
      </c>
      <c r="P456">
        <v>151289243.24324322</v>
      </c>
      <c r="Q456">
        <v>226580090.09009007</v>
      </c>
      <c r="R456">
        <v>255882162.16216218</v>
      </c>
      <c r="S456">
        <v>15983</v>
      </c>
      <c r="T456">
        <v>9048</v>
      </c>
    </row>
    <row r="457" spans="1:20" x14ac:dyDescent="0.35">
      <c r="A457" s="7" t="s">
        <v>35</v>
      </c>
      <c r="B457" s="12" t="s">
        <v>158</v>
      </c>
      <c r="E457">
        <v>897914227.02702713</v>
      </c>
      <c r="F457">
        <v>958605512.61261261</v>
      </c>
      <c r="M457">
        <v>72612612.612612605</v>
      </c>
      <c r="N457">
        <v>69819819.819819823</v>
      </c>
    </row>
    <row r="458" spans="1:20" x14ac:dyDescent="0.35">
      <c r="A458" s="7" t="s">
        <v>553</v>
      </c>
      <c r="B458" s="12" t="s">
        <v>554</v>
      </c>
      <c r="C458">
        <v>707976823.00683665</v>
      </c>
      <c r="D458">
        <v>688616822.40807748</v>
      </c>
      <c r="E458">
        <v>43413963.963963971</v>
      </c>
      <c r="F458">
        <v>25152957.657657661</v>
      </c>
      <c r="G458">
        <v>168</v>
      </c>
      <c r="H458">
        <v>88</v>
      </c>
      <c r="I458">
        <v>5</v>
      </c>
      <c r="K458">
        <v>201</v>
      </c>
      <c r="L458">
        <v>99</v>
      </c>
      <c r="M458">
        <v>257414414.41441441</v>
      </c>
      <c r="N458">
        <v>283844388.2882883</v>
      </c>
      <c r="O458">
        <v>194468297.29729727</v>
      </c>
      <c r="P458">
        <v>212865693.6936937</v>
      </c>
      <c r="Q458">
        <v>247832836.03603604</v>
      </c>
      <c r="R458">
        <v>257193513.51351351</v>
      </c>
      <c r="S458">
        <v>9589</v>
      </c>
      <c r="T458">
        <v>8809</v>
      </c>
    </row>
    <row r="459" spans="1:20" x14ac:dyDescent="0.35">
      <c r="A459" s="7" t="s">
        <v>555</v>
      </c>
      <c r="B459" s="12" t="s">
        <v>554</v>
      </c>
      <c r="C459">
        <v>109253334.26862928</v>
      </c>
      <c r="D459">
        <v>107542678.22582859</v>
      </c>
      <c r="E459">
        <v>231310782.88288289</v>
      </c>
      <c r="F459">
        <v>230608618.91891891</v>
      </c>
      <c r="G459">
        <v>38</v>
      </c>
      <c r="H459">
        <v>35</v>
      </c>
      <c r="K459">
        <v>42</v>
      </c>
      <c r="L459">
        <v>43</v>
      </c>
      <c r="M459">
        <v>24630630.630630631</v>
      </c>
      <c r="N459">
        <v>25108594.594594598</v>
      </c>
      <c r="O459">
        <v>39039270.270270273</v>
      </c>
      <c r="P459">
        <v>43636711.711711712</v>
      </c>
      <c r="Q459">
        <v>13274234.234234236</v>
      </c>
      <c r="R459">
        <v>9541351.3513513524</v>
      </c>
      <c r="S459">
        <v>1796</v>
      </c>
      <c r="T459">
        <v>1476</v>
      </c>
    </row>
    <row r="460" spans="1:20" x14ac:dyDescent="0.35">
      <c r="A460" s="7" t="s">
        <v>556</v>
      </c>
      <c r="B460" s="12" t="s">
        <v>121</v>
      </c>
      <c r="C460">
        <v>79803575.249080718</v>
      </c>
      <c r="D460">
        <v>79745700.800296187</v>
      </c>
      <c r="E460">
        <v>450450.45045045001</v>
      </c>
      <c r="F460">
        <v>157657.65765765801</v>
      </c>
      <c r="G460">
        <v>39</v>
      </c>
      <c r="H460">
        <v>36</v>
      </c>
      <c r="K460">
        <v>43</v>
      </c>
      <c r="L460">
        <v>37</v>
      </c>
      <c r="M460">
        <v>450450.45045045001</v>
      </c>
      <c r="N460">
        <v>157657.65765765801</v>
      </c>
      <c r="O460">
        <v>7290441.441441441</v>
      </c>
      <c r="P460">
        <v>10222117.117117116</v>
      </c>
      <c r="Q460">
        <v>243693.69369369399</v>
      </c>
      <c r="R460">
        <v>296396.39639639598</v>
      </c>
      <c r="S460">
        <v>1482</v>
      </c>
      <c r="T460">
        <v>2282</v>
      </c>
    </row>
    <row r="461" spans="1:20" x14ac:dyDescent="0.35">
      <c r="A461" s="7" t="s">
        <v>557</v>
      </c>
      <c r="B461" s="12" t="s">
        <v>70</v>
      </c>
      <c r="C461">
        <v>649594192.84045863</v>
      </c>
      <c r="D461">
        <v>643156267.14885223</v>
      </c>
      <c r="E461">
        <v>8040540.5405405499</v>
      </c>
      <c r="F461">
        <v>17169431.531531535</v>
      </c>
      <c r="G461">
        <v>153</v>
      </c>
      <c r="H461">
        <v>180</v>
      </c>
      <c r="I461">
        <v>1</v>
      </c>
      <c r="K461">
        <v>220</v>
      </c>
      <c r="L461">
        <v>202</v>
      </c>
      <c r="M461">
        <v>99841441.441441447</v>
      </c>
      <c r="N461">
        <v>209084985.58558559</v>
      </c>
      <c r="O461">
        <v>269740288.2882883</v>
      </c>
      <c r="P461">
        <v>270921036.03603601</v>
      </c>
      <c r="Q461">
        <v>89166666.666666672</v>
      </c>
      <c r="R461">
        <v>192059099.0990991</v>
      </c>
      <c r="S461">
        <v>10783</v>
      </c>
      <c r="T461">
        <v>10800</v>
      </c>
    </row>
    <row r="462" spans="1:20" x14ac:dyDescent="0.35">
      <c r="A462" s="7" t="s">
        <v>558</v>
      </c>
      <c r="B462" s="12" t="s">
        <v>62</v>
      </c>
      <c r="C462">
        <v>1177998404.4753673</v>
      </c>
      <c r="D462">
        <v>1179187041.828119</v>
      </c>
      <c r="E462">
        <v>19779279.279279284</v>
      </c>
      <c r="F462">
        <v>27678373.873873878</v>
      </c>
      <c r="G462">
        <v>715</v>
      </c>
      <c r="H462">
        <v>603</v>
      </c>
      <c r="I462">
        <v>14</v>
      </c>
      <c r="K462">
        <v>991</v>
      </c>
      <c r="L462">
        <v>977</v>
      </c>
      <c r="M462">
        <v>163594054.05405405</v>
      </c>
      <c r="N462">
        <v>290181274.77477479</v>
      </c>
      <c r="O462">
        <v>280423049.54954952</v>
      </c>
      <c r="P462">
        <v>309393459.45945948</v>
      </c>
      <c r="Q462">
        <v>159453693.6936937</v>
      </c>
      <c r="R462">
        <v>299047971.17117113</v>
      </c>
      <c r="S462">
        <v>19590</v>
      </c>
      <c r="T462">
        <v>18412</v>
      </c>
    </row>
    <row r="463" spans="1:20" x14ac:dyDescent="0.35">
      <c r="A463" s="7" t="s">
        <v>559</v>
      </c>
      <c r="B463" s="12" t="s">
        <v>479</v>
      </c>
      <c r="C463">
        <v>577324595.2140795</v>
      </c>
      <c r="D463">
        <v>554335653.22721446</v>
      </c>
      <c r="E463">
        <v>7072072.0720720682</v>
      </c>
      <c r="F463">
        <v>4507258.5585585581</v>
      </c>
      <c r="G463">
        <v>350</v>
      </c>
      <c r="H463">
        <v>126</v>
      </c>
      <c r="I463">
        <v>2</v>
      </c>
      <c r="K463">
        <v>375</v>
      </c>
      <c r="L463">
        <v>143</v>
      </c>
      <c r="M463">
        <v>83990180.180180177</v>
      </c>
      <c r="N463">
        <v>88643096.396396399</v>
      </c>
      <c r="O463">
        <v>182152390.09009007</v>
      </c>
      <c r="P463">
        <v>169241936.93693691</v>
      </c>
      <c r="Q463">
        <v>74310810.810810819</v>
      </c>
      <c r="R463">
        <v>89260945.945945948</v>
      </c>
      <c r="S463">
        <v>10159</v>
      </c>
      <c r="T463">
        <v>7661</v>
      </c>
    </row>
    <row r="464" spans="1:20" x14ac:dyDescent="0.35">
      <c r="A464" s="7" t="s">
        <v>560</v>
      </c>
      <c r="B464" s="12" t="s">
        <v>236</v>
      </c>
      <c r="C464">
        <v>95096320.707500458</v>
      </c>
      <c r="D464">
        <v>95224575.870137885</v>
      </c>
      <c r="E464">
        <v>1504504.5045045051</v>
      </c>
      <c r="F464">
        <v>1109848.648648646</v>
      </c>
      <c r="G464">
        <v>40</v>
      </c>
      <c r="H464">
        <v>26</v>
      </c>
      <c r="K464">
        <v>60</v>
      </c>
      <c r="L464">
        <v>30</v>
      </c>
      <c r="M464">
        <v>7145675.6756756743</v>
      </c>
      <c r="N464">
        <v>7956367.5675675664</v>
      </c>
      <c r="O464">
        <v>33924151.351351351</v>
      </c>
      <c r="P464">
        <v>38052063.063063063</v>
      </c>
      <c r="Q464">
        <v>7143693.6936936919</v>
      </c>
      <c r="R464">
        <v>6584819.8198198201</v>
      </c>
      <c r="S464">
        <v>2515</v>
      </c>
      <c r="T464">
        <v>2083</v>
      </c>
    </row>
    <row r="465" spans="1:20" x14ac:dyDescent="0.35">
      <c r="A465" s="7" t="s">
        <v>561</v>
      </c>
      <c r="B465" s="12" t="s">
        <v>60</v>
      </c>
      <c r="C465">
        <v>91234026.064340398</v>
      </c>
      <c r="D465">
        <v>86244993.415755406</v>
      </c>
      <c r="E465">
        <v>3522522.5225225231</v>
      </c>
      <c r="F465">
        <v>2752191.8918918921</v>
      </c>
      <c r="G465">
        <v>29</v>
      </c>
      <c r="H465">
        <v>61</v>
      </c>
      <c r="I465">
        <v>1</v>
      </c>
      <c r="K465">
        <v>85</v>
      </c>
      <c r="L465">
        <v>128</v>
      </c>
      <c r="M465">
        <v>24017117.117117114</v>
      </c>
      <c r="N465">
        <v>117638627.92792793</v>
      </c>
      <c r="O465">
        <v>32086981.981981985</v>
      </c>
      <c r="P465">
        <v>30742837.837837841</v>
      </c>
      <c r="Q465">
        <v>23804504.504504506</v>
      </c>
      <c r="R465">
        <v>116629459.45945945</v>
      </c>
      <c r="S465">
        <v>1972</v>
      </c>
      <c r="T465">
        <v>671</v>
      </c>
    </row>
    <row r="466" spans="1:20" x14ac:dyDescent="0.35">
      <c r="A466" s="7" t="s">
        <v>562</v>
      </c>
      <c r="B466" s="12" t="s">
        <v>563</v>
      </c>
      <c r="C466">
        <v>504623587.62907225</v>
      </c>
      <c r="D466">
        <v>519105861.25254893</v>
      </c>
      <c r="E466">
        <v>1040356502.7027028</v>
      </c>
      <c r="F466">
        <v>544461855.85585582</v>
      </c>
      <c r="G466">
        <v>844</v>
      </c>
      <c r="H466">
        <v>661</v>
      </c>
      <c r="I466">
        <v>3</v>
      </c>
      <c r="K466">
        <v>1254</v>
      </c>
      <c r="L466">
        <v>939</v>
      </c>
      <c r="M466">
        <v>743429475.67567563</v>
      </c>
      <c r="N466">
        <v>664001660.36036026</v>
      </c>
      <c r="O466">
        <v>214362117.11711711</v>
      </c>
      <c r="P466">
        <v>238252594.5945946</v>
      </c>
      <c r="Q466">
        <v>598241526.12612605</v>
      </c>
      <c r="R466">
        <v>888326637.83783782</v>
      </c>
      <c r="S466">
        <v>21554</v>
      </c>
      <c r="T466">
        <v>8719</v>
      </c>
    </row>
    <row r="467" spans="1:20" x14ac:dyDescent="0.35">
      <c r="A467" s="7" t="s">
        <v>564</v>
      </c>
      <c r="B467" s="12" t="s">
        <v>563</v>
      </c>
      <c r="C467">
        <v>693577989.8104471</v>
      </c>
      <c r="D467">
        <v>671949818.13193941</v>
      </c>
      <c r="E467">
        <v>11169369.369369371</v>
      </c>
      <c r="F467">
        <v>16983450.45045045</v>
      </c>
      <c r="G467">
        <v>240</v>
      </c>
      <c r="H467">
        <v>243</v>
      </c>
      <c r="K467">
        <v>270</v>
      </c>
      <c r="L467">
        <v>344</v>
      </c>
      <c r="M467">
        <v>87299199.0990991</v>
      </c>
      <c r="N467">
        <v>121032977.47747749</v>
      </c>
      <c r="O467">
        <v>284523918.91891891</v>
      </c>
      <c r="P467">
        <v>289731981.98198193</v>
      </c>
      <c r="Q467">
        <v>101927252.25225225</v>
      </c>
      <c r="R467">
        <v>120180720.72072072</v>
      </c>
      <c r="S467">
        <v>22047</v>
      </c>
      <c r="T467">
        <v>11992</v>
      </c>
    </row>
    <row r="468" spans="1:20" x14ac:dyDescent="0.35">
      <c r="A468" s="7" t="s">
        <v>565</v>
      </c>
      <c r="B468" s="12" t="s">
        <v>563</v>
      </c>
      <c r="C468">
        <v>495740567.82536054</v>
      </c>
      <c r="D468">
        <v>529540252.99300015</v>
      </c>
      <c r="E468">
        <v>9665945.9459459502</v>
      </c>
      <c r="F468">
        <v>14439761.261261264</v>
      </c>
      <c r="G468">
        <v>385</v>
      </c>
      <c r="H468">
        <v>305</v>
      </c>
      <c r="K468">
        <v>638</v>
      </c>
      <c r="L468">
        <v>611</v>
      </c>
      <c r="M468">
        <v>68987883.783783779</v>
      </c>
      <c r="N468">
        <v>134712248.64864865</v>
      </c>
      <c r="O468">
        <v>220539234.23423424</v>
      </c>
      <c r="P468">
        <v>237939198.1981982</v>
      </c>
      <c r="Q468">
        <v>64680720.720720723</v>
      </c>
      <c r="R468">
        <v>130869324.32432432</v>
      </c>
      <c r="S468">
        <v>26299</v>
      </c>
      <c r="T468">
        <v>11709</v>
      </c>
    </row>
    <row r="469" spans="1:20" x14ac:dyDescent="0.35">
      <c r="A469" s="7" t="s">
        <v>566</v>
      </c>
      <c r="B469" s="12" t="s">
        <v>563</v>
      </c>
      <c r="C469">
        <v>329191957.22408134</v>
      </c>
      <c r="D469">
        <v>346840750.90586114</v>
      </c>
      <c r="E469">
        <v>5778378.3783783801</v>
      </c>
      <c r="F469">
        <v>11877702.702702705</v>
      </c>
      <c r="G469">
        <v>40</v>
      </c>
      <c r="H469">
        <v>105</v>
      </c>
      <c r="K469">
        <v>49</v>
      </c>
      <c r="L469">
        <v>109</v>
      </c>
      <c r="M469">
        <v>65141502.702702701</v>
      </c>
      <c r="N469">
        <v>91735360.360360369</v>
      </c>
      <c r="O469">
        <v>196011090.09009007</v>
      </c>
      <c r="P469">
        <v>196580171.17117116</v>
      </c>
      <c r="Q469">
        <v>65367837.837837838</v>
      </c>
      <c r="R469">
        <v>93799054.054054052</v>
      </c>
      <c r="S469">
        <v>8670</v>
      </c>
      <c r="T469">
        <v>6404</v>
      </c>
    </row>
    <row r="470" spans="1:20" x14ac:dyDescent="0.35">
      <c r="A470" s="7" t="s">
        <v>567</v>
      </c>
      <c r="B470" s="12" t="s">
        <v>563</v>
      </c>
      <c r="C470">
        <v>191240168.38226503</v>
      </c>
      <c r="D470">
        <v>193887207.12525529</v>
      </c>
      <c r="E470">
        <v>119005945.94594593</v>
      </c>
      <c r="F470">
        <v>466620900.9009009</v>
      </c>
      <c r="G470">
        <v>59</v>
      </c>
      <c r="H470">
        <v>51</v>
      </c>
      <c r="I470">
        <v>3</v>
      </c>
      <c r="K470">
        <v>71</v>
      </c>
      <c r="L470">
        <v>118</v>
      </c>
      <c r="M470">
        <v>229195037.83783782</v>
      </c>
      <c r="N470">
        <v>90655500</v>
      </c>
      <c r="O470">
        <v>77858052.252252251</v>
      </c>
      <c r="P470">
        <v>84889099.0990991</v>
      </c>
      <c r="Q470">
        <v>201077612.61261261</v>
      </c>
      <c r="R470">
        <v>78385090.090090096</v>
      </c>
      <c r="S470">
        <v>9971</v>
      </c>
      <c r="T470">
        <v>4843</v>
      </c>
    </row>
    <row r="471" spans="1:20" x14ac:dyDescent="0.35">
      <c r="A471" s="7" t="s">
        <v>568</v>
      </c>
      <c r="B471" s="12" t="s">
        <v>48</v>
      </c>
      <c r="C471">
        <v>433735028.42861676</v>
      </c>
      <c r="D471">
        <v>417254762.56843603</v>
      </c>
      <c r="E471">
        <v>1567567.567567568</v>
      </c>
      <c r="F471">
        <v>1658381.981981982</v>
      </c>
      <c r="G471">
        <v>64</v>
      </c>
      <c r="H471">
        <v>21</v>
      </c>
      <c r="K471">
        <v>68</v>
      </c>
      <c r="L471">
        <v>23</v>
      </c>
      <c r="M471">
        <v>19018018.018018018</v>
      </c>
      <c r="N471">
        <v>14114608.108108109</v>
      </c>
      <c r="O471">
        <v>53430598.198198199</v>
      </c>
      <c r="P471">
        <v>57252466.666666664</v>
      </c>
      <c r="Q471">
        <v>21460900.900900904</v>
      </c>
      <c r="R471">
        <v>17779863.063063063</v>
      </c>
      <c r="S471">
        <v>6399</v>
      </c>
      <c r="T471">
        <v>6123</v>
      </c>
    </row>
    <row r="472" spans="1:20" x14ac:dyDescent="0.35">
      <c r="A472" s="7" t="s">
        <v>569</v>
      </c>
      <c r="B472" s="12" t="s">
        <v>169</v>
      </c>
      <c r="C472">
        <v>5587182535.4349546</v>
      </c>
      <c r="D472">
        <v>5434422506.3109522</v>
      </c>
      <c r="E472">
        <v>3351695626.1261263</v>
      </c>
      <c r="F472">
        <v>5331220255.8558559</v>
      </c>
      <c r="G472">
        <v>2145</v>
      </c>
      <c r="H472">
        <v>2177</v>
      </c>
      <c r="I472">
        <v>13</v>
      </c>
      <c r="K472">
        <v>2695</v>
      </c>
      <c r="L472">
        <v>3735</v>
      </c>
      <c r="M472">
        <v>885300639.63963974</v>
      </c>
      <c r="N472">
        <v>1889114591.891892</v>
      </c>
      <c r="O472">
        <v>3244649174.7747746</v>
      </c>
      <c r="P472">
        <v>5650911468.4684687</v>
      </c>
      <c r="Q472">
        <v>867717517.11711717</v>
      </c>
      <c r="R472">
        <v>1826092877.4774773</v>
      </c>
      <c r="S472">
        <v>59776</v>
      </c>
      <c r="T472">
        <v>58234</v>
      </c>
    </row>
    <row r="473" spans="1:20" x14ac:dyDescent="0.35">
      <c r="A473" s="7" t="s">
        <v>674</v>
      </c>
      <c r="B473" s="12" t="s">
        <v>214</v>
      </c>
      <c r="E473">
        <v>99977477.477477476</v>
      </c>
      <c r="F473">
        <v>232567567.56756756</v>
      </c>
      <c r="M473">
        <v>1830630.630630631</v>
      </c>
      <c r="N473">
        <v>50675.675675676001</v>
      </c>
    </row>
    <row r="474" spans="1:20" x14ac:dyDescent="0.35">
      <c r="A474" s="7" t="s">
        <v>570</v>
      </c>
      <c r="B474" s="12" t="s">
        <v>220</v>
      </c>
      <c r="C474">
        <v>376294391.35587192</v>
      </c>
      <c r="D474">
        <v>381255653.69722569</v>
      </c>
      <c r="E474">
        <v>199819819.81981981</v>
      </c>
      <c r="F474">
        <v>272041076.57657659</v>
      </c>
      <c r="G474">
        <v>36</v>
      </c>
      <c r="H474">
        <v>48</v>
      </c>
      <c r="K474">
        <v>38</v>
      </c>
      <c r="L474">
        <v>52</v>
      </c>
      <c r="M474">
        <v>39176756.756756753</v>
      </c>
      <c r="N474">
        <v>24667236.036036037</v>
      </c>
      <c r="O474">
        <v>61494756.756756753</v>
      </c>
      <c r="P474">
        <v>69656376.576576576</v>
      </c>
      <c r="Q474">
        <v>20507657.657657657</v>
      </c>
      <c r="R474">
        <v>24412972.972972974</v>
      </c>
      <c r="S474">
        <v>4837</v>
      </c>
      <c r="T474">
        <v>5351</v>
      </c>
    </row>
    <row r="475" spans="1:20" x14ac:dyDescent="0.35">
      <c r="A475" s="7" t="s">
        <v>571</v>
      </c>
      <c r="B475" s="12" t="s">
        <v>85</v>
      </c>
      <c r="C475">
        <v>465829987.82333213</v>
      </c>
      <c r="D475">
        <v>504771499.0136587</v>
      </c>
      <c r="E475">
        <v>1045945.945945947</v>
      </c>
      <c r="F475">
        <v>5784459.4594594594</v>
      </c>
      <c r="G475">
        <v>61</v>
      </c>
      <c r="H475">
        <v>30</v>
      </c>
      <c r="K475">
        <v>65</v>
      </c>
      <c r="L475">
        <v>32</v>
      </c>
      <c r="M475">
        <v>63561339.639639638</v>
      </c>
      <c r="N475">
        <v>108870540.54054055</v>
      </c>
      <c r="O475">
        <v>105395554.95495497</v>
      </c>
      <c r="P475">
        <v>125055178.37837839</v>
      </c>
      <c r="Q475">
        <v>47622162.16216217</v>
      </c>
      <c r="R475">
        <v>88725675.675675675</v>
      </c>
      <c r="S475">
        <v>5312</v>
      </c>
      <c r="T475">
        <v>5023</v>
      </c>
    </row>
    <row r="476" spans="1:20" x14ac:dyDescent="0.35">
      <c r="A476" s="7" t="s">
        <v>572</v>
      </c>
      <c r="B476" s="12" t="s">
        <v>479</v>
      </c>
      <c r="C476">
        <v>254861468.21594846</v>
      </c>
      <c r="D476">
        <v>218304561.16671953</v>
      </c>
      <c r="E476">
        <v>4816216.2162162066</v>
      </c>
      <c r="F476">
        <v>4409130.6306306357</v>
      </c>
      <c r="G476">
        <v>212</v>
      </c>
      <c r="H476">
        <v>117</v>
      </c>
      <c r="K476">
        <v>239</v>
      </c>
      <c r="L476">
        <v>159</v>
      </c>
      <c r="M476">
        <v>47470720.720720723</v>
      </c>
      <c r="N476">
        <v>61695954.954954952</v>
      </c>
      <c r="O476">
        <v>108928318.91891891</v>
      </c>
      <c r="P476">
        <v>96981837.837837845</v>
      </c>
      <c r="Q476">
        <v>45189279.279279292</v>
      </c>
      <c r="R476">
        <v>59942612.612612613</v>
      </c>
      <c r="S476">
        <v>11418</v>
      </c>
      <c r="T476">
        <v>5632</v>
      </c>
    </row>
    <row r="477" spans="1:20" x14ac:dyDescent="0.35">
      <c r="A477" s="7" t="s">
        <v>573</v>
      </c>
      <c r="B477" s="12" t="s">
        <v>94</v>
      </c>
      <c r="C477">
        <v>623731002.23255408</v>
      </c>
      <c r="D477">
        <v>645523064.40065861</v>
      </c>
      <c r="E477">
        <v>3748648.6486486509</v>
      </c>
      <c r="F477">
        <v>6884779.2792792805</v>
      </c>
      <c r="G477">
        <v>134</v>
      </c>
      <c r="H477">
        <v>229</v>
      </c>
      <c r="I477">
        <v>2</v>
      </c>
      <c r="K477">
        <v>161</v>
      </c>
      <c r="L477">
        <v>370</v>
      </c>
      <c r="M477">
        <v>871476126.12612605</v>
      </c>
      <c r="N477">
        <v>205227126.12612611</v>
      </c>
      <c r="O477">
        <v>132377270.72072072</v>
      </c>
      <c r="P477">
        <v>145550556.75675678</v>
      </c>
      <c r="Q477">
        <v>54992522.522522517</v>
      </c>
      <c r="R477">
        <v>53525225.225225225</v>
      </c>
      <c r="S477">
        <v>10128</v>
      </c>
      <c r="T477">
        <v>9690</v>
      </c>
    </row>
    <row r="478" spans="1:20" x14ac:dyDescent="0.35">
      <c r="A478" s="7" t="s">
        <v>574</v>
      </c>
      <c r="B478" s="12" t="s">
        <v>307</v>
      </c>
      <c r="C478">
        <v>1456794773.1296108</v>
      </c>
      <c r="D478">
        <v>1467465152.0831671</v>
      </c>
      <c r="E478">
        <v>31437567.567567579</v>
      </c>
      <c r="F478">
        <v>36505061.261261262</v>
      </c>
      <c r="G478">
        <v>877</v>
      </c>
      <c r="H478">
        <v>592</v>
      </c>
      <c r="I478">
        <v>5</v>
      </c>
      <c r="K478">
        <v>1009</v>
      </c>
      <c r="L478">
        <v>692</v>
      </c>
      <c r="M478">
        <v>2022299594.5945945</v>
      </c>
      <c r="N478">
        <v>816738000.90090084</v>
      </c>
      <c r="O478">
        <v>597312651.8018018</v>
      </c>
      <c r="P478">
        <v>615634090.09009016</v>
      </c>
      <c r="Q478">
        <v>437600855.85585588</v>
      </c>
      <c r="R478">
        <v>482165045.04504508</v>
      </c>
      <c r="S478">
        <v>43343</v>
      </c>
      <c r="T478">
        <v>30839</v>
      </c>
    </row>
    <row r="479" spans="1:20" x14ac:dyDescent="0.35">
      <c r="A479" s="7" t="s">
        <v>10</v>
      </c>
      <c r="B479" s="12" t="s">
        <v>193</v>
      </c>
      <c r="C479">
        <v>237898247.34620002</v>
      </c>
      <c r="D479">
        <v>229537143.34768772</v>
      </c>
      <c r="F479">
        <v>20268.468468469</v>
      </c>
      <c r="G479">
        <v>34</v>
      </c>
      <c r="H479">
        <v>24</v>
      </c>
      <c r="K479">
        <v>36</v>
      </c>
      <c r="L479">
        <v>30</v>
      </c>
      <c r="N479">
        <v>21335.135135134999</v>
      </c>
      <c r="O479">
        <v>142317223.42342341</v>
      </c>
      <c r="P479">
        <v>137361405.4054054</v>
      </c>
      <c r="Q479">
        <v>19639.639639640001</v>
      </c>
      <c r="R479">
        <v>606216.21621621598</v>
      </c>
      <c r="S479">
        <v>4626</v>
      </c>
      <c r="T479">
        <v>3530</v>
      </c>
    </row>
    <row r="480" spans="1:20" x14ac:dyDescent="0.35">
      <c r="A480" s="7" t="s">
        <v>575</v>
      </c>
      <c r="B480" s="12" t="s">
        <v>87</v>
      </c>
      <c r="C480">
        <v>5101632.5370513843</v>
      </c>
      <c r="D480">
        <v>5858947.5035570534</v>
      </c>
      <c r="G480">
        <v>27</v>
      </c>
      <c r="H480">
        <v>19</v>
      </c>
      <c r="K480">
        <v>29</v>
      </c>
      <c r="L480">
        <v>21</v>
      </c>
      <c r="O480">
        <v>1899520.7207207209</v>
      </c>
      <c r="P480">
        <v>2236756.7567567569</v>
      </c>
      <c r="S480">
        <v>267</v>
      </c>
      <c r="T480">
        <v>199</v>
      </c>
    </row>
    <row r="481" spans="1:20" x14ac:dyDescent="0.35">
      <c r="A481" s="7" t="s">
        <v>576</v>
      </c>
      <c r="B481" s="12" t="s">
        <v>283</v>
      </c>
      <c r="C481">
        <v>334973738.9377839</v>
      </c>
      <c r="D481">
        <v>343189016.36229485</v>
      </c>
      <c r="E481">
        <v>448648.64864864899</v>
      </c>
      <c r="F481">
        <v>528828.82882882899</v>
      </c>
      <c r="G481">
        <v>66</v>
      </c>
      <c r="H481">
        <v>10</v>
      </c>
      <c r="I481">
        <v>1</v>
      </c>
      <c r="K481">
        <v>68</v>
      </c>
      <c r="L481">
        <v>15</v>
      </c>
      <c r="M481">
        <v>21673873.873873871</v>
      </c>
      <c r="N481">
        <v>22389909.909909908</v>
      </c>
      <c r="O481">
        <v>52380288.288288288</v>
      </c>
      <c r="P481">
        <v>50945846.846846849</v>
      </c>
      <c r="Q481">
        <v>21988198.198198199</v>
      </c>
      <c r="R481">
        <v>20860900.9009009</v>
      </c>
      <c r="S481">
        <v>3721</v>
      </c>
      <c r="T481">
        <v>3612</v>
      </c>
    </row>
    <row r="482" spans="1:20" x14ac:dyDescent="0.35">
      <c r="A482" s="7" t="s">
        <v>577</v>
      </c>
      <c r="B482" s="12" t="s">
        <v>307</v>
      </c>
      <c r="C482">
        <v>1436646213.2733967</v>
      </c>
      <c r="D482">
        <v>1431980606.6229899</v>
      </c>
      <c r="E482">
        <v>600078828.82882881</v>
      </c>
      <c r="F482">
        <v>865826097.29729724</v>
      </c>
      <c r="G482">
        <v>739</v>
      </c>
      <c r="H482">
        <v>574</v>
      </c>
      <c r="K482">
        <v>839</v>
      </c>
      <c r="L482">
        <v>684</v>
      </c>
      <c r="M482">
        <v>173660360.36036035</v>
      </c>
      <c r="N482">
        <v>699326513.51351345</v>
      </c>
      <c r="O482">
        <v>598531909.90990984</v>
      </c>
      <c r="P482">
        <v>608803149.54954958</v>
      </c>
      <c r="Q482">
        <v>161559459.45945945</v>
      </c>
      <c r="R482">
        <v>468807297.2972973</v>
      </c>
      <c r="S482">
        <v>60735</v>
      </c>
      <c r="T482">
        <v>37754</v>
      </c>
    </row>
    <row r="483" spans="1:20" x14ac:dyDescent="0.35">
      <c r="A483" s="7" t="s">
        <v>578</v>
      </c>
      <c r="B483" s="12" t="s">
        <v>330</v>
      </c>
      <c r="C483">
        <v>1324982307.33448</v>
      </c>
      <c r="D483">
        <v>1312553660.4379296</v>
      </c>
      <c r="E483">
        <v>14215315.31531531</v>
      </c>
      <c r="F483">
        <v>10194076.576576579</v>
      </c>
      <c r="G483">
        <v>517</v>
      </c>
      <c r="H483">
        <v>515</v>
      </c>
      <c r="I483">
        <v>21</v>
      </c>
      <c r="K483">
        <v>763</v>
      </c>
      <c r="L483">
        <v>619</v>
      </c>
      <c r="M483">
        <v>300024954.95495492</v>
      </c>
      <c r="N483">
        <v>346053926.12612617</v>
      </c>
      <c r="O483">
        <v>284380736.93693691</v>
      </c>
      <c r="P483">
        <v>296361854.05405408</v>
      </c>
      <c r="Q483">
        <v>296773693.6936937</v>
      </c>
      <c r="R483">
        <v>341221891.8918919</v>
      </c>
      <c r="S483">
        <v>37101</v>
      </c>
      <c r="T483">
        <v>28992</v>
      </c>
    </row>
    <row r="484" spans="1:20" x14ac:dyDescent="0.35">
      <c r="A484" s="7" t="s">
        <v>579</v>
      </c>
      <c r="B484" s="12" t="s">
        <v>66</v>
      </c>
      <c r="C484">
        <v>205148651.54993221</v>
      </c>
      <c r="D484">
        <v>198507526.19241652</v>
      </c>
      <c r="E484">
        <v>453603.60360360402</v>
      </c>
      <c r="F484">
        <v>90990.990990991006</v>
      </c>
      <c r="G484">
        <v>35</v>
      </c>
      <c r="H484">
        <v>27</v>
      </c>
      <c r="K484">
        <v>36</v>
      </c>
      <c r="L484">
        <v>29</v>
      </c>
      <c r="M484">
        <v>5806756.7567567592</v>
      </c>
      <c r="N484">
        <v>4011261.2612612578</v>
      </c>
      <c r="O484">
        <v>54573644.144144148</v>
      </c>
      <c r="P484">
        <v>50539432.432432435</v>
      </c>
      <c r="Q484">
        <v>5588918.9189189216</v>
      </c>
      <c r="R484">
        <v>5023153.1531531503</v>
      </c>
      <c r="S484">
        <v>5221</v>
      </c>
      <c r="T484">
        <v>3781</v>
      </c>
    </row>
    <row r="485" spans="1:20" x14ac:dyDescent="0.35">
      <c r="A485" s="7" t="s">
        <v>580</v>
      </c>
      <c r="B485" s="12" t="s">
        <v>236</v>
      </c>
      <c r="C485">
        <v>12054.226154081</v>
      </c>
      <c r="D485">
        <v>43687.049534122001</v>
      </c>
      <c r="E485">
        <v>195315519.81981981</v>
      </c>
      <c r="F485">
        <v>263484989.1891892</v>
      </c>
      <c r="M485">
        <v>25801801.801801801</v>
      </c>
      <c r="N485">
        <v>12512882.882882884</v>
      </c>
      <c r="P485">
        <v>34234.234234233998</v>
      </c>
    </row>
    <row r="486" spans="1:20" x14ac:dyDescent="0.35">
      <c r="A486" s="7" t="s">
        <v>581</v>
      </c>
      <c r="B486" s="12" t="s">
        <v>62</v>
      </c>
      <c r="C486">
        <v>529332644.93349761</v>
      </c>
      <c r="D486">
        <v>524499679.2203418</v>
      </c>
      <c r="E486">
        <v>5346846.8468468562</v>
      </c>
      <c r="F486">
        <v>5000700.0000000084</v>
      </c>
      <c r="G486">
        <v>293</v>
      </c>
      <c r="H486">
        <v>104</v>
      </c>
      <c r="K486">
        <v>297</v>
      </c>
      <c r="L486">
        <v>234</v>
      </c>
      <c r="M486">
        <v>103216396.3963964</v>
      </c>
      <c r="N486">
        <v>56788113.513513513</v>
      </c>
      <c r="O486">
        <v>119724891.89189188</v>
      </c>
      <c r="P486">
        <v>132715720.72072072</v>
      </c>
      <c r="Q486">
        <v>101082162.16216215</v>
      </c>
      <c r="R486">
        <v>50611621.621621616</v>
      </c>
      <c r="S486">
        <v>7037</v>
      </c>
      <c r="T486">
        <v>6643</v>
      </c>
    </row>
    <row r="487" spans="1:20" x14ac:dyDescent="0.35">
      <c r="A487" s="7" t="s">
        <v>582</v>
      </c>
      <c r="B487" s="12" t="s">
        <v>48</v>
      </c>
      <c r="C487">
        <v>475624316.9709391</v>
      </c>
      <c r="D487">
        <v>453566961.88736296</v>
      </c>
      <c r="E487">
        <v>3795990.990990995</v>
      </c>
      <c r="F487">
        <v>5073619.819819822</v>
      </c>
      <c r="G487">
        <v>61</v>
      </c>
      <c r="H487">
        <v>22</v>
      </c>
      <c r="K487">
        <v>64</v>
      </c>
      <c r="L487">
        <v>28</v>
      </c>
      <c r="M487">
        <v>146194864.86486486</v>
      </c>
      <c r="N487">
        <v>45365166.666666664</v>
      </c>
      <c r="O487">
        <v>70086527.027027026</v>
      </c>
      <c r="P487">
        <v>75162045.045045033</v>
      </c>
      <c r="Q487">
        <v>136868468.46846846</v>
      </c>
      <c r="R487">
        <v>73030810.810810819</v>
      </c>
      <c r="S487">
        <v>5937</v>
      </c>
      <c r="T487">
        <v>5449</v>
      </c>
    </row>
    <row r="488" spans="1:20" x14ac:dyDescent="0.35">
      <c r="A488" s="7" t="s">
        <v>583</v>
      </c>
      <c r="B488" s="12" t="s">
        <v>54</v>
      </c>
      <c r="C488">
        <v>93792901.800986528</v>
      </c>
      <c r="D488">
        <v>93979440.417136267</v>
      </c>
      <c r="E488">
        <v>2050450.450450452</v>
      </c>
      <c r="F488">
        <v>5168129.7297297297</v>
      </c>
      <c r="G488">
        <v>31</v>
      </c>
      <c r="H488">
        <v>84</v>
      </c>
      <c r="K488">
        <v>84</v>
      </c>
      <c r="L488">
        <v>224</v>
      </c>
      <c r="M488">
        <v>15391531.531531531</v>
      </c>
      <c r="N488">
        <v>36587263.063063055</v>
      </c>
      <c r="O488">
        <v>23791137.387387387</v>
      </c>
      <c r="P488">
        <v>27301261.261261258</v>
      </c>
      <c r="Q488">
        <v>13133963.963963963</v>
      </c>
      <c r="R488">
        <v>33430360.360360362</v>
      </c>
      <c r="S488">
        <v>3157</v>
      </c>
      <c r="T488">
        <v>2106</v>
      </c>
    </row>
    <row r="489" spans="1:20" x14ac:dyDescent="0.35">
      <c r="A489" s="7" t="s">
        <v>584</v>
      </c>
      <c r="B489" s="12" t="s">
        <v>70</v>
      </c>
      <c r="C489">
        <v>242013598.50035891</v>
      </c>
      <c r="D489">
        <v>237293600.50763145</v>
      </c>
      <c r="E489">
        <v>155855.855855856</v>
      </c>
      <c r="F489">
        <v>878378.37837837904</v>
      </c>
      <c r="G489">
        <v>63</v>
      </c>
      <c r="H489">
        <v>59</v>
      </c>
      <c r="I489">
        <v>4</v>
      </c>
      <c r="K489">
        <v>64</v>
      </c>
      <c r="L489">
        <v>69</v>
      </c>
      <c r="M489">
        <v>2229729.729729732</v>
      </c>
      <c r="N489">
        <v>4431531.5315315323</v>
      </c>
      <c r="O489">
        <v>110858792.7927928</v>
      </c>
      <c r="P489">
        <v>109277394.5945946</v>
      </c>
      <c r="Q489">
        <v>2332432.4324324341</v>
      </c>
      <c r="R489">
        <v>3445495.4954954949</v>
      </c>
      <c r="S489">
        <v>3824</v>
      </c>
      <c r="T489">
        <v>3655</v>
      </c>
    </row>
    <row r="490" spans="1:20" x14ac:dyDescent="0.35">
      <c r="A490" s="7" t="s">
        <v>585</v>
      </c>
      <c r="B490" s="12" t="s">
        <v>330</v>
      </c>
      <c r="C490">
        <v>912181430.58223009</v>
      </c>
      <c r="D490">
        <v>857525436.19417048</v>
      </c>
      <c r="E490">
        <v>11466441.441441439</v>
      </c>
      <c r="F490">
        <v>5702026.1261261273</v>
      </c>
      <c r="G490">
        <v>410</v>
      </c>
      <c r="H490">
        <v>420</v>
      </c>
      <c r="K490">
        <v>466</v>
      </c>
      <c r="L490">
        <v>480</v>
      </c>
      <c r="M490">
        <v>111958738.73873873</v>
      </c>
      <c r="N490">
        <v>182536193.6936937</v>
      </c>
      <c r="O490">
        <v>261167454.05405405</v>
      </c>
      <c r="P490">
        <v>224942023.42342341</v>
      </c>
      <c r="Q490">
        <v>102110270.27027027</v>
      </c>
      <c r="R490">
        <v>185536171.17117116</v>
      </c>
      <c r="S490">
        <v>26165</v>
      </c>
      <c r="T490">
        <v>19875</v>
      </c>
    </row>
    <row r="491" spans="1:20" x14ac:dyDescent="0.35">
      <c r="A491" s="7" t="s">
        <v>586</v>
      </c>
      <c r="B491" s="12" t="s">
        <v>66</v>
      </c>
      <c r="C491">
        <v>437220586.06678486</v>
      </c>
      <c r="D491">
        <v>455951175.59352863</v>
      </c>
      <c r="E491">
        <v>716676647.74774766</v>
      </c>
      <c r="F491">
        <v>1122196658.5585587</v>
      </c>
      <c r="G491">
        <v>378</v>
      </c>
      <c r="H491">
        <v>189</v>
      </c>
      <c r="K491">
        <v>726</v>
      </c>
      <c r="L491">
        <v>228</v>
      </c>
      <c r="M491">
        <v>94849144.144144148</v>
      </c>
      <c r="N491">
        <v>261254650.45045045</v>
      </c>
      <c r="O491">
        <v>216766448.64864865</v>
      </c>
      <c r="P491">
        <v>235325522.52252254</v>
      </c>
      <c r="Q491">
        <v>94122610.810810819</v>
      </c>
      <c r="R491">
        <v>150020450.45045042</v>
      </c>
      <c r="S491">
        <v>17877</v>
      </c>
      <c r="T491">
        <v>10591</v>
      </c>
    </row>
    <row r="492" spans="1:20" x14ac:dyDescent="0.35">
      <c r="A492" s="7" t="s">
        <v>11</v>
      </c>
      <c r="B492" s="12" t="s">
        <v>193</v>
      </c>
      <c r="C492">
        <v>207002554.99264345</v>
      </c>
      <c r="D492">
        <v>190066185.58074287</v>
      </c>
      <c r="E492">
        <v>91817117.117117122</v>
      </c>
      <c r="F492">
        <v>103184684.68468469</v>
      </c>
      <c r="G492">
        <v>44</v>
      </c>
      <c r="H492">
        <v>43</v>
      </c>
      <c r="K492">
        <v>51</v>
      </c>
      <c r="L492">
        <v>49</v>
      </c>
      <c r="M492">
        <v>17452927.927927926</v>
      </c>
      <c r="N492">
        <v>34478153.153153151</v>
      </c>
      <c r="O492">
        <v>69856966.216216221</v>
      </c>
      <c r="P492">
        <v>72137783.783783779</v>
      </c>
      <c r="Q492">
        <v>15913873.873873873</v>
      </c>
      <c r="R492">
        <v>31856576.576576576</v>
      </c>
      <c r="S492">
        <v>6405</v>
      </c>
      <c r="T492">
        <v>3805</v>
      </c>
    </row>
    <row r="493" spans="1:20" x14ac:dyDescent="0.35">
      <c r="A493" s="7" t="s">
        <v>12</v>
      </c>
      <c r="B493" s="12" t="s">
        <v>193</v>
      </c>
      <c r="C493">
        <v>140700362.30831701</v>
      </c>
      <c r="D493">
        <v>123579774.40923691</v>
      </c>
      <c r="E493">
        <v>5496396.3963963967</v>
      </c>
      <c r="F493">
        <v>1352702.702702703</v>
      </c>
      <c r="G493">
        <v>24</v>
      </c>
      <c r="H493">
        <v>19</v>
      </c>
      <c r="K493">
        <v>25</v>
      </c>
      <c r="L493">
        <v>25</v>
      </c>
      <c r="M493">
        <v>23154054.054054055</v>
      </c>
      <c r="N493">
        <v>20226576.576576576</v>
      </c>
      <c r="O493">
        <v>55015828.828828834</v>
      </c>
      <c r="P493">
        <v>53152927.927927926</v>
      </c>
      <c r="Q493">
        <v>27229909.909909911</v>
      </c>
      <c r="R493">
        <v>20739099.0990991</v>
      </c>
      <c r="S493">
        <v>5952</v>
      </c>
      <c r="T493">
        <v>2808</v>
      </c>
    </row>
    <row r="494" spans="1:20" x14ac:dyDescent="0.35">
      <c r="A494" s="7" t="s">
        <v>587</v>
      </c>
      <c r="B494" s="12" t="s">
        <v>60</v>
      </c>
      <c r="C494">
        <v>110228832.12782089</v>
      </c>
      <c r="D494">
        <v>113754584.49237563</v>
      </c>
      <c r="E494">
        <v>1772972.9729729739</v>
      </c>
      <c r="F494">
        <v>3316666.666666667</v>
      </c>
      <c r="G494">
        <v>57</v>
      </c>
      <c r="H494">
        <v>54</v>
      </c>
      <c r="I494">
        <v>3</v>
      </c>
      <c r="K494">
        <v>88</v>
      </c>
      <c r="L494">
        <v>101</v>
      </c>
      <c r="M494">
        <v>18367567.567567568</v>
      </c>
      <c r="N494">
        <v>24919189.189189192</v>
      </c>
      <c r="O494">
        <v>40319497.747747742</v>
      </c>
      <c r="P494">
        <v>44028160.360360362</v>
      </c>
      <c r="Q494">
        <v>16519099.0990991</v>
      </c>
      <c r="R494">
        <v>24387520.72072072</v>
      </c>
      <c r="S494">
        <v>2232</v>
      </c>
      <c r="T494">
        <v>1820</v>
      </c>
    </row>
    <row r="495" spans="1:20" x14ac:dyDescent="0.35">
      <c r="A495" s="7" t="s">
        <v>588</v>
      </c>
      <c r="B495" s="12" t="s">
        <v>307</v>
      </c>
      <c r="C495">
        <v>3115758067.6013808</v>
      </c>
      <c r="D495">
        <v>3032410720.9870877</v>
      </c>
      <c r="E495">
        <v>2510879090.9909906</v>
      </c>
      <c r="F495">
        <v>2506205286.4864864</v>
      </c>
      <c r="G495">
        <v>2139</v>
      </c>
      <c r="H495">
        <v>994</v>
      </c>
      <c r="I495">
        <v>5</v>
      </c>
      <c r="K495">
        <v>2484</v>
      </c>
      <c r="L495">
        <v>1173</v>
      </c>
      <c r="M495">
        <v>649819897.29729724</v>
      </c>
      <c r="N495">
        <v>1280220880.1801803</v>
      </c>
      <c r="O495">
        <v>998510842.34234238</v>
      </c>
      <c r="P495">
        <v>1015161081.081081</v>
      </c>
      <c r="Q495">
        <v>628336396.3963964</v>
      </c>
      <c r="R495">
        <v>1036637477.4774776</v>
      </c>
      <c r="S495">
        <v>101489</v>
      </c>
      <c r="T495">
        <v>65704</v>
      </c>
    </row>
    <row r="496" spans="1:20" x14ac:dyDescent="0.35">
      <c r="A496" s="7" t="s">
        <v>589</v>
      </c>
      <c r="B496" s="12" t="s">
        <v>52</v>
      </c>
      <c r="C496">
        <v>757035822.84243119</v>
      </c>
      <c r="D496">
        <v>769744436.54891503</v>
      </c>
      <c r="E496">
        <v>14604802.702702705</v>
      </c>
      <c r="F496">
        <v>19395102.702702705</v>
      </c>
      <c r="G496">
        <v>235</v>
      </c>
      <c r="H496">
        <v>521</v>
      </c>
      <c r="I496">
        <v>2</v>
      </c>
      <c r="K496">
        <v>609</v>
      </c>
      <c r="L496">
        <v>1076</v>
      </c>
      <c r="M496">
        <v>232862648.64864865</v>
      </c>
      <c r="N496">
        <v>305435646.84684682</v>
      </c>
      <c r="O496">
        <v>299421135.13513511</v>
      </c>
      <c r="P496">
        <v>324700430.63063067</v>
      </c>
      <c r="Q496">
        <v>259227072.07207206</v>
      </c>
      <c r="R496">
        <v>287000270.27027029</v>
      </c>
      <c r="S496">
        <v>18199</v>
      </c>
      <c r="T496">
        <v>8059</v>
      </c>
    </row>
    <row r="497" spans="1:20" x14ac:dyDescent="0.35">
      <c r="A497" s="7" t="s">
        <v>590</v>
      </c>
      <c r="B497" s="12" t="s">
        <v>54</v>
      </c>
      <c r="C497">
        <v>63543650.053478844</v>
      </c>
      <c r="D497">
        <v>61381944.34871725</v>
      </c>
      <c r="E497">
        <v>1250450.4504504511</v>
      </c>
      <c r="F497">
        <v>2475098.1981981988</v>
      </c>
      <c r="G497">
        <v>24</v>
      </c>
      <c r="H497">
        <v>40</v>
      </c>
      <c r="K497">
        <v>30</v>
      </c>
      <c r="L497">
        <v>47</v>
      </c>
      <c r="M497">
        <v>15998648.648648648</v>
      </c>
      <c r="N497">
        <v>12709685.585585587</v>
      </c>
      <c r="O497">
        <v>19802175.675675675</v>
      </c>
      <c r="P497">
        <v>21525743.243243244</v>
      </c>
      <c r="Q497">
        <v>14195495.495495496</v>
      </c>
      <c r="R497">
        <v>14191171.171171172</v>
      </c>
      <c r="S497">
        <v>1791</v>
      </c>
      <c r="T497">
        <v>1612</v>
      </c>
    </row>
    <row r="498" spans="1:20" x14ac:dyDescent="0.35">
      <c r="A498" s="7" t="s">
        <v>591</v>
      </c>
      <c r="B498" s="12" t="s">
        <v>169</v>
      </c>
      <c r="C498">
        <v>1817195978.9060712</v>
      </c>
      <c r="D498">
        <v>1760433609.3984857</v>
      </c>
      <c r="E498">
        <v>11629504.504504507</v>
      </c>
      <c r="F498">
        <v>27102299.099099103</v>
      </c>
      <c r="G498">
        <v>218</v>
      </c>
      <c r="H498">
        <v>183</v>
      </c>
      <c r="I498">
        <v>3</v>
      </c>
      <c r="K498">
        <v>349</v>
      </c>
      <c r="L498">
        <v>299</v>
      </c>
      <c r="M498">
        <v>353658376.57657659</v>
      </c>
      <c r="N498">
        <v>513802863.96396399</v>
      </c>
      <c r="O498">
        <v>612580941.44144142</v>
      </c>
      <c r="P498">
        <v>635373387.38738739</v>
      </c>
      <c r="Q498">
        <v>327696126.12612617</v>
      </c>
      <c r="R498">
        <v>466618828.82882881</v>
      </c>
      <c r="S498">
        <v>24527</v>
      </c>
      <c r="T498">
        <v>23206</v>
      </c>
    </row>
    <row r="499" spans="1:20" x14ac:dyDescent="0.35">
      <c r="A499" s="7" t="s">
        <v>592</v>
      </c>
      <c r="B499" s="12" t="s">
        <v>87</v>
      </c>
      <c r="C499">
        <v>9064435.0307370946</v>
      </c>
      <c r="D499">
        <v>8110406.0840417752</v>
      </c>
      <c r="G499">
        <v>2</v>
      </c>
      <c r="K499">
        <v>2</v>
      </c>
      <c r="O499">
        <v>2142477.477477476</v>
      </c>
      <c r="P499">
        <v>3633468.4684684691</v>
      </c>
      <c r="S499">
        <v>361</v>
      </c>
      <c r="T499">
        <v>301</v>
      </c>
    </row>
    <row r="500" spans="1:20" x14ac:dyDescent="0.35">
      <c r="A500" s="7" t="s">
        <v>593</v>
      </c>
      <c r="B500" s="12" t="s">
        <v>143</v>
      </c>
      <c r="C500">
        <v>126647165.70756848</v>
      </c>
      <c r="D500">
        <v>126679334.09823111</v>
      </c>
      <c r="E500">
        <v>383558.55855855998</v>
      </c>
      <c r="F500">
        <v>238292.79279279301</v>
      </c>
      <c r="G500">
        <v>34</v>
      </c>
      <c r="H500">
        <v>4</v>
      </c>
      <c r="K500">
        <v>35</v>
      </c>
      <c r="L500">
        <v>4</v>
      </c>
      <c r="M500">
        <v>10961261.261261262</v>
      </c>
      <c r="N500">
        <v>10961123.423423424</v>
      </c>
      <c r="O500">
        <v>13146252.252252253</v>
      </c>
      <c r="P500">
        <v>12925369.369369367</v>
      </c>
      <c r="Q500">
        <v>6704864.8648648644</v>
      </c>
      <c r="R500">
        <v>7148648.6486486467</v>
      </c>
      <c r="S500">
        <v>1639</v>
      </c>
      <c r="T500">
        <v>1575</v>
      </c>
    </row>
    <row r="501" spans="1:20" x14ac:dyDescent="0.35">
      <c r="A501" s="7" t="s">
        <v>594</v>
      </c>
      <c r="B501" s="12" t="s">
        <v>290</v>
      </c>
      <c r="C501">
        <v>33869611.753019199</v>
      </c>
      <c r="D501">
        <v>32489043.417608485</v>
      </c>
      <c r="E501">
        <v>381251628.82882881</v>
      </c>
      <c r="F501">
        <v>227967831.53153151</v>
      </c>
      <c r="G501">
        <v>1</v>
      </c>
      <c r="H501">
        <v>14</v>
      </c>
      <c r="K501">
        <v>2</v>
      </c>
      <c r="L501">
        <v>16</v>
      </c>
      <c r="M501">
        <v>28931900</v>
      </c>
      <c r="N501">
        <v>35358142.342342347</v>
      </c>
      <c r="O501">
        <v>1843918.9189189191</v>
      </c>
      <c r="P501">
        <v>2137252.2522522518</v>
      </c>
      <c r="S501">
        <v>752</v>
      </c>
      <c r="T501">
        <v>795</v>
      </c>
    </row>
    <row r="502" spans="1:20" x14ac:dyDescent="0.35">
      <c r="A502" s="7" t="s">
        <v>595</v>
      </c>
      <c r="B502" s="12" t="s">
        <v>92</v>
      </c>
      <c r="C502">
        <v>48026600.184894897</v>
      </c>
      <c r="D502">
        <v>42896057.665964074</v>
      </c>
      <c r="E502">
        <v>221230910.8108108</v>
      </c>
      <c r="F502">
        <v>145652754.95495495</v>
      </c>
      <c r="G502">
        <v>30</v>
      </c>
      <c r="H502">
        <v>12</v>
      </c>
      <c r="K502">
        <v>30</v>
      </c>
      <c r="L502">
        <v>13</v>
      </c>
      <c r="M502">
        <v>20135495.495495494</v>
      </c>
      <c r="N502">
        <v>18056308.108108107</v>
      </c>
      <c r="O502">
        <v>8056162.1621621624</v>
      </c>
      <c r="P502">
        <v>7641072.072072072</v>
      </c>
      <c r="Q502">
        <v>4424414.4144144151</v>
      </c>
      <c r="R502">
        <v>6577927.927927928</v>
      </c>
      <c r="S502">
        <v>816</v>
      </c>
      <c r="T502">
        <v>1092</v>
      </c>
    </row>
    <row r="503" spans="1:20" x14ac:dyDescent="0.35">
      <c r="A503" s="7" t="s">
        <v>596</v>
      </c>
      <c r="B503" s="12" t="s">
        <v>50</v>
      </c>
      <c r="C503">
        <v>156918312.32718307</v>
      </c>
      <c r="D503">
        <v>152100015.74083629</v>
      </c>
      <c r="E503">
        <v>4834009.0090090064</v>
      </c>
      <c r="F503">
        <v>1990071.1711711709</v>
      </c>
      <c r="G503">
        <v>13</v>
      </c>
      <c r="H503">
        <v>12</v>
      </c>
      <c r="K503">
        <v>14</v>
      </c>
      <c r="L503">
        <v>14</v>
      </c>
      <c r="M503">
        <v>47818378.378378376</v>
      </c>
      <c r="N503">
        <v>22891321.621621624</v>
      </c>
      <c r="O503">
        <v>33542654.054054055</v>
      </c>
      <c r="P503">
        <v>35448214.414414413</v>
      </c>
      <c r="Q503">
        <v>45631801.801801801</v>
      </c>
      <c r="R503">
        <v>27463153.153153151</v>
      </c>
      <c r="S503">
        <v>1620</v>
      </c>
      <c r="T503">
        <v>1479</v>
      </c>
    </row>
    <row r="504" spans="1:20" x14ac:dyDescent="0.35">
      <c r="A504" s="7" t="s">
        <v>597</v>
      </c>
      <c r="B504" s="12" t="s">
        <v>89</v>
      </c>
      <c r="C504">
        <v>238563045.83888638</v>
      </c>
      <c r="D504">
        <v>241839507.08529159</v>
      </c>
      <c r="E504">
        <v>143559459.45945948</v>
      </c>
      <c r="F504">
        <v>422560602.7027027</v>
      </c>
      <c r="G504">
        <v>93</v>
      </c>
      <c r="H504">
        <v>72</v>
      </c>
      <c r="I504">
        <v>6</v>
      </c>
      <c r="K504">
        <v>393</v>
      </c>
      <c r="L504">
        <v>183</v>
      </c>
      <c r="M504">
        <v>18835675.675675672</v>
      </c>
      <c r="N504">
        <v>72523346.846846849</v>
      </c>
      <c r="O504">
        <v>58680563.063063063</v>
      </c>
      <c r="P504">
        <v>66405837.837837838</v>
      </c>
      <c r="Q504">
        <v>17491531.531531524</v>
      </c>
      <c r="R504">
        <v>69899909.909909919</v>
      </c>
      <c r="S504">
        <v>3744</v>
      </c>
      <c r="T504">
        <v>4166</v>
      </c>
    </row>
    <row r="505" spans="1:20" x14ac:dyDescent="0.35">
      <c r="A505" s="7" t="s">
        <v>598</v>
      </c>
      <c r="B505" s="12" t="s">
        <v>143</v>
      </c>
      <c r="C505">
        <v>88560678.675510198</v>
      </c>
      <c r="D505">
        <v>86629161.278306857</v>
      </c>
      <c r="E505">
        <v>1452477.4774774781</v>
      </c>
      <c r="F505">
        <v>367239.63963963999</v>
      </c>
      <c r="G505">
        <v>12</v>
      </c>
      <c r="H505">
        <v>2</v>
      </c>
      <c r="K505">
        <v>13</v>
      </c>
      <c r="L505">
        <v>3</v>
      </c>
      <c r="M505">
        <v>7428828.8288288293</v>
      </c>
      <c r="N505">
        <v>5503921.6216216218</v>
      </c>
      <c r="O505">
        <v>8662936.9369369373</v>
      </c>
      <c r="P505">
        <v>7440585.5855855849</v>
      </c>
      <c r="Q505">
        <v>6533243.2432432426</v>
      </c>
      <c r="R505">
        <v>5254774.7747747749</v>
      </c>
      <c r="S505">
        <v>1154</v>
      </c>
      <c r="T505">
        <v>1157</v>
      </c>
    </row>
    <row r="506" spans="1:20" x14ac:dyDescent="0.35">
      <c r="A506" s="7" t="s">
        <v>599</v>
      </c>
      <c r="B506" s="12" t="s">
        <v>125</v>
      </c>
      <c r="C506">
        <v>235629419.93659845</v>
      </c>
      <c r="D506">
        <v>230517084.01044905</v>
      </c>
      <c r="E506">
        <v>384684.68468468398</v>
      </c>
      <c r="F506">
        <v>511209.00900901097</v>
      </c>
      <c r="G506">
        <v>27</v>
      </c>
      <c r="H506">
        <v>26</v>
      </c>
      <c r="K506">
        <v>30</v>
      </c>
      <c r="L506">
        <v>29</v>
      </c>
      <c r="M506">
        <v>20130090.090090092</v>
      </c>
      <c r="N506">
        <v>15998887.387387387</v>
      </c>
      <c r="O506">
        <v>90745890.090090096</v>
      </c>
      <c r="P506">
        <v>90982630.630630627</v>
      </c>
      <c r="Q506">
        <v>19990180.180180181</v>
      </c>
      <c r="R506">
        <v>16481711.711711712</v>
      </c>
      <c r="S506">
        <v>3583</v>
      </c>
      <c r="T506">
        <v>3016</v>
      </c>
    </row>
    <row r="507" spans="1:20" x14ac:dyDescent="0.35">
      <c r="A507" s="7" t="s">
        <v>600</v>
      </c>
      <c r="B507" s="12" t="s">
        <v>50</v>
      </c>
      <c r="C507">
        <v>575469751.90004897</v>
      </c>
      <c r="D507">
        <v>586779139.48786116</v>
      </c>
      <c r="E507">
        <v>7545945.9459459484</v>
      </c>
      <c r="F507">
        <v>5640472.9729729751</v>
      </c>
      <c r="G507">
        <v>53</v>
      </c>
      <c r="H507">
        <v>67</v>
      </c>
      <c r="I507">
        <v>1</v>
      </c>
      <c r="K507">
        <v>65</v>
      </c>
      <c r="L507">
        <v>75</v>
      </c>
      <c r="M507">
        <v>104037027.02702703</v>
      </c>
      <c r="N507">
        <v>69516527.927927926</v>
      </c>
      <c r="O507">
        <v>239158360.36036035</v>
      </c>
      <c r="P507">
        <v>254311612.61261261</v>
      </c>
      <c r="Q507">
        <v>104867207.2072072</v>
      </c>
      <c r="R507">
        <v>71314144.144144148</v>
      </c>
      <c r="S507">
        <v>8015</v>
      </c>
      <c r="T507">
        <v>7183</v>
      </c>
    </row>
    <row r="508" spans="1:20" x14ac:dyDescent="0.35">
      <c r="A508" s="7" t="s">
        <v>601</v>
      </c>
      <c r="B508" s="12" t="s">
        <v>89</v>
      </c>
      <c r="C508">
        <v>168281695.91402999</v>
      </c>
      <c r="D508">
        <v>169269803.93901759</v>
      </c>
      <c r="E508">
        <v>1718018.0180180231</v>
      </c>
      <c r="F508">
        <v>4004663.963963965</v>
      </c>
      <c r="G508">
        <v>15</v>
      </c>
      <c r="H508">
        <v>16</v>
      </c>
      <c r="K508">
        <v>17</v>
      </c>
      <c r="L508">
        <v>20</v>
      </c>
      <c r="M508">
        <v>52457837.837837838</v>
      </c>
      <c r="N508">
        <v>72641966.666666672</v>
      </c>
      <c r="O508">
        <v>51121369.369369365</v>
      </c>
      <c r="P508">
        <v>55575270.270270273</v>
      </c>
      <c r="Q508">
        <v>51347117.117117122</v>
      </c>
      <c r="R508">
        <v>72018648.648648649</v>
      </c>
      <c r="S508">
        <v>2602</v>
      </c>
      <c r="T508">
        <v>2582</v>
      </c>
    </row>
    <row r="509" spans="1:20" x14ac:dyDescent="0.35">
      <c r="A509" s="7" t="s">
        <v>602</v>
      </c>
      <c r="B509" s="12" t="s">
        <v>87</v>
      </c>
      <c r="C509">
        <v>147731355.13004664</v>
      </c>
      <c r="D509">
        <v>149556033.70698988</v>
      </c>
      <c r="E509">
        <v>1157657.657657658</v>
      </c>
      <c r="F509">
        <v>919782.88288288296</v>
      </c>
      <c r="G509">
        <v>16</v>
      </c>
      <c r="H509">
        <v>12</v>
      </c>
      <c r="K509">
        <v>17</v>
      </c>
      <c r="L509">
        <v>14</v>
      </c>
      <c r="M509">
        <v>2202702.702702702</v>
      </c>
      <c r="N509">
        <v>3361744.1441441439</v>
      </c>
      <c r="O509">
        <v>11826378.378378378</v>
      </c>
      <c r="P509">
        <v>15439837.837837838</v>
      </c>
      <c r="Q509">
        <v>2027477.4774774781</v>
      </c>
      <c r="R509">
        <v>2675495.4954954949</v>
      </c>
      <c r="S509">
        <v>1322</v>
      </c>
      <c r="T509">
        <v>1218</v>
      </c>
    </row>
    <row r="510" spans="1:20" x14ac:dyDescent="0.35">
      <c r="A510" s="7" t="s">
        <v>603</v>
      </c>
      <c r="B510" s="12" t="s">
        <v>140</v>
      </c>
      <c r="C510">
        <v>1196357874.5003569</v>
      </c>
      <c r="D510">
        <v>1247794163.7337639</v>
      </c>
      <c r="E510">
        <v>861465609.009009</v>
      </c>
      <c r="F510">
        <v>910350393.69369364</v>
      </c>
      <c r="G510">
        <v>955</v>
      </c>
      <c r="H510">
        <v>565</v>
      </c>
      <c r="I510">
        <v>11</v>
      </c>
      <c r="K510">
        <v>1429</v>
      </c>
      <c r="L510">
        <v>994</v>
      </c>
      <c r="M510">
        <v>234741711.7117117</v>
      </c>
      <c r="N510">
        <v>304620470.27027029</v>
      </c>
      <c r="O510">
        <v>295648137.83783782</v>
      </c>
      <c r="P510">
        <v>316080594.5945946</v>
      </c>
      <c r="Q510">
        <v>232018198.19819817</v>
      </c>
      <c r="R510">
        <v>238184183.78378376</v>
      </c>
      <c r="S510">
        <v>20201</v>
      </c>
      <c r="T510">
        <v>18532</v>
      </c>
    </row>
    <row r="511" spans="1:20" x14ac:dyDescent="0.35">
      <c r="A511" s="7" t="s">
        <v>604</v>
      </c>
      <c r="B511" s="12" t="s">
        <v>224</v>
      </c>
      <c r="C511">
        <v>197027243.96870035</v>
      </c>
      <c r="D511">
        <v>224101704.57023162</v>
      </c>
      <c r="E511">
        <v>116216.21621621599</v>
      </c>
      <c r="F511">
        <v>2101801.8018018021</v>
      </c>
      <c r="G511">
        <v>34</v>
      </c>
      <c r="H511">
        <v>33</v>
      </c>
      <c r="K511">
        <v>41</v>
      </c>
      <c r="L511">
        <v>36</v>
      </c>
      <c r="M511">
        <v>6692792.7927927924</v>
      </c>
      <c r="N511">
        <v>10534414.414414415</v>
      </c>
      <c r="O511">
        <v>64512495.495495498</v>
      </c>
      <c r="P511">
        <v>81702729.729729727</v>
      </c>
      <c r="Q511">
        <v>7123153.1531531531</v>
      </c>
      <c r="R511">
        <v>9433153.1531531531</v>
      </c>
      <c r="S511">
        <v>3476</v>
      </c>
      <c r="T511">
        <v>3642</v>
      </c>
    </row>
    <row r="512" spans="1:20" x14ac:dyDescent="0.35">
      <c r="A512" s="7" t="s">
        <v>605</v>
      </c>
      <c r="B512" s="12" t="s">
        <v>224</v>
      </c>
      <c r="C512">
        <v>129056878.45387879</v>
      </c>
      <c r="D512">
        <v>142410739.62555122</v>
      </c>
      <c r="E512">
        <v>148520360.36036035</v>
      </c>
      <c r="F512">
        <v>186806478.37837836</v>
      </c>
      <c r="G512">
        <v>49</v>
      </c>
      <c r="H512">
        <v>33</v>
      </c>
      <c r="K512">
        <v>53</v>
      </c>
      <c r="L512">
        <v>35</v>
      </c>
      <c r="M512">
        <v>10737612.612612613</v>
      </c>
      <c r="N512">
        <v>16166596.396396397</v>
      </c>
      <c r="O512">
        <v>39088405.40540541</v>
      </c>
      <c r="P512">
        <v>48438459.459459454</v>
      </c>
      <c r="Q512">
        <v>7498018.0180180185</v>
      </c>
      <c r="R512">
        <v>11321711.711711712</v>
      </c>
      <c r="S512">
        <v>3424</v>
      </c>
      <c r="T512">
        <v>3130</v>
      </c>
    </row>
    <row r="513" spans="1:20" x14ac:dyDescent="0.35">
      <c r="A513" s="7" t="s">
        <v>606</v>
      </c>
      <c r="B513" s="12" t="s">
        <v>241</v>
      </c>
      <c r="C513">
        <v>115671435.99024306</v>
      </c>
      <c r="D513">
        <v>116022993.80715315</v>
      </c>
      <c r="E513">
        <v>918918.91891891905</v>
      </c>
      <c r="F513">
        <v>148648.64864865001</v>
      </c>
      <c r="G513">
        <v>64</v>
      </c>
      <c r="H513">
        <v>51</v>
      </c>
      <c r="K513">
        <v>73</v>
      </c>
      <c r="L513">
        <v>60</v>
      </c>
      <c r="M513">
        <v>13309009.009009007</v>
      </c>
      <c r="N513">
        <v>5367567.5675675701</v>
      </c>
      <c r="O513">
        <v>34776360.360360362</v>
      </c>
      <c r="P513">
        <v>37191891.891891889</v>
      </c>
      <c r="Q513">
        <v>12640090.090090089</v>
      </c>
      <c r="R513">
        <v>5621621.6216216208</v>
      </c>
      <c r="S513">
        <v>3804</v>
      </c>
      <c r="T513">
        <v>2296</v>
      </c>
    </row>
    <row r="514" spans="1:20" x14ac:dyDescent="0.35">
      <c r="A514" s="7" t="s">
        <v>607</v>
      </c>
      <c r="B514" s="12" t="s">
        <v>140</v>
      </c>
      <c r="C514">
        <v>34515105.37884669</v>
      </c>
      <c r="D514">
        <v>33583347.028894164</v>
      </c>
      <c r="E514">
        <v>2702.7027027029999</v>
      </c>
      <c r="F514">
        <v>45945.945945945998</v>
      </c>
      <c r="G514">
        <v>4</v>
      </c>
      <c r="H514">
        <v>12</v>
      </c>
      <c r="I514">
        <v>3</v>
      </c>
      <c r="K514">
        <v>4</v>
      </c>
      <c r="L514">
        <v>13</v>
      </c>
      <c r="M514">
        <v>1128828.8288288279</v>
      </c>
      <c r="N514">
        <v>986486.48648648697</v>
      </c>
      <c r="O514">
        <v>3888954.9549549548</v>
      </c>
      <c r="P514">
        <v>5726981.9819819815</v>
      </c>
      <c r="Q514">
        <v>903693.69369369396</v>
      </c>
      <c r="R514">
        <v>1013153.153153153</v>
      </c>
      <c r="S514">
        <v>339</v>
      </c>
      <c r="T514">
        <v>365</v>
      </c>
    </row>
    <row r="515" spans="1:20" x14ac:dyDescent="0.35">
      <c r="A515" s="7" t="s">
        <v>668</v>
      </c>
      <c r="B515" s="12" t="s">
        <v>189</v>
      </c>
      <c r="E515">
        <v>49540136.036036029</v>
      </c>
      <c r="F515">
        <v>54981283.783783786</v>
      </c>
      <c r="M515">
        <v>14729049.54954955</v>
      </c>
      <c r="S515">
        <v>1</v>
      </c>
    </row>
    <row r="516" spans="1:20" x14ac:dyDescent="0.35">
      <c r="A516" s="7" t="s">
        <v>608</v>
      </c>
      <c r="B516" s="12" t="s">
        <v>189</v>
      </c>
      <c r="C516">
        <v>125257348.10213061</v>
      </c>
      <c r="D516">
        <v>114396381.07375424</v>
      </c>
      <c r="E516">
        <v>2209009.0090090092</v>
      </c>
      <c r="F516">
        <v>1254657.657657658</v>
      </c>
      <c r="G516">
        <v>64</v>
      </c>
      <c r="H516">
        <v>34</v>
      </c>
      <c r="K516">
        <v>69</v>
      </c>
      <c r="L516">
        <v>37</v>
      </c>
      <c r="M516">
        <v>15830630.630630629</v>
      </c>
      <c r="N516">
        <v>20544542.342342343</v>
      </c>
      <c r="O516">
        <v>30614644.144144144</v>
      </c>
      <c r="P516">
        <v>29945738.738738742</v>
      </c>
      <c r="Q516">
        <v>11811711.711711712</v>
      </c>
      <c r="R516">
        <v>12715495.495495496</v>
      </c>
      <c r="S516">
        <v>1738</v>
      </c>
      <c r="T516">
        <v>1576</v>
      </c>
    </row>
    <row r="517" spans="1:20" x14ac:dyDescent="0.35">
      <c r="A517" s="7" t="s">
        <v>609</v>
      </c>
      <c r="B517" s="12" t="s">
        <v>189</v>
      </c>
      <c r="C517">
        <v>376403436.05806577</v>
      </c>
      <c r="D517">
        <v>364603391.35262364</v>
      </c>
      <c r="E517">
        <v>486486.48648648802</v>
      </c>
      <c r="F517">
        <v>731918.01801801799</v>
      </c>
      <c r="G517">
        <v>124</v>
      </c>
      <c r="H517">
        <v>104</v>
      </c>
      <c r="K517">
        <v>129</v>
      </c>
      <c r="L517">
        <v>113</v>
      </c>
      <c r="M517">
        <v>22069189.189189188</v>
      </c>
      <c r="N517">
        <v>23432070.270270273</v>
      </c>
      <c r="O517">
        <v>65660153.153153151</v>
      </c>
      <c r="P517">
        <v>64189855.855855852</v>
      </c>
      <c r="Q517">
        <v>13298108.108108109</v>
      </c>
      <c r="R517">
        <v>15937657.657657659</v>
      </c>
      <c r="S517">
        <v>6075</v>
      </c>
      <c r="T517">
        <v>5011</v>
      </c>
    </row>
    <row r="518" spans="1:20" x14ac:dyDescent="0.35">
      <c r="A518" s="7" t="s">
        <v>610</v>
      </c>
      <c r="B518" s="12" t="s">
        <v>189</v>
      </c>
      <c r="C518">
        <v>141866672.85579315</v>
      </c>
      <c r="D518">
        <v>158298479.27323627</v>
      </c>
      <c r="E518">
        <v>1077927.927927929</v>
      </c>
      <c r="F518">
        <v>634354.05405405501</v>
      </c>
      <c r="G518">
        <v>22</v>
      </c>
      <c r="H518">
        <v>35</v>
      </c>
      <c r="K518">
        <v>24</v>
      </c>
      <c r="L518">
        <v>39</v>
      </c>
      <c r="M518">
        <v>9520900.9009009041</v>
      </c>
      <c r="N518">
        <v>7250481.9819819834</v>
      </c>
      <c r="O518">
        <v>17775396.396396395</v>
      </c>
      <c r="P518">
        <v>23100270.270270273</v>
      </c>
      <c r="Q518">
        <v>7619369.369369369</v>
      </c>
      <c r="R518">
        <v>5829999.9999999991</v>
      </c>
      <c r="S518">
        <v>1928</v>
      </c>
      <c r="T518">
        <v>1695</v>
      </c>
    </row>
    <row r="519" spans="1:20" x14ac:dyDescent="0.35">
      <c r="A519" s="7" t="s">
        <v>611</v>
      </c>
      <c r="B519" s="12" t="s">
        <v>189</v>
      </c>
      <c r="C519">
        <v>52522508.389637955</v>
      </c>
      <c r="D519">
        <v>60524728.159481995</v>
      </c>
      <c r="E519">
        <v>42328378.378378376</v>
      </c>
      <c r="F519">
        <v>42823827.927927926</v>
      </c>
      <c r="G519">
        <v>26</v>
      </c>
      <c r="H519">
        <v>50</v>
      </c>
      <c r="I519">
        <v>1</v>
      </c>
      <c r="K519">
        <v>28</v>
      </c>
      <c r="L519">
        <v>63</v>
      </c>
      <c r="M519">
        <v>8485765.7657657657</v>
      </c>
      <c r="N519">
        <v>13290712.612612613</v>
      </c>
      <c r="O519">
        <v>9691144.1441441439</v>
      </c>
      <c r="P519">
        <v>12506225.225225223</v>
      </c>
      <c r="Q519">
        <v>7695405.405405405</v>
      </c>
      <c r="R519">
        <v>4136486.4864864871</v>
      </c>
      <c r="S519">
        <v>906</v>
      </c>
      <c r="T519">
        <v>987</v>
      </c>
    </row>
    <row r="520" spans="1:20" x14ac:dyDescent="0.35">
      <c r="A520" s="7" t="s">
        <v>612</v>
      </c>
      <c r="B520" s="12" t="s">
        <v>143</v>
      </c>
      <c r="C520">
        <v>444456049.87224686</v>
      </c>
      <c r="D520">
        <v>428677051.86093634</v>
      </c>
      <c r="E520">
        <v>4153493.6936936942</v>
      </c>
      <c r="F520">
        <v>1826872.9729729751</v>
      </c>
      <c r="G520">
        <v>524</v>
      </c>
      <c r="H520">
        <v>189</v>
      </c>
      <c r="I520">
        <v>22</v>
      </c>
      <c r="K520">
        <v>554</v>
      </c>
      <c r="L520">
        <v>284</v>
      </c>
      <c r="M520">
        <v>35539639.639639638</v>
      </c>
      <c r="N520">
        <v>52409388.288288288</v>
      </c>
      <c r="O520">
        <v>53691545.045045048</v>
      </c>
      <c r="P520">
        <v>62858953.153153151</v>
      </c>
      <c r="Q520">
        <v>39810944.144144148</v>
      </c>
      <c r="R520">
        <v>43235127.927927926</v>
      </c>
      <c r="S520">
        <v>7337</v>
      </c>
      <c r="T520">
        <v>7918</v>
      </c>
    </row>
    <row r="521" spans="1:20" x14ac:dyDescent="0.35">
      <c r="A521" s="7" t="s">
        <v>613</v>
      </c>
      <c r="B521" s="12" t="s">
        <v>189</v>
      </c>
      <c r="C521">
        <v>480005976.6002875</v>
      </c>
      <c r="D521">
        <v>503890993.20552361</v>
      </c>
      <c r="E521">
        <v>2309009.0090090092</v>
      </c>
      <c r="F521">
        <v>3342417.117117119</v>
      </c>
      <c r="G521">
        <v>194</v>
      </c>
      <c r="H521">
        <v>237</v>
      </c>
      <c r="I521">
        <v>4</v>
      </c>
      <c r="K521">
        <v>230</v>
      </c>
      <c r="L521">
        <v>302</v>
      </c>
      <c r="M521">
        <v>19988108.108108107</v>
      </c>
      <c r="N521">
        <v>19332690.990990993</v>
      </c>
      <c r="O521">
        <v>48025789.189189196</v>
      </c>
      <c r="P521">
        <v>56730554.954954952</v>
      </c>
      <c r="Q521">
        <v>18499232.432432432</v>
      </c>
      <c r="R521">
        <v>15892072.072072072</v>
      </c>
      <c r="S521">
        <v>9048</v>
      </c>
      <c r="T521">
        <v>7354</v>
      </c>
    </row>
    <row r="522" spans="1:20" x14ac:dyDescent="0.35">
      <c r="A522" s="7" t="s">
        <v>614</v>
      </c>
      <c r="B522" s="12" t="s">
        <v>54</v>
      </c>
      <c r="C522">
        <v>343975353.30386859</v>
      </c>
      <c r="D522">
        <v>344240822.38670886</v>
      </c>
      <c r="E522">
        <v>8317117.1171171181</v>
      </c>
      <c r="F522">
        <v>9837994.5945945978</v>
      </c>
      <c r="G522">
        <v>128</v>
      </c>
      <c r="H522">
        <v>124</v>
      </c>
      <c r="I522">
        <v>2</v>
      </c>
      <c r="K522">
        <v>228</v>
      </c>
      <c r="L522">
        <v>154</v>
      </c>
      <c r="M522">
        <v>60539189.189189196</v>
      </c>
      <c r="N522">
        <v>102518704.5045045</v>
      </c>
      <c r="O522">
        <v>108054918.91891891</v>
      </c>
      <c r="P522">
        <v>110552045.04504503</v>
      </c>
      <c r="Q522">
        <v>52948378.378378376</v>
      </c>
      <c r="R522">
        <v>100182162.16216215</v>
      </c>
      <c r="S522">
        <v>10303</v>
      </c>
      <c r="T522">
        <v>6288</v>
      </c>
    </row>
    <row r="523" spans="1:20" x14ac:dyDescent="0.35">
      <c r="A523" s="7" t="s">
        <v>615</v>
      </c>
      <c r="B523" s="12" t="s">
        <v>54</v>
      </c>
      <c r="C523">
        <v>185802239.54124096</v>
      </c>
      <c r="D523">
        <v>188951574.00206909</v>
      </c>
      <c r="E523">
        <v>825225.22522522602</v>
      </c>
      <c r="F523">
        <v>1633290.9909909919</v>
      </c>
      <c r="G523">
        <v>20</v>
      </c>
      <c r="H523">
        <v>23</v>
      </c>
      <c r="I523">
        <v>1</v>
      </c>
      <c r="K523">
        <v>25</v>
      </c>
      <c r="L523">
        <v>34</v>
      </c>
      <c r="M523">
        <v>8688288.2882882878</v>
      </c>
      <c r="N523">
        <v>44003094.594594598</v>
      </c>
      <c r="O523">
        <v>30744477.477477476</v>
      </c>
      <c r="P523">
        <v>33247963.963963963</v>
      </c>
      <c r="Q523">
        <v>7628828.8288288303</v>
      </c>
      <c r="R523">
        <v>43536846.846846849</v>
      </c>
      <c r="S523">
        <v>3055</v>
      </c>
      <c r="T523">
        <v>2559</v>
      </c>
    </row>
    <row r="524" spans="1:20" x14ac:dyDescent="0.35">
      <c r="A524" s="7" t="s">
        <v>616</v>
      </c>
      <c r="B524" s="12" t="s">
        <v>60</v>
      </c>
      <c r="C524">
        <v>274274501.23708153</v>
      </c>
      <c r="D524">
        <v>297377543.74625421</v>
      </c>
      <c r="E524">
        <v>4657207.2072072066</v>
      </c>
      <c r="F524">
        <v>3072480.1801801799</v>
      </c>
      <c r="G524">
        <v>115</v>
      </c>
      <c r="H524">
        <v>44</v>
      </c>
      <c r="K524">
        <v>145</v>
      </c>
      <c r="L524">
        <v>62</v>
      </c>
      <c r="M524">
        <v>43357207.20720721</v>
      </c>
      <c r="N524">
        <v>146375355.85585588</v>
      </c>
      <c r="O524">
        <v>88938774.774774775</v>
      </c>
      <c r="P524">
        <v>98003954.954954967</v>
      </c>
      <c r="Q524">
        <v>42156216.216216214</v>
      </c>
      <c r="R524">
        <v>141609639.63963965</v>
      </c>
      <c r="S524">
        <v>4409</v>
      </c>
      <c r="T524">
        <v>4513</v>
      </c>
    </row>
    <row r="525" spans="1:20" x14ac:dyDescent="0.35">
      <c r="A525" s="7" t="s">
        <v>617</v>
      </c>
      <c r="B525" s="12" t="s">
        <v>60</v>
      </c>
      <c r="C525">
        <v>308057197.09046799</v>
      </c>
      <c r="D525">
        <v>301709414.71281999</v>
      </c>
      <c r="E525">
        <v>3183783.7837837869</v>
      </c>
      <c r="F525">
        <v>3882759.4594594631</v>
      </c>
      <c r="G525">
        <v>74</v>
      </c>
      <c r="H525">
        <v>62</v>
      </c>
      <c r="K525">
        <v>84</v>
      </c>
      <c r="L525">
        <v>81</v>
      </c>
      <c r="M525">
        <v>39115315.315315314</v>
      </c>
      <c r="N525">
        <v>130630334.23423424</v>
      </c>
      <c r="O525">
        <v>157550454.95495495</v>
      </c>
      <c r="P525">
        <v>159279630.63063061</v>
      </c>
      <c r="Q525">
        <v>37833603.603603609</v>
      </c>
      <c r="R525">
        <v>125237747.74774775</v>
      </c>
      <c r="S525">
        <v>6448</v>
      </c>
      <c r="T525">
        <v>4545</v>
      </c>
    </row>
    <row r="526" spans="1:20" x14ac:dyDescent="0.35">
      <c r="A526" s="7" t="s">
        <v>618</v>
      </c>
      <c r="B526" s="12" t="s">
        <v>60</v>
      </c>
      <c r="C526">
        <v>389762112.26373124</v>
      </c>
      <c r="D526">
        <v>396230242.11214179</v>
      </c>
      <c r="E526">
        <v>7243018.0180180194</v>
      </c>
      <c r="F526">
        <v>10338954.954954959</v>
      </c>
      <c r="G526">
        <v>64</v>
      </c>
      <c r="H526">
        <v>43</v>
      </c>
      <c r="I526">
        <v>1</v>
      </c>
      <c r="K526">
        <v>78</v>
      </c>
      <c r="L526">
        <v>55</v>
      </c>
      <c r="M526">
        <v>54642342.342342347</v>
      </c>
      <c r="N526">
        <v>137089085.58558559</v>
      </c>
      <c r="O526">
        <v>126301482.43243243</v>
      </c>
      <c r="P526">
        <v>132729899.0990991</v>
      </c>
      <c r="Q526">
        <v>51592792.792792797</v>
      </c>
      <c r="R526">
        <v>133682072.07207206</v>
      </c>
      <c r="S526">
        <v>7188</v>
      </c>
      <c r="T526">
        <v>7311</v>
      </c>
    </row>
    <row r="527" spans="1:20" x14ac:dyDescent="0.35">
      <c r="A527" s="7" t="s">
        <v>619</v>
      </c>
      <c r="B527" s="12" t="s">
        <v>620</v>
      </c>
      <c r="C527">
        <v>456575648.41186166</v>
      </c>
      <c r="D527">
        <v>455105523.17591423</v>
      </c>
      <c r="E527">
        <v>7739189.18918919</v>
      </c>
      <c r="F527">
        <v>8774825.2252252251</v>
      </c>
      <c r="G527">
        <v>291</v>
      </c>
      <c r="H527">
        <v>196</v>
      </c>
      <c r="I527">
        <v>2</v>
      </c>
      <c r="K527">
        <v>465</v>
      </c>
      <c r="L527">
        <v>311</v>
      </c>
      <c r="M527">
        <v>32690090.090090089</v>
      </c>
      <c r="N527">
        <v>41862722.522522531</v>
      </c>
      <c r="O527">
        <v>54855909.909909911</v>
      </c>
      <c r="P527">
        <v>67221261.261261269</v>
      </c>
      <c r="Q527">
        <v>34151981.981981985</v>
      </c>
      <c r="R527">
        <v>35233513.513513513</v>
      </c>
      <c r="S527">
        <v>11589</v>
      </c>
      <c r="T527">
        <v>7589</v>
      </c>
    </row>
    <row r="528" spans="1:20" x14ac:dyDescent="0.35">
      <c r="A528" s="7" t="s">
        <v>621</v>
      </c>
      <c r="B528" s="12" t="s">
        <v>620</v>
      </c>
      <c r="C528">
        <v>333075093.28780043</v>
      </c>
      <c r="D528">
        <v>335677600.898736</v>
      </c>
      <c r="E528">
        <v>79777211.711711705</v>
      </c>
      <c r="F528">
        <v>90088777.477477476</v>
      </c>
      <c r="G528">
        <v>124</v>
      </c>
      <c r="H528">
        <v>201</v>
      </c>
      <c r="I528">
        <v>4</v>
      </c>
      <c r="K528">
        <v>146</v>
      </c>
      <c r="L528">
        <v>246</v>
      </c>
      <c r="M528">
        <v>43223350.45045045</v>
      </c>
      <c r="N528">
        <v>46285263.063063063</v>
      </c>
      <c r="O528">
        <v>53611156.75675676</v>
      </c>
      <c r="P528">
        <v>59366501.801801801</v>
      </c>
      <c r="Q528">
        <v>26486936.936936937</v>
      </c>
      <c r="R528">
        <v>35215315.315315314</v>
      </c>
      <c r="S528">
        <v>9725</v>
      </c>
      <c r="T528">
        <v>5898</v>
      </c>
    </row>
    <row r="529" spans="1:20" x14ac:dyDescent="0.35">
      <c r="A529" s="7" t="s">
        <v>622</v>
      </c>
      <c r="B529" s="12" t="s">
        <v>620</v>
      </c>
      <c r="C529">
        <v>349716799.24333555</v>
      </c>
      <c r="D529">
        <v>342180707.126333</v>
      </c>
      <c r="E529">
        <v>1822972.9729729721</v>
      </c>
      <c r="F529">
        <v>2892119.819819822</v>
      </c>
      <c r="G529">
        <v>150</v>
      </c>
      <c r="H529">
        <v>148</v>
      </c>
      <c r="I529">
        <v>1</v>
      </c>
      <c r="K529">
        <v>178</v>
      </c>
      <c r="L529">
        <v>178</v>
      </c>
      <c r="M529">
        <v>24064414.414414413</v>
      </c>
      <c r="N529">
        <v>29716446.846846849</v>
      </c>
      <c r="O529">
        <v>52932390.090090089</v>
      </c>
      <c r="P529">
        <v>57498843.24324324</v>
      </c>
      <c r="Q529">
        <v>19537027.027027026</v>
      </c>
      <c r="R529">
        <v>26134727.927927926</v>
      </c>
      <c r="S529">
        <v>9785</v>
      </c>
      <c r="T529">
        <v>5407</v>
      </c>
    </row>
    <row r="530" spans="1:20" x14ac:dyDescent="0.35">
      <c r="A530" s="7" t="s">
        <v>623</v>
      </c>
      <c r="B530" s="12" t="s">
        <v>620</v>
      </c>
      <c r="C530">
        <v>257460602.87884849</v>
      </c>
      <c r="D530">
        <v>256371662.59596437</v>
      </c>
      <c r="E530">
        <v>1157657.657657658</v>
      </c>
      <c r="F530">
        <v>40433694.594594598</v>
      </c>
      <c r="G530">
        <v>76</v>
      </c>
      <c r="H530">
        <v>164</v>
      </c>
      <c r="I530">
        <v>4</v>
      </c>
      <c r="K530">
        <v>92</v>
      </c>
      <c r="L530">
        <v>180</v>
      </c>
      <c r="M530">
        <v>26531081.081081085</v>
      </c>
      <c r="N530">
        <v>28236154.954954956</v>
      </c>
      <c r="O530">
        <v>33477572.072072074</v>
      </c>
      <c r="P530">
        <v>36744691.891891889</v>
      </c>
      <c r="Q530">
        <v>20906306.306306303</v>
      </c>
      <c r="R530">
        <v>24617657.657657657</v>
      </c>
      <c r="S530">
        <v>5137</v>
      </c>
      <c r="T530">
        <v>3586</v>
      </c>
    </row>
    <row r="531" spans="1:20" x14ac:dyDescent="0.35">
      <c r="A531" s="7" t="s">
        <v>624</v>
      </c>
      <c r="B531" s="12" t="s">
        <v>260</v>
      </c>
      <c r="C531">
        <v>135944132.60157594</v>
      </c>
      <c r="D531">
        <v>138894234.1542635</v>
      </c>
      <c r="E531">
        <v>877477.47747747798</v>
      </c>
      <c r="F531">
        <v>419369.369369369</v>
      </c>
      <c r="G531">
        <v>20</v>
      </c>
      <c r="H531">
        <v>6</v>
      </c>
      <c r="K531">
        <v>20</v>
      </c>
      <c r="L531">
        <v>6</v>
      </c>
      <c r="M531">
        <v>14726126.126126124</v>
      </c>
      <c r="N531">
        <v>15360180.180180181</v>
      </c>
      <c r="O531">
        <v>44924774.774774775</v>
      </c>
      <c r="P531">
        <v>47331693.693693697</v>
      </c>
      <c r="Q531">
        <v>18300360.360360362</v>
      </c>
      <c r="R531">
        <v>14913693.693693694</v>
      </c>
      <c r="S531">
        <v>2523</v>
      </c>
      <c r="T531">
        <v>2086</v>
      </c>
    </row>
    <row r="532" spans="1:20" x14ac:dyDescent="0.35">
      <c r="A532" s="7" t="s">
        <v>625</v>
      </c>
      <c r="B532" s="12" t="s">
        <v>52</v>
      </c>
      <c r="C532">
        <v>211661270.48840916</v>
      </c>
      <c r="D532">
        <v>216439697.89301893</v>
      </c>
      <c r="E532">
        <v>882882.88288288401</v>
      </c>
      <c r="F532">
        <v>1120720.720720723</v>
      </c>
      <c r="G532">
        <v>95</v>
      </c>
      <c r="H532">
        <v>115</v>
      </c>
      <c r="I532">
        <v>1</v>
      </c>
      <c r="K532">
        <v>185</v>
      </c>
      <c r="L532">
        <v>213</v>
      </c>
      <c r="M532">
        <v>6612612.6126126144</v>
      </c>
      <c r="N532">
        <v>5972072.0720720738</v>
      </c>
      <c r="O532">
        <v>75558558.558558553</v>
      </c>
      <c r="P532">
        <v>79640998.198198199</v>
      </c>
      <c r="Q532">
        <v>4867657.6576576587</v>
      </c>
      <c r="R532">
        <v>5678468.4684684668</v>
      </c>
      <c r="S532">
        <v>5829</v>
      </c>
      <c r="T532">
        <v>4400</v>
      </c>
    </row>
    <row r="533" spans="1:20" x14ac:dyDescent="0.35">
      <c r="A533" s="7" t="s">
        <v>626</v>
      </c>
      <c r="B533" s="12" t="s">
        <v>96</v>
      </c>
      <c r="C533">
        <v>534509160.21304333</v>
      </c>
      <c r="D533">
        <v>494727605.33653259</v>
      </c>
      <c r="E533">
        <v>8837837.8378378395</v>
      </c>
      <c r="F533">
        <v>8073120.7207207223</v>
      </c>
      <c r="G533">
        <v>246</v>
      </c>
      <c r="H533">
        <v>648</v>
      </c>
      <c r="I533">
        <v>1</v>
      </c>
      <c r="K533">
        <v>289</v>
      </c>
      <c r="L533">
        <v>719</v>
      </c>
      <c r="M533">
        <v>107975675.67567568</v>
      </c>
      <c r="N533">
        <v>127853427.02702703</v>
      </c>
      <c r="O533">
        <v>172499689.63963965</v>
      </c>
      <c r="P533">
        <v>175913070.27027026</v>
      </c>
      <c r="Q533">
        <v>92910090.090090096</v>
      </c>
      <c r="R533">
        <v>130174187.38738739</v>
      </c>
      <c r="S533">
        <v>13146</v>
      </c>
      <c r="T533">
        <v>10633</v>
      </c>
    </row>
    <row r="534" spans="1:20" x14ac:dyDescent="0.35">
      <c r="A534" s="7" t="s">
        <v>627</v>
      </c>
      <c r="B534" s="12" t="s">
        <v>96</v>
      </c>
      <c r="C534">
        <v>889596225.41306198</v>
      </c>
      <c r="D534">
        <v>851447106.86332977</v>
      </c>
      <c r="E534">
        <v>453934877.47747749</v>
      </c>
      <c r="F534">
        <v>521170773.87387383</v>
      </c>
      <c r="G534">
        <v>275</v>
      </c>
      <c r="H534">
        <v>276</v>
      </c>
      <c r="I534">
        <v>3</v>
      </c>
      <c r="K534">
        <v>367</v>
      </c>
      <c r="L534">
        <v>340</v>
      </c>
      <c r="M534">
        <v>393050531.53153151</v>
      </c>
      <c r="N534">
        <v>236090543.24324322</v>
      </c>
      <c r="O534">
        <v>364408970.72072071</v>
      </c>
      <c r="P534">
        <v>348794045.04504508</v>
      </c>
      <c r="Q534">
        <v>226781621.62162164</v>
      </c>
      <c r="R534">
        <v>197594594.5945946</v>
      </c>
      <c r="S534">
        <v>17306</v>
      </c>
      <c r="T534">
        <v>13235</v>
      </c>
    </row>
    <row r="535" spans="1:20" x14ac:dyDescent="0.35">
      <c r="A535" s="7" t="s">
        <v>628</v>
      </c>
      <c r="B535" s="12" t="s">
        <v>448</v>
      </c>
      <c r="C535">
        <v>649532216.40845478</v>
      </c>
      <c r="D535">
        <v>617244217.07735109</v>
      </c>
      <c r="E535">
        <v>687690056.75675678</v>
      </c>
      <c r="F535">
        <v>575286796.3963964</v>
      </c>
      <c r="G535">
        <v>242</v>
      </c>
      <c r="H535">
        <v>313</v>
      </c>
      <c r="I535">
        <v>2</v>
      </c>
      <c r="K535">
        <v>303</v>
      </c>
      <c r="L535">
        <v>471</v>
      </c>
      <c r="M535">
        <v>341655270.27027029</v>
      </c>
      <c r="N535">
        <v>311015374.77477479</v>
      </c>
      <c r="O535">
        <v>191652971.17117116</v>
      </c>
      <c r="P535">
        <v>198604450.45045045</v>
      </c>
      <c r="Q535">
        <v>342175045.04504508</v>
      </c>
      <c r="R535">
        <v>288138468.46846849</v>
      </c>
      <c r="S535">
        <v>13783</v>
      </c>
      <c r="T535">
        <v>10433</v>
      </c>
    </row>
    <row r="536" spans="1:20" x14ac:dyDescent="0.35">
      <c r="A536" s="7" t="s">
        <v>629</v>
      </c>
      <c r="B536" s="12" t="s">
        <v>78</v>
      </c>
      <c r="C536">
        <v>29641177.347244225</v>
      </c>
      <c r="D536">
        <v>29524546.810316809</v>
      </c>
      <c r="E536">
        <v>529729.72972972901</v>
      </c>
      <c r="F536">
        <v>320720.720720721</v>
      </c>
      <c r="G536">
        <v>3</v>
      </c>
      <c r="H536">
        <v>3</v>
      </c>
      <c r="K536">
        <v>5</v>
      </c>
      <c r="L536">
        <v>3</v>
      </c>
      <c r="M536">
        <v>2763963.9639639631</v>
      </c>
      <c r="N536">
        <v>2441441.4414414419</v>
      </c>
      <c r="O536">
        <v>7977729.7297297297</v>
      </c>
      <c r="P536">
        <v>9498342.3423423413</v>
      </c>
      <c r="Q536">
        <v>2409639.6396396402</v>
      </c>
      <c r="R536">
        <v>1995855.8558558561</v>
      </c>
      <c r="S536">
        <v>435</v>
      </c>
      <c r="T536">
        <v>379</v>
      </c>
    </row>
    <row r="537" spans="1:20" x14ac:dyDescent="0.35">
      <c r="A537" s="7" t="s">
        <v>630</v>
      </c>
      <c r="B537" s="12" t="s">
        <v>241</v>
      </c>
      <c r="C537">
        <v>170552228.882727</v>
      </c>
      <c r="D537">
        <v>157693354.0128181</v>
      </c>
      <c r="E537">
        <v>2256531.5315315318</v>
      </c>
      <c r="F537">
        <v>3568468.4684684682</v>
      </c>
      <c r="G537">
        <v>74</v>
      </c>
      <c r="H537">
        <v>50</v>
      </c>
      <c r="I537">
        <v>1</v>
      </c>
      <c r="K537">
        <v>82</v>
      </c>
      <c r="L537">
        <v>100</v>
      </c>
      <c r="M537">
        <v>75208828.828828827</v>
      </c>
      <c r="N537">
        <v>48374684.684684686</v>
      </c>
      <c r="O537">
        <v>39551538.738738738</v>
      </c>
      <c r="P537">
        <v>39408945.945945941</v>
      </c>
      <c r="Q537">
        <v>74575135.135135129</v>
      </c>
      <c r="R537">
        <v>46748378.378378376</v>
      </c>
      <c r="S537">
        <v>2835</v>
      </c>
      <c r="T537">
        <v>3087</v>
      </c>
    </row>
    <row r="538" spans="1:20" x14ac:dyDescent="0.35">
      <c r="A538" s="7" t="s">
        <v>631</v>
      </c>
      <c r="B538" s="12" t="s">
        <v>68</v>
      </c>
      <c r="C538">
        <v>735044159.37618124</v>
      </c>
      <c r="D538">
        <v>751585296.23117566</v>
      </c>
      <c r="E538">
        <v>7607657.6576576587</v>
      </c>
      <c r="F538">
        <v>4668922.5225225231</v>
      </c>
      <c r="G538">
        <v>483</v>
      </c>
      <c r="H538">
        <v>137</v>
      </c>
      <c r="I538">
        <v>1</v>
      </c>
      <c r="K538">
        <v>524</v>
      </c>
      <c r="L538">
        <v>237</v>
      </c>
      <c r="M538">
        <v>78353333.333333328</v>
      </c>
      <c r="N538">
        <v>85548404.504504517</v>
      </c>
      <c r="O538">
        <v>126477751.35135135</v>
      </c>
      <c r="P538">
        <v>144239545.94594595</v>
      </c>
      <c r="Q538">
        <v>64323783.783783786</v>
      </c>
      <c r="R538">
        <v>63720990.990990989</v>
      </c>
      <c r="S538">
        <v>9658</v>
      </c>
      <c r="T538">
        <v>9241</v>
      </c>
    </row>
    <row r="539" spans="1:20" x14ac:dyDescent="0.35">
      <c r="A539" s="7" t="s">
        <v>632</v>
      </c>
      <c r="B539" s="12" t="s">
        <v>70</v>
      </c>
      <c r="C539">
        <v>5414061.1150178118</v>
      </c>
      <c r="D539">
        <v>5587034.8797132922</v>
      </c>
      <c r="E539">
        <v>54054.054054054002</v>
      </c>
      <c r="F539">
        <v>272522.52252252301</v>
      </c>
      <c r="G539">
        <v>2</v>
      </c>
      <c r="K539">
        <v>2</v>
      </c>
      <c r="M539">
        <v>54054.054054054002</v>
      </c>
      <c r="N539">
        <v>326576.57657657698</v>
      </c>
      <c r="O539">
        <v>3172027.0270270272</v>
      </c>
      <c r="P539">
        <v>3277567.5675675678</v>
      </c>
      <c r="Q539">
        <v>164864.864864865</v>
      </c>
      <c r="S539">
        <v>330</v>
      </c>
      <c r="T539">
        <v>195</v>
      </c>
    </row>
    <row r="540" spans="1:20" x14ac:dyDescent="0.35">
      <c r="A540" s="7" t="s">
        <v>633</v>
      </c>
      <c r="B540" s="12" t="s">
        <v>60</v>
      </c>
      <c r="C540">
        <v>57347890.7893482</v>
      </c>
      <c r="D540">
        <v>57846986.197851926</v>
      </c>
      <c r="E540">
        <v>151351.351351352</v>
      </c>
      <c r="F540">
        <v>548423.42342342401</v>
      </c>
      <c r="G540">
        <v>17</v>
      </c>
      <c r="H540">
        <v>9</v>
      </c>
      <c r="I540">
        <v>1</v>
      </c>
      <c r="K540">
        <v>17</v>
      </c>
      <c r="L540">
        <v>10</v>
      </c>
      <c r="M540">
        <v>1953153.1531531529</v>
      </c>
      <c r="N540">
        <v>7649549.5495495489</v>
      </c>
      <c r="O540">
        <v>23966540.540540539</v>
      </c>
      <c r="P540">
        <v>23061297.297297295</v>
      </c>
      <c r="Q540">
        <v>904054.05405405397</v>
      </c>
      <c r="R540">
        <v>8224774.7747747749</v>
      </c>
      <c r="S540">
        <v>1113</v>
      </c>
      <c r="T540">
        <v>1209</v>
      </c>
    </row>
    <row r="541" spans="1:20" x14ac:dyDescent="0.35">
      <c r="A541" s="7" t="s">
        <v>634</v>
      </c>
      <c r="B541" s="12" t="s">
        <v>80</v>
      </c>
      <c r="C541">
        <v>575399314.91710258</v>
      </c>
      <c r="D541">
        <v>583280735.74711764</v>
      </c>
      <c r="E541">
        <v>6695045.0450450471</v>
      </c>
      <c r="F541">
        <v>5099301.8018018026</v>
      </c>
      <c r="G541">
        <v>86</v>
      </c>
      <c r="H541">
        <v>66</v>
      </c>
      <c r="I541">
        <v>1</v>
      </c>
      <c r="K541">
        <v>97</v>
      </c>
      <c r="L541">
        <v>86</v>
      </c>
      <c r="M541">
        <v>73595945.945945948</v>
      </c>
      <c r="N541">
        <v>78354172.072072059</v>
      </c>
      <c r="O541">
        <v>113860157.65765767</v>
      </c>
      <c r="P541">
        <v>118300423.42342342</v>
      </c>
      <c r="Q541">
        <v>60504684.684684686</v>
      </c>
      <c r="R541">
        <v>70896216.216216221</v>
      </c>
      <c r="S541">
        <v>6834</v>
      </c>
      <c r="T541">
        <v>7036</v>
      </c>
    </row>
    <row r="542" spans="1:20" x14ac:dyDescent="0.35">
      <c r="A542" s="7" t="s">
        <v>635</v>
      </c>
      <c r="B542" s="12" t="s">
        <v>134</v>
      </c>
      <c r="C542">
        <v>104993259.70454204</v>
      </c>
      <c r="D542">
        <v>109835997.84867333</v>
      </c>
      <c r="E542">
        <v>874774.77477477503</v>
      </c>
      <c r="F542">
        <v>193693.69369369399</v>
      </c>
      <c r="G542">
        <v>20</v>
      </c>
      <c r="H542">
        <v>18</v>
      </c>
      <c r="K542">
        <v>20</v>
      </c>
      <c r="L542">
        <v>21</v>
      </c>
      <c r="M542">
        <v>10933333.333333332</v>
      </c>
      <c r="N542">
        <v>5319819.8198198201</v>
      </c>
      <c r="O542">
        <v>5699855.8558558561</v>
      </c>
      <c r="P542">
        <v>8139999.9999999991</v>
      </c>
      <c r="Q542">
        <v>10264144.144144144</v>
      </c>
      <c r="R542">
        <v>5065855.8558558552</v>
      </c>
      <c r="S542">
        <v>1526</v>
      </c>
      <c r="T542">
        <v>1518</v>
      </c>
    </row>
    <row r="543" spans="1:20" x14ac:dyDescent="0.35">
      <c r="A543" s="7" t="s">
        <v>636</v>
      </c>
      <c r="B543" s="12" t="s">
        <v>479</v>
      </c>
      <c r="C543">
        <v>331496797.89359534</v>
      </c>
      <c r="D543">
        <v>305399938.11710727</v>
      </c>
      <c r="E543">
        <v>3030630.6306306361</v>
      </c>
      <c r="F543">
        <v>2676184.684684685</v>
      </c>
      <c r="G543">
        <v>107</v>
      </c>
      <c r="H543">
        <v>66</v>
      </c>
      <c r="K543">
        <v>118</v>
      </c>
      <c r="L543">
        <v>70</v>
      </c>
      <c r="M543">
        <v>94434231.531531543</v>
      </c>
      <c r="N543">
        <v>90232225.225225225</v>
      </c>
      <c r="O543">
        <v>122394846.84684685</v>
      </c>
      <c r="P543">
        <v>115542567.56756757</v>
      </c>
      <c r="Q543">
        <v>84014729.729729727</v>
      </c>
      <c r="R543">
        <v>100477432.43243243</v>
      </c>
      <c r="S543">
        <v>7744</v>
      </c>
      <c r="T543">
        <v>5730</v>
      </c>
    </row>
    <row r="544" spans="1:20" x14ac:dyDescent="0.35">
      <c r="A544" s="7" t="s">
        <v>637</v>
      </c>
      <c r="B544" s="12" t="s">
        <v>143</v>
      </c>
      <c r="C544">
        <v>536828776.35147482</v>
      </c>
      <c r="D544">
        <v>550266068.56363535</v>
      </c>
      <c r="E544">
        <v>4345045.0450450433</v>
      </c>
      <c r="F544">
        <v>4477945.0450450499</v>
      </c>
      <c r="G544">
        <v>134</v>
      </c>
      <c r="H544">
        <v>54</v>
      </c>
      <c r="K544">
        <v>162</v>
      </c>
      <c r="L544">
        <v>62</v>
      </c>
      <c r="M544">
        <v>33835585.585585587</v>
      </c>
      <c r="N544">
        <v>38572090.090090089</v>
      </c>
      <c r="O544">
        <v>66928520.270270273</v>
      </c>
      <c r="P544">
        <v>67986855.855855852</v>
      </c>
      <c r="Q544">
        <v>27807117.117117114</v>
      </c>
      <c r="R544">
        <v>31273963.963963963</v>
      </c>
      <c r="S544">
        <v>10503</v>
      </c>
      <c r="T544">
        <v>9506</v>
      </c>
    </row>
    <row r="545" spans="1:20" x14ac:dyDescent="0.35">
      <c r="A545" s="7" t="s">
        <v>638</v>
      </c>
      <c r="B545" s="12" t="s">
        <v>241</v>
      </c>
      <c r="C545">
        <v>586254484.20737624</v>
      </c>
      <c r="D545">
        <v>571847556.01264918</v>
      </c>
      <c r="E545">
        <v>4109009.0090090102</v>
      </c>
      <c r="F545">
        <v>5531421.6216216227</v>
      </c>
      <c r="G545">
        <v>299</v>
      </c>
      <c r="H545">
        <v>263</v>
      </c>
      <c r="K545">
        <v>354</v>
      </c>
      <c r="L545">
        <v>393</v>
      </c>
      <c r="M545">
        <v>65414324.324324325</v>
      </c>
      <c r="N545">
        <v>68018283.783783779</v>
      </c>
      <c r="O545">
        <v>188337095.4954955</v>
      </c>
      <c r="P545">
        <v>200488927.92792794</v>
      </c>
      <c r="Q545">
        <v>60619639.639639638</v>
      </c>
      <c r="R545">
        <v>67775540.540540546</v>
      </c>
      <c r="S545">
        <v>17103</v>
      </c>
      <c r="T545">
        <v>12831</v>
      </c>
    </row>
    <row r="546" spans="1:20" x14ac:dyDescent="0.35">
      <c r="A546" s="7" t="s">
        <v>639</v>
      </c>
      <c r="B546" s="12" t="s">
        <v>132</v>
      </c>
      <c r="C546">
        <v>228258452.25440967</v>
      </c>
      <c r="D546">
        <v>233097677.80579123</v>
      </c>
      <c r="E546">
        <v>328828.82882882899</v>
      </c>
      <c r="F546">
        <v>146846.846846848</v>
      </c>
      <c r="G546">
        <v>92</v>
      </c>
      <c r="H546">
        <v>77</v>
      </c>
      <c r="I546">
        <v>3</v>
      </c>
      <c r="K546">
        <v>106</v>
      </c>
      <c r="L546">
        <v>89</v>
      </c>
      <c r="M546">
        <v>13588288.288288288</v>
      </c>
      <c r="N546">
        <v>9702027.0270270277</v>
      </c>
      <c r="O546">
        <v>81067216.216216207</v>
      </c>
      <c r="P546">
        <v>82608529.729729727</v>
      </c>
      <c r="Q546">
        <v>13177117.117117116</v>
      </c>
      <c r="R546">
        <v>6486171.1711711707</v>
      </c>
      <c r="S546">
        <v>6729</v>
      </c>
      <c r="T546">
        <v>5515</v>
      </c>
    </row>
    <row r="547" spans="1:20" x14ac:dyDescent="0.35">
      <c r="A547" s="7" t="s">
        <v>640</v>
      </c>
      <c r="B547" s="12" t="s">
        <v>134</v>
      </c>
      <c r="C547">
        <v>680484815.25830078</v>
      </c>
      <c r="D547">
        <v>718371571.60819495</v>
      </c>
      <c r="E547">
        <v>346233200</v>
      </c>
      <c r="F547">
        <v>391133584.68468469</v>
      </c>
      <c r="G547">
        <v>119</v>
      </c>
      <c r="H547">
        <v>109</v>
      </c>
      <c r="I547">
        <v>1</v>
      </c>
      <c r="K547">
        <v>128</v>
      </c>
      <c r="L547">
        <v>123</v>
      </c>
      <c r="M547">
        <v>111863783.78378379</v>
      </c>
      <c r="N547">
        <v>114009983.78378378</v>
      </c>
      <c r="O547">
        <v>88324476.576576576</v>
      </c>
      <c r="P547">
        <v>104207486.48648648</v>
      </c>
      <c r="Q547">
        <v>45321484.684684686</v>
      </c>
      <c r="R547">
        <v>54942972.972972974</v>
      </c>
      <c r="S547">
        <v>8608</v>
      </c>
      <c r="T547">
        <v>7473</v>
      </c>
    </row>
    <row r="548" spans="1:20" x14ac:dyDescent="0.35">
      <c r="A548" s="7" t="s">
        <v>641</v>
      </c>
      <c r="B548" s="12" t="s">
        <v>80</v>
      </c>
      <c r="C548">
        <v>352945690.84741306</v>
      </c>
      <c r="D548">
        <v>354761586.93114012</v>
      </c>
      <c r="E548">
        <v>115491171.17117117</v>
      </c>
      <c r="F548">
        <v>160151546.84684685</v>
      </c>
      <c r="G548">
        <v>60</v>
      </c>
      <c r="H548">
        <v>42</v>
      </c>
      <c r="K548">
        <v>75</v>
      </c>
      <c r="L548">
        <v>77</v>
      </c>
      <c r="M548">
        <v>39155855.855855852</v>
      </c>
      <c r="N548">
        <v>49914913.513513513</v>
      </c>
      <c r="O548">
        <v>127382561.26126127</v>
      </c>
      <c r="P548">
        <v>130772890.0900901</v>
      </c>
      <c r="Q548">
        <v>36439009.009009011</v>
      </c>
      <c r="R548">
        <v>42359909.909909911</v>
      </c>
      <c r="S548">
        <v>5026</v>
      </c>
      <c r="T548">
        <v>4888</v>
      </c>
    </row>
    <row r="549" spans="1:20" x14ac:dyDescent="0.35">
      <c r="A549" s="7" t="s">
        <v>642</v>
      </c>
      <c r="B549" s="12" t="s">
        <v>169</v>
      </c>
      <c r="C549">
        <v>596323314.41302311</v>
      </c>
      <c r="D549">
        <v>613628084.72323883</v>
      </c>
      <c r="E549">
        <v>2274774.7747747749</v>
      </c>
      <c r="F549">
        <v>4263906.3063063072</v>
      </c>
      <c r="G549">
        <v>65</v>
      </c>
      <c r="H549">
        <v>72</v>
      </c>
      <c r="I549">
        <v>2</v>
      </c>
      <c r="K549">
        <v>73</v>
      </c>
      <c r="L549">
        <v>82</v>
      </c>
      <c r="M549">
        <v>51684880.180180185</v>
      </c>
      <c r="N549">
        <v>56670873.873873875</v>
      </c>
      <c r="O549">
        <v>209472819.81981981</v>
      </c>
      <c r="P549">
        <v>234782288.2882883</v>
      </c>
      <c r="Q549">
        <v>47938468.468468472</v>
      </c>
      <c r="R549">
        <v>52293423.423423424</v>
      </c>
      <c r="S549">
        <v>9153</v>
      </c>
      <c r="T549">
        <v>9593</v>
      </c>
    </row>
    <row r="550" spans="1:20" x14ac:dyDescent="0.35">
      <c r="A550" s="7" t="s">
        <v>643</v>
      </c>
      <c r="B550" s="12" t="s">
        <v>58</v>
      </c>
      <c r="C550">
        <v>1018048640.5616373</v>
      </c>
      <c r="D550">
        <v>1014078955.7016743</v>
      </c>
      <c r="E550">
        <v>14435360.360360358</v>
      </c>
      <c r="F550">
        <v>12359444.144144149</v>
      </c>
      <c r="G550">
        <v>316</v>
      </c>
      <c r="H550">
        <v>237</v>
      </c>
      <c r="K550">
        <v>348</v>
      </c>
      <c r="L550">
        <v>274</v>
      </c>
      <c r="M550">
        <v>122850000</v>
      </c>
      <c r="N550">
        <v>166756336.93693691</v>
      </c>
      <c r="O550">
        <v>209402959.45945945</v>
      </c>
      <c r="P550">
        <v>215390556.75675678</v>
      </c>
      <c r="Q550">
        <v>68829009.009009004</v>
      </c>
      <c r="R550">
        <v>174374324.32432431</v>
      </c>
      <c r="S550">
        <v>20215</v>
      </c>
      <c r="T550">
        <v>17373</v>
      </c>
    </row>
    <row r="551" spans="1:20" x14ac:dyDescent="0.35">
      <c r="A551" s="7" t="s">
        <v>644</v>
      </c>
      <c r="B551" s="12" t="s">
        <v>58</v>
      </c>
      <c r="C551">
        <v>1269125663.4194822</v>
      </c>
      <c r="D551">
        <v>1298401334.0889513</v>
      </c>
      <c r="E551">
        <v>366389478.37837839</v>
      </c>
      <c r="F551">
        <v>679128311.71171176</v>
      </c>
      <c r="G551">
        <v>1444</v>
      </c>
      <c r="H551">
        <v>567</v>
      </c>
      <c r="I551">
        <v>1</v>
      </c>
      <c r="K551">
        <v>1637</v>
      </c>
      <c r="L551">
        <v>913</v>
      </c>
      <c r="M551">
        <v>212433333.33333334</v>
      </c>
      <c r="N551">
        <v>388494086.48648643</v>
      </c>
      <c r="O551">
        <v>381407743.24324328</v>
      </c>
      <c r="P551">
        <v>375700571.17117119</v>
      </c>
      <c r="Q551">
        <v>186361891.89189187</v>
      </c>
      <c r="R551">
        <v>381080580.18018013</v>
      </c>
      <c r="S551">
        <v>34230</v>
      </c>
      <c r="T551">
        <v>21968</v>
      </c>
    </row>
    <row r="552" spans="1:20" x14ac:dyDescent="0.35">
      <c r="A552" s="7" t="s">
        <v>645</v>
      </c>
      <c r="B552" s="12" t="s">
        <v>307</v>
      </c>
      <c r="C552">
        <v>414430973.43231791</v>
      </c>
      <c r="D552">
        <v>395283790.63472635</v>
      </c>
      <c r="E552">
        <v>2163063.0630630632</v>
      </c>
      <c r="F552">
        <v>2238738.7387387389</v>
      </c>
      <c r="G552">
        <v>65</v>
      </c>
      <c r="H552">
        <v>37</v>
      </c>
      <c r="K552">
        <v>69</v>
      </c>
      <c r="L552">
        <v>48</v>
      </c>
      <c r="M552">
        <v>7621261.261261262</v>
      </c>
      <c r="N552">
        <v>7374954.9549549539</v>
      </c>
      <c r="O552">
        <v>68784777.477477476</v>
      </c>
      <c r="P552">
        <v>72059653.153153151</v>
      </c>
      <c r="Q552">
        <v>7146396.3963963967</v>
      </c>
      <c r="R552">
        <v>7486936.9369369363</v>
      </c>
      <c r="S552">
        <v>5661</v>
      </c>
      <c r="T552">
        <v>5071</v>
      </c>
    </row>
    <row r="553" spans="1:20" x14ac:dyDescent="0.35">
      <c r="A553" s="7" t="s">
        <v>13</v>
      </c>
      <c r="B553" s="12" t="s">
        <v>158</v>
      </c>
      <c r="C553">
        <v>475053291.03286129</v>
      </c>
      <c r="D553">
        <v>445756632.36136365</v>
      </c>
      <c r="E553">
        <v>6318918.9189189253</v>
      </c>
      <c r="F553">
        <v>7280018.9189189225</v>
      </c>
      <c r="G553">
        <v>244</v>
      </c>
      <c r="H553">
        <v>210</v>
      </c>
      <c r="I553">
        <v>2</v>
      </c>
      <c r="K553">
        <v>836</v>
      </c>
      <c r="L553">
        <v>1015</v>
      </c>
      <c r="M553">
        <v>177102027.02702704</v>
      </c>
      <c r="N553">
        <v>181679764.86486486</v>
      </c>
      <c r="O553">
        <v>285670135.13513511</v>
      </c>
      <c r="P553">
        <v>279009504.5045045</v>
      </c>
      <c r="Q553">
        <v>192270718.91891891</v>
      </c>
      <c r="R553">
        <v>208183063.06306309</v>
      </c>
      <c r="S553">
        <v>10672</v>
      </c>
      <c r="T553">
        <v>7168</v>
      </c>
    </row>
    <row r="554" spans="1:20" x14ac:dyDescent="0.35">
      <c r="A554" s="7" t="s">
        <v>646</v>
      </c>
      <c r="B554" s="12" t="s">
        <v>121</v>
      </c>
      <c r="C554">
        <v>319629257.30351526</v>
      </c>
      <c r="D554">
        <v>329316408.90586263</v>
      </c>
      <c r="E554">
        <v>181081.08108108101</v>
      </c>
      <c r="F554">
        <v>126609.00900901</v>
      </c>
      <c r="G554">
        <v>72</v>
      </c>
      <c r="H554">
        <v>105</v>
      </c>
      <c r="K554">
        <v>77</v>
      </c>
      <c r="L554">
        <v>111</v>
      </c>
      <c r="M554">
        <v>2256756.7567567569</v>
      </c>
      <c r="N554">
        <v>1658639.6396396409</v>
      </c>
      <c r="O554">
        <v>28308511.261261258</v>
      </c>
      <c r="P554">
        <v>31632663.063063063</v>
      </c>
      <c r="Q554">
        <v>1258288.2882882881</v>
      </c>
      <c r="R554">
        <v>1259909.9099099101</v>
      </c>
      <c r="S554">
        <v>3332</v>
      </c>
      <c r="T554">
        <v>3813</v>
      </c>
    </row>
    <row r="555" spans="1:20" x14ac:dyDescent="0.35">
      <c r="A555" s="7" t="s">
        <v>647</v>
      </c>
      <c r="B555" s="12" t="s">
        <v>315</v>
      </c>
      <c r="C555">
        <v>115114031.86235081</v>
      </c>
      <c r="D555">
        <v>104360311.68455635</v>
      </c>
      <c r="E555">
        <v>1931531.5315315309</v>
      </c>
      <c r="F555">
        <v>2392881.9819819839</v>
      </c>
      <c r="G555">
        <v>46</v>
      </c>
      <c r="H555">
        <v>12</v>
      </c>
      <c r="K555">
        <v>47</v>
      </c>
      <c r="L555">
        <v>13</v>
      </c>
      <c r="M555">
        <v>35508108.108108111</v>
      </c>
      <c r="N555">
        <v>41245779.279279277</v>
      </c>
      <c r="O555">
        <v>28925504.504504506</v>
      </c>
      <c r="P555">
        <v>27518387.387387387</v>
      </c>
      <c r="Q555">
        <v>36542702.702702701</v>
      </c>
      <c r="R555">
        <v>37637567.567567565</v>
      </c>
      <c r="S555">
        <v>1540</v>
      </c>
      <c r="T555">
        <v>1297</v>
      </c>
    </row>
    <row r="556" spans="1:20" x14ac:dyDescent="0.35">
      <c r="A556" s="7" t="s">
        <v>648</v>
      </c>
      <c r="B556" s="12" t="s">
        <v>260</v>
      </c>
      <c r="C556">
        <v>293994435.86095238</v>
      </c>
      <c r="D556">
        <v>307469151.50268972</v>
      </c>
      <c r="E556">
        <v>1644144.144144143</v>
      </c>
      <c r="F556">
        <v>1572072.072072072</v>
      </c>
      <c r="G556">
        <v>95</v>
      </c>
      <c r="H556">
        <v>80</v>
      </c>
      <c r="K556">
        <v>102</v>
      </c>
      <c r="L556">
        <v>83</v>
      </c>
      <c r="M556">
        <v>54376576.576576576</v>
      </c>
      <c r="N556">
        <v>58249549.54954955</v>
      </c>
      <c r="O556">
        <v>96464810.810810819</v>
      </c>
      <c r="P556">
        <v>108037207.2072072</v>
      </c>
      <c r="Q556">
        <v>56091621.621621624</v>
      </c>
      <c r="R556">
        <v>57827567.567567565</v>
      </c>
      <c r="S556">
        <v>4764</v>
      </c>
      <c r="T556">
        <v>4202</v>
      </c>
    </row>
    <row r="557" spans="1:20" x14ac:dyDescent="0.35">
      <c r="A557" s="7" t="s">
        <v>649</v>
      </c>
      <c r="B557" s="12" t="s">
        <v>224</v>
      </c>
      <c r="C557">
        <v>288618715.03459924</v>
      </c>
      <c r="D557">
        <v>326206047.36779624</v>
      </c>
      <c r="E557">
        <v>5349324.3243243247</v>
      </c>
      <c r="F557">
        <v>4063947.7477477491</v>
      </c>
      <c r="G557">
        <v>84</v>
      </c>
      <c r="H557">
        <v>107</v>
      </c>
      <c r="K557">
        <v>92</v>
      </c>
      <c r="L557">
        <v>127</v>
      </c>
      <c r="M557">
        <v>85441441.441441447</v>
      </c>
      <c r="N557">
        <v>43989741.441441439</v>
      </c>
      <c r="O557">
        <v>65786250.45045045</v>
      </c>
      <c r="P557">
        <v>80542745.945945948</v>
      </c>
      <c r="Q557">
        <v>80648828.828828827</v>
      </c>
      <c r="R557">
        <v>40318648.648648649</v>
      </c>
      <c r="S557">
        <v>5876</v>
      </c>
      <c r="T557">
        <v>5497</v>
      </c>
    </row>
    <row r="558" spans="1:20" x14ac:dyDescent="0.35">
      <c r="A558" s="7" t="s">
        <v>650</v>
      </c>
      <c r="B558" s="12" t="s">
        <v>224</v>
      </c>
      <c r="C558">
        <v>232739294.27256233</v>
      </c>
      <c r="D558">
        <v>258303702.32048553</v>
      </c>
      <c r="E558">
        <v>65765.765765767006</v>
      </c>
      <c r="F558">
        <v>153015.31531531599</v>
      </c>
      <c r="G558">
        <v>46</v>
      </c>
      <c r="H558">
        <v>51</v>
      </c>
      <c r="K558">
        <v>48</v>
      </c>
      <c r="L558">
        <v>54</v>
      </c>
      <c r="M558">
        <v>10276216.216216216</v>
      </c>
      <c r="N558">
        <v>15246132.432432432</v>
      </c>
      <c r="O558">
        <v>32205801.801801801</v>
      </c>
      <c r="P558">
        <v>41559648.648648649</v>
      </c>
      <c r="Q558">
        <v>9840000</v>
      </c>
      <c r="R558">
        <v>13151711.711711712</v>
      </c>
      <c r="S558">
        <v>3261</v>
      </c>
      <c r="T558">
        <v>3145</v>
      </c>
    </row>
    <row r="559" spans="1:20" x14ac:dyDescent="0.35">
      <c r="A559" s="7" t="s">
        <v>651</v>
      </c>
      <c r="B559" s="12" t="s">
        <v>224</v>
      </c>
      <c r="C559">
        <v>895633646.88683605</v>
      </c>
      <c r="D559">
        <v>995906813.94628608</v>
      </c>
      <c r="E559">
        <v>382445943.24324328</v>
      </c>
      <c r="F559">
        <v>385851580.18018013</v>
      </c>
      <c r="G559">
        <v>341</v>
      </c>
      <c r="H559">
        <v>397</v>
      </c>
      <c r="K559">
        <v>496</v>
      </c>
      <c r="L559">
        <v>498</v>
      </c>
      <c r="M559">
        <v>256570810.8108108</v>
      </c>
      <c r="N559">
        <v>208127498.1981982</v>
      </c>
      <c r="O559">
        <v>219587644.14414412</v>
      </c>
      <c r="P559">
        <v>260212908.1081081</v>
      </c>
      <c r="Q559">
        <v>240089639.63963965</v>
      </c>
      <c r="R559">
        <v>183888108.10810813</v>
      </c>
      <c r="S559">
        <v>19386</v>
      </c>
      <c r="T559">
        <v>18477</v>
      </c>
    </row>
    <row r="560" spans="1:20" x14ac:dyDescent="0.35">
      <c r="A560" s="7" t="s">
        <v>652</v>
      </c>
      <c r="B560" s="12" t="s">
        <v>224</v>
      </c>
      <c r="C560">
        <v>108512994.73512881</v>
      </c>
      <c r="D560">
        <v>126102777.76927479</v>
      </c>
      <c r="E560">
        <v>207207.207207208</v>
      </c>
      <c r="F560">
        <v>410810.810810811</v>
      </c>
      <c r="G560">
        <v>27</v>
      </c>
      <c r="H560">
        <v>34</v>
      </c>
      <c r="K560">
        <v>34</v>
      </c>
      <c r="L560">
        <v>35</v>
      </c>
      <c r="M560">
        <v>1648648.6486486481</v>
      </c>
      <c r="N560">
        <v>4495495.4954954954</v>
      </c>
      <c r="O560">
        <v>17006657.657657657</v>
      </c>
      <c r="P560">
        <v>22532070.270270273</v>
      </c>
      <c r="Q560">
        <v>1626306.306306306</v>
      </c>
      <c r="R560">
        <v>2544774.7747747749</v>
      </c>
      <c r="S560">
        <v>1811</v>
      </c>
      <c r="T560">
        <v>1763</v>
      </c>
    </row>
    <row r="561" spans="1:20" x14ac:dyDescent="0.35">
      <c r="A561" s="7" t="s">
        <v>653</v>
      </c>
      <c r="B561" s="12" t="s">
        <v>96</v>
      </c>
      <c r="C561">
        <v>563867898.1951133</v>
      </c>
      <c r="D561">
        <v>540975734.65235436</v>
      </c>
      <c r="E561">
        <v>812612.61261261394</v>
      </c>
      <c r="F561">
        <v>3762650.4504504502</v>
      </c>
      <c r="G561">
        <v>242</v>
      </c>
      <c r="H561">
        <v>207</v>
      </c>
      <c r="K561">
        <v>255</v>
      </c>
      <c r="L561">
        <v>221</v>
      </c>
      <c r="M561">
        <v>13081081.081081085</v>
      </c>
      <c r="N561">
        <v>26707626.126126129</v>
      </c>
      <c r="O561">
        <v>76493189.189189181</v>
      </c>
      <c r="P561">
        <v>73424270.270270273</v>
      </c>
      <c r="Q561">
        <v>11044684.684684686</v>
      </c>
      <c r="R561">
        <v>21972252.252252251</v>
      </c>
      <c r="S561">
        <v>10253</v>
      </c>
      <c r="T561">
        <v>8762</v>
      </c>
    </row>
    <row r="562" spans="1:20" x14ac:dyDescent="0.35">
      <c r="A562" s="7" t="s">
        <v>654</v>
      </c>
      <c r="B562" s="12" t="s">
        <v>66</v>
      </c>
      <c r="C562">
        <v>348934470.33864725</v>
      </c>
      <c r="D562">
        <v>323015177.55692756</v>
      </c>
      <c r="E562">
        <v>8438738.7387387417</v>
      </c>
      <c r="F562">
        <v>7645525.225225226</v>
      </c>
      <c r="G562">
        <v>123</v>
      </c>
      <c r="H562">
        <v>93</v>
      </c>
      <c r="K562">
        <v>133</v>
      </c>
      <c r="L562">
        <v>96</v>
      </c>
      <c r="M562">
        <v>98305405.405405402</v>
      </c>
      <c r="N562">
        <v>122396441.44144145</v>
      </c>
      <c r="O562">
        <v>228506414.41441441</v>
      </c>
      <c r="P562">
        <v>213792369.36936939</v>
      </c>
      <c r="Q562">
        <v>101840090.0900901</v>
      </c>
      <c r="R562">
        <v>120460045.04504503</v>
      </c>
      <c r="S562">
        <v>6554</v>
      </c>
      <c r="T562">
        <v>5265</v>
      </c>
    </row>
    <row r="563" spans="1:20" x14ac:dyDescent="0.35">
      <c r="A563" s="7" t="s">
        <v>655</v>
      </c>
      <c r="B563" s="12" t="s">
        <v>68</v>
      </c>
      <c r="C563">
        <v>556561375.93864179</v>
      </c>
      <c r="D563">
        <v>560824631.58519912</v>
      </c>
      <c r="E563">
        <v>36250000</v>
      </c>
      <c r="F563">
        <v>30740683.783783782</v>
      </c>
      <c r="G563">
        <v>97</v>
      </c>
      <c r="H563">
        <v>69</v>
      </c>
      <c r="I563">
        <v>2</v>
      </c>
      <c r="K563">
        <v>108</v>
      </c>
      <c r="L563">
        <v>76</v>
      </c>
      <c r="M563">
        <v>31556842.342342343</v>
      </c>
      <c r="N563">
        <v>39021783.783783786</v>
      </c>
      <c r="O563">
        <v>73681099.0990991</v>
      </c>
      <c r="P563">
        <v>82558324.324324325</v>
      </c>
      <c r="Q563">
        <v>22243153.153153151</v>
      </c>
      <c r="R563">
        <v>24722567.567567568</v>
      </c>
      <c r="S563">
        <v>7224</v>
      </c>
      <c r="T563">
        <v>4895</v>
      </c>
    </row>
    <row r="564" spans="1:20" x14ac:dyDescent="0.35">
      <c r="A564" s="7" t="s">
        <v>14</v>
      </c>
      <c r="B564" s="12" t="s">
        <v>158</v>
      </c>
      <c r="C564">
        <v>240860680.16253296</v>
      </c>
      <c r="D564">
        <v>239444971.9093622</v>
      </c>
      <c r="E564">
        <v>1682882.882882881</v>
      </c>
      <c r="F564">
        <v>1779947.7477477491</v>
      </c>
      <c r="G564">
        <v>39</v>
      </c>
      <c r="H564">
        <v>36</v>
      </c>
      <c r="K564">
        <v>41</v>
      </c>
      <c r="L564">
        <v>40</v>
      </c>
      <c r="M564">
        <v>51436936.936936937</v>
      </c>
      <c r="N564">
        <v>52455705.40540541</v>
      </c>
      <c r="O564">
        <v>80156396.396396399</v>
      </c>
      <c r="P564">
        <v>83526045.045045033</v>
      </c>
      <c r="Q564">
        <v>49132522.522522517</v>
      </c>
      <c r="R564">
        <v>45674504.504504502</v>
      </c>
      <c r="S564">
        <v>4211</v>
      </c>
      <c r="T564">
        <v>4032</v>
      </c>
    </row>
    <row r="565" spans="1:20" x14ac:dyDescent="0.35">
      <c r="A565" s="7" t="s">
        <v>656</v>
      </c>
      <c r="B565" s="12" t="s">
        <v>304</v>
      </c>
      <c r="C565">
        <v>257302517.37840313</v>
      </c>
      <c r="D565">
        <v>257436443.36501873</v>
      </c>
      <c r="E565">
        <v>993693.69369369303</v>
      </c>
      <c r="F565">
        <v>1708435.1351351361</v>
      </c>
      <c r="G565">
        <v>306</v>
      </c>
      <c r="H565">
        <v>55</v>
      </c>
      <c r="K565">
        <v>322</v>
      </c>
      <c r="L565">
        <v>59</v>
      </c>
      <c r="M565">
        <v>45309909.909909911</v>
      </c>
      <c r="N565">
        <v>46847094.59459459</v>
      </c>
      <c r="O565">
        <v>76978896.396396399</v>
      </c>
      <c r="P565">
        <v>77023261.261261269</v>
      </c>
      <c r="Q565">
        <v>41313513.513513513</v>
      </c>
      <c r="R565">
        <v>38892702.702702701</v>
      </c>
      <c r="S565">
        <v>3487</v>
      </c>
      <c r="T565">
        <v>3030</v>
      </c>
    </row>
    <row r="566" spans="1:20" x14ac:dyDescent="0.35">
      <c r="A566" s="7" t="s">
        <v>657</v>
      </c>
      <c r="B566" s="12" t="s">
        <v>48</v>
      </c>
      <c r="C566">
        <v>323160339.42040724</v>
      </c>
      <c r="D566">
        <v>308502257.47840518</v>
      </c>
      <c r="E566">
        <v>2309009.009009012</v>
      </c>
      <c r="F566">
        <v>3783863.0630630641</v>
      </c>
      <c r="G566">
        <v>104</v>
      </c>
      <c r="H566">
        <v>19</v>
      </c>
      <c r="K566">
        <v>154</v>
      </c>
      <c r="L566">
        <v>22</v>
      </c>
      <c r="M566">
        <v>62931171.171171166</v>
      </c>
      <c r="N566">
        <v>22350060.360360362</v>
      </c>
      <c r="O566">
        <v>102864972.97297297</v>
      </c>
      <c r="P566">
        <v>97244529.729729727</v>
      </c>
      <c r="Q566">
        <v>62911261.261261262</v>
      </c>
      <c r="R566">
        <v>21951981.981981985</v>
      </c>
      <c r="S566">
        <v>3736</v>
      </c>
      <c r="T566">
        <v>3008</v>
      </c>
    </row>
    <row r="567" spans="1:20" x14ac:dyDescent="0.35">
      <c r="A567" s="7" t="s">
        <v>658</v>
      </c>
      <c r="B567" s="12" t="s">
        <v>54</v>
      </c>
      <c r="C567">
        <v>105697718.31908453</v>
      </c>
      <c r="D567">
        <v>107853597.51202023</v>
      </c>
      <c r="E567">
        <v>1127027.0270270261</v>
      </c>
      <c r="F567">
        <v>3110433.333333333</v>
      </c>
      <c r="G567">
        <v>2</v>
      </c>
      <c r="H567">
        <v>19</v>
      </c>
      <c r="K567">
        <v>2</v>
      </c>
      <c r="L567">
        <v>25</v>
      </c>
      <c r="M567">
        <v>8261261.2612612611</v>
      </c>
      <c r="N567">
        <v>12760702.702702705</v>
      </c>
      <c r="O567">
        <v>24308558.558558561</v>
      </c>
      <c r="P567">
        <v>26012360.360360362</v>
      </c>
      <c r="Q567">
        <v>7915405.4054054059</v>
      </c>
      <c r="R567">
        <v>10680900.9009009</v>
      </c>
      <c r="S567">
        <v>1649</v>
      </c>
      <c r="T567">
        <v>1561</v>
      </c>
    </row>
    <row r="568" spans="1:20" x14ac:dyDescent="0.35">
      <c r="A568" s="7" t="s">
        <v>659</v>
      </c>
      <c r="B568" s="12" t="s">
        <v>50</v>
      </c>
      <c r="C568">
        <v>471609917.52541548</v>
      </c>
      <c r="D568">
        <v>476575514.2533955</v>
      </c>
      <c r="E568">
        <v>2025225.225225227</v>
      </c>
      <c r="F568">
        <v>2484330.6306306338</v>
      </c>
      <c r="G568">
        <v>86</v>
      </c>
      <c r="H568">
        <v>24</v>
      </c>
      <c r="K568">
        <v>97</v>
      </c>
      <c r="L568">
        <v>27</v>
      </c>
      <c r="M568">
        <v>114033063.06306307</v>
      </c>
      <c r="N568">
        <v>84847023.423423424</v>
      </c>
      <c r="O568">
        <v>233988927.92792794</v>
      </c>
      <c r="P568">
        <v>240999396.3963964</v>
      </c>
      <c r="Q568">
        <v>108374864.86486487</v>
      </c>
      <c r="R568">
        <v>89212612.612612605</v>
      </c>
      <c r="S568">
        <v>7969</v>
      </c>
      <c r="T568">
        <v>5778</v>
      </c>
    </row>
    <row r="569" spans="1:20" x14ac:dyDescent="0.35">
      <c r="A569" s="7" t="s">
        <v>660</v>
      </c>
      <c r="B569" s="12" t="s">
        <v>83</v>
      </c>
      <c r="C569">
        <v>568508209.95015216</v>
      </c>
      <c r="D569">
        <v>560557793.28454971</v>
      </c>
      <c r="E569">
        <v>70380872.972972974</v>
      </c>
      <c r="F569">
        <v>145345378.37837836</v>
      </c>
      <c r="G569">
        <v>155</v>
      </c>
      <c r="H569">
        <v>162</v>
      </c>
      <c r="K569">
        <v>173</v>
      </c>
      <c r="L569">
        <v>191</v>
      </c>
      <c r="M569">
        <v>76059145.945945948</v>
      </c>
      <c r="N569">
        <v>150241733.33333334</v>
      </c>
      <c r="O569">
        <v>145010747.74774775</v>
      </c>
      <c r="P569">
        <v>149798363.96396396</v>
      </c>
      <c r="Q569">
        <v>47406891.891891889</v>
      </c>
      <c r="R569">
        <v>57912520.720720723</v>
      </c>
      <c r="S569">
        <v>9513</v>
      </c>
      <c r="T569">
        <v>8926</v>
      </c>
    </row>
    <row r="570" spans="1:20" x14ac:dyDescent="0.35">
      <c r="A570" s="14" t="s">
        <v>661</v>
      </c>
      <c r="B570" s="13"/>
      <c r="C570" s="15">
        <v>234406750297.57965</v>
      </c>
      <c r="D570" s="15">
        <v>233608407361.28128</v>
      </c>
      <c r="E570" s="15">
        <v>50491653345.045006</v>
      </c>
      <c r="F570" s="15">
        <v>63415450079.279213</v>
      </c>
      <c r="G570" s="15">
        <v>94261</v>
      </c>
      <c r="H570" s="15">
        <v>74146</v>
      </c>
      <c r="I570" s="15">
        <v>781</v>
      </c>
      <c r="J570" s="15"/>
      <c r="K570" s="15">
        <v>130592</v>
      </c>
      <c r="L570" s="15">
        <v>108121</v>
      </c>
      <c r="M570" s="15">
        <v>52007795629.729736</v>
      </c>
      <c r="N570" s="15">
        <v>63362639613.513519</v>
      </c>
      <c r="O570" s="15">
        <v>69581848802.702698</v>
      </c>
      <c r="P570" s="15">
        <v>74507063818.918869</v>
      </c>
      <c r="Q570" s="15">
        <v>41460506958.55854</v>
      </c>
      <c r="R570" s="15">
        <v>51961109972.972984</v>
      </c>
      <c r="S570" s="15">
        <v>4645899</v>
      </c>
      <c r="T570" s="15">
        <v>3735420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2026-09-04T01:10:49Z</dcterms:modified>
</cp:coreProperties>
</file>