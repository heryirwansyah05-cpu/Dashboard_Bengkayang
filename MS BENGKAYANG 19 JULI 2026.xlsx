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2" r:id="rId2"/>
  </sheets>
  <definedNames>
    <definedName name="_xlnm._FilterDatabase" localSheetId="0" hidden="1">Sheet1!$A$5:$O$11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9" i="1" l="1"/>
  <c r="T19" i="1" l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K19" i="1"/>
  <c r="K18" i="1"/>
  <c r="K17" i="1"/>
  <c r="K16" i="1"/>
  <c r="K15" i="1"/>
  <c r="K14" i="1"/>
  <c r="K13" i="1"/>
  <c r="K12" i="1"/>
  <c r="K11" i="1"/>
  <c r="K10" i="1"/>
  <c r="K8" i="1"/>
  <c r="K7" i="1"/>
  <c r="K6" i="1"/>
  <c r="S7" i="1" l="1"/>
  <c r="S8" i="1"/>
  <c r="S9" i="1"/>
  <c r="S10" i="1"/>
  <c r="S11" i="1"/>
  <c r="S12" i="1"/>
  <c r="S13" i="1"/>
  <c r="S14" i="1"/>
  <c r="S15" i="1"/>
  <c r="S16" i="1"/>
  <c r="S17" i="1"/>
  <c r="S18" i="1"/>
  <c r="S19" i="1"/>
  <c r="S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6" i="1"/>
  <c r="M17" i="2"/>
  <c r="L17" i="2"/>
  <c r="J17" i="2" l="1"/>
  <c r="K17" i="2"/>
  <c r="I17" i="2" l="1"/>
  <c r="H17" i="2"/>
  <c r="G17" i="2"/>
  <c r="F17" i="2"/>
  <c r="E17" i="2"/>
  <c r="D17" i="2"/>
  <c r="C17" i="2"/>
  <c r="B17" i="2"/>
  <c r="P7" i="1" l="1"/>
  <c r="P8" i="1"/>
  <c r="P9" i="1"/>
  <c r="P10" i="1"/>
  <c r="P11" i="1"/>
  <c r="P12" i="1"/>
  <c r="P13" i="1"/>
  <c r="P14" i="1"/>
  <c r="P15" i="1"/>
  <c r="P16" i="1"/>
  <c r="P17" i="1"/>
  <c r="P18" i="1"/>
  <c r="P19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P6" i="1"/>
  <c r="O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6" i="1"/>
  <c r="F7" i="1"/>
  <c r="H7" i="1" s="1"/>
  <c r="F8" i="1"/>
  <c r="F9" i="1"/>
  <c r="F10" i="1"/>
  <c r="H10" i="1" s="1"/>
  <c r="F11" i="1"/>
  <c r="H11" i="1" s="1"/>
  <c r="F12" i="1"/>
  <c r="H12" i="1" s="1"/>
  <c r="F13" i="1"/>
  <c r="H13" i="1" s="1"/>
  <c r="F14" i="1"/>
  <c r="H14" i="1" s="1"/>
  <c r="F15" i="1"/>
  <c r="H15" i="1" s="1"/>
  <c r="F16" i="1"/>
  <c r="H16" i="1" s="1"/>
  <c r="F17" i="1"/>
  <c r="F18" i="1"/>
  <c r="F19" i="1"/>
  <c r="H19" i="1" s="1"/>
  <c r="F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D6" i="1"/>
  <c r="C6" i="1"/>
  <c r="E6" i="1" s="1"/>
  <c r="E12" i="1" l="1"/>
  <c r="E18" i="1"/>
  <c r="H9" i="1"/>
  <c r="H6" i="1"/>
  <c r="H8" i="1"/>
  <c r="H18" i="1"/>
  <c r="H17" i="1"/>
  <c r="E16" i="1"/>
  <c r="E9" i="1"/>
  <c r="E19" i="1"/>
  <c r="E13" i="1"/>
  <c r="E7" i="1"/>
  <c r="E15" i="1"/>
  <c r="E14" i="1"/>
  <c r="E8" i="1"/>
  <c r="E10" i="1"/>
  <c r="E17" i="1"/>
  <c r="E11" i="1"/>
</calcChain>
</file>

<file path=xl/sharedStrings.xml><?xml version="1.0" encoding="utf-8"?>
<sst xmlns="http://schemas.openxmlformats.org/spreadsheetml/2006/main" count="78" uniqueCount="46">
  <si>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</si>
  <si>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</si>
  <si>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</si>
  <si>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</si>
  <si>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</si>
  <si>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</si>
  <si>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</si>
  <si>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</si>
  <si>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</si>
  <si>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</si>
  <si>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</si>
  <si>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</si>
  <si>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</si>
  <si>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</si>
  <si>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</si>
  <si>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</si>
  <si>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</si>
  <si>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</si>
  <si>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</si>
  <si>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</si>
  <si>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</si>
  <si>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</si>
  <si>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</si>
  <si>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</si>
  <si>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</si>
  <si>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</si>
  <si>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</si>
  <si>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</si>
  <si>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Row Labels</t>
  </si>
  <si>
    <t>Sum of Trade Supply</t>
  </si>
  <si>
    <t>Sum of Tertiary B#</t>
  </si>
  <si>
    <t>Sum of Secondary</t>
  </si>
  <si>
    <t>Sum of Primary</t>
  </si>
  <si>
    <t>Sum of Prepaid Rev</t>
  </si>
  <si>
    <t>Grand Total</t>
  </si>
  <si>
    <t>Sum of Trade Supply2 LMTD</t>
  </si>
  <si>
    <t>Sum of Tertiary B#2 LMTD</t>
  </si>
  <si>
    <t xml:space="preserve"> LMTD Sum of Secondary2</t>
  </si>
  <si>
    <t>Sum of Primary2 LMTD</t>
  </si>
  <si>
    <t>Sum of Prepaid Rev2 LMTD</t>
  </si>
  <si>
    <t>VLR SUBS MTD</t>
  </si>
  <si>
    <t>VLR SUBS LMTD</t>
  </si>
  <si>
    <t>VLR_SUBS</t>
  </si>
  <si>
    <t>MTD</t>
  </si>
  <si>
    <t>LMTD</t>
  </si>
  <si>
    <t>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</si>
</sst>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17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0" fontId="1" fillId="3" borderId="1" xfId="0" applyNumberFormat="1" applyFont="1" applyFill="1" applyBorder="1" applyAlignment="1" applyProtection="1">
      <alignment horizontal="right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164" fontId="5" fillId="5" borderId="2" xfId="1" applyNumberFormat="1" applyFont="1" applyFill="1" applyBorder="1"/>
    <xf numFmtId="164" fontId="0" fillId="0" borderId="0" xfId="1" applyNumberFormat="1" applyFont="1" applyAlignment="1">
      <alignment horizontal="left"/>
    </xf>
    <xf numFmtId="164" fontId="5" fillId="5" borderId="3" xfId="1" applyNumberFormat="1" applyFont="1" applyFill="1" applyBorder="1" applyAlignment="1">
      <alignment horizontal="left"/>
    </xf>
    <xf numFmtId="164" fontId="5" fillId="5" borderId="3" xfId="1" applyNumberFormat="1" applyFont="1" applyFill="1" applyBorder="1"/>
    <xf numFmtId="0" fontId="2" fillId="2" borderId="1" xfId="0" applyFont="1" applyFill="1" applyBorder="1" applyAlignment="1">
      <alignment horizontal="center" vertical="center"/>
    </xf>
    <xf numFmtId="164" fontId="0" fillId="0" borderId="0" xfId="1" applyNumberFormat="1" applyFont="1"/>
    <xf numFmtId="0" fontId="0" fillId="0" borderId="0" xfId="0" applyAlignment="1">
      <alignment vertical="top"/>
    </xf>
    <xf numFmtId="0" fontId="0" fillId="0" borderId="4" xfId="0" applyBorder="1"/>
    <xf numFmtId="10" fontId="1" fillId="3" borderId="1" xfId="2" applyNumberFormat="1" applyFont="1" applyFill="1" applyBorder="1" applyAlignment="1" applyProtection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T19"/>
  <sheetViews>
    <sheetView tabSelected="1" zoomScale="44" workbookViewId="0">
      <pane xSplit="1" ySplit="5" topLeftCell="I6" activePane="bottomRight" state="frozen"/>
      <selection pane="topRight" activeCell="B1" sqref="B1"/>
      <selection pane="bottomLeft" activeCell="A6" sqref="A6"/>
      <selection pane="bottomRight" activeCell="K10" sqref="K10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6" bestFit="1" customWidth="1"/>
    <col min="3" max="17" width="28.6328125" style="6" customWidth="1"/>
    <col min="18" max="18" width="18" style="2" bestFit="1" customWidth="1"/>
    <col min="19" max="19" width="19.08984375" style="2" bestFit="1" customWidth="1"/>
    <col min="20" max="20" width="12.453125" style="2" bestFit="1" customWidth="1"/>
    <col min="21" max="16384" width="11.7265625" style="2"/>
  </cols>
  <sheetData>
    <row r="4" spans="1:20" ht="64.5" customHeight="1" x14ac:dyDescent="0.35"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1:20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45</v>
      </c>
      <c r="F5" s="3" t="s">
        <v>19</v>
      </c>
      <c r="G5" s="3" t="s">
        <v>24</v>
      </c>
      <c r="H5" s="3" t="s">
        <v>45</v>
      </c>
      <c r="I5" s="3" t="s">
        <v>20</v>
      </c>
      <c r="J5" s="3" t="s">
        <v>25</v>
      </c>
      <c r="K5" s="3" t="s">
        <v>45</v>
      </c>
      <c r="L5" s="3" t="s">
        <v>21</v>
      </c>
      <c r="M5" s="3" t="s">
        <v>26</v>
      </c>
      <c r="N5" s="3" t="s">
        <v>45</v>
      </c>
      <c r="O5" s="3" t="s">
        <v>22</v>
      </c>
      <c r="P5" s="3" t="s">
        <v>27</v>
      </c>
      <c r="Q5" s="3" t="s">
        <v>45</v>
      </c>
      <c r="R5" s="3" t="s">
        <v>40</v>
      </c>
      <c r="S5" s="3" t="s">
        <v>41</v>
      </c>
      <c r="T5" s="3" t="s">
        <v>45</v>
      </c>
    </row>
    <row r="6" spans="1:20" ht="64.5" customHeight="1" x14ac:dyDescent="0.35">
      <c r="A6" s="4" t="s">
        <v>2</v>
      </c>
      <c r="B6" s="1" t="s">
        <v>17</v>
      </c>
      <c r="C6" s="5">
        <f>VLOOKUP(A:A,MASTER!A:J,10,0)</f>
        <v>13395326.593805984</v>
      </c>
      <c r="D6" s="5">
        <f>VLOOKUP(A:A,MASTER!A:K,11,0)</f>
        <v>7512211.1851744372</v>
      </c>
      <c r="E6" s="16">
        <f>C6/D6-1</f>
        <v>0.78314031163581266</v>
      </c>
      <c r="F6" s="5">
        <f>VLOOKUP(A:A,MASTER!A:H,8,0)</f>
        <v>40540.540540542002</v>
      </c>
      <c r="G6" s="5">
        <f>VLOOKUP(A:A,MASTER!A:I,9,0)</f>
        <v>90090.090090090001</v>
      </c>
      <c r="H6" s="16">
        <f>F6/G6-1</f>
        <v>-0.54999999999998339</v>
      </c>
      <c r="I6" s="5">
        <f>VLOOKUP(A:A,MASTER!A:F,6,0)</f>
        <v>40540.540540542002</v>
      </c>
      <c r="J6" s="5">
        <f>VLOOKUP(A:A,MASTER!A:G,7,0)</f>
        <v>180180.18018018</v>
      </c>
      <c r="K6" s="16">
        <f>I6/J6-1</f>
        <v>-0.7749999999999917</v>
      </c>
      <c r="L6" s="5">
        <f>VLOOKUP(A:A,MASTER!A:D,4,0)</f>
        <v>8455585.5855855867</v>
      </c>
      <c r="M6" s="5">
        <f>VLOOKUP(A:A,MASTER!A:E,5,0)</f>
        <v>4115666.666666667</v>
      </c>
      <c r="N6" s="16">
        <f>L6/M6-1</f>
        <v>1.0544874671383138</v>
      </c>
      <c r="O6" s="5">
        <f>VLOOKUP(A:A,MASTER!A:B,2,0)</f>
        <v>157657.65765765801</v>
      </c>
      <c r="P6" s="5">
        <f>VLOOKUP(A:A,MASTER!A:C,3,0)</f>
        <v>203603.60360360399</v>
      </c>
      <c r="Q6" s="16">
        <f>O6/P6-1</f>
        <v>-0.22566371681415898</v>
      </c>
      <c r="R6" s="12">
        <f>VLOOKUP(A:A,MASTER!A:L,12,0)</f>
        <v>1622</v>
      </c>
      <c r="S6" s="12">
        <f>VLOOKUP(A:A,MASTER!A:M,13,0)</f>
        <v>41</v>
      </c>
      <c r="T6" s="16">
        <f>R6/S6-1</f>
        <v>38.560975609756099</v>
      </c>
    </row>
    <row r="7" spans="1:20" ht="64.5" customHeight="1" x14ac:dyDescent="0.35">
      <c r="A7" s="4" t="s">
        <v>6</v>
      </c>
      <c r="B7" s="1" t="s">
        <v>17</v>
      </c>
      <c r="C7" s="5">
        <f>VLOOKUP(A:A,MASTER!A:J,10,0)</f>
        <v>306453254.68844277</v>
      </c>
      <c r="D7" s="5">
        <f>VLOOKUP(A:A,MASTER!A:K,11,0)</f>
        <v>316576001.14128393</v>
      </c>
      <c r="E7" s="16">
        <f t="shared" ref="E7:E19" si="0">C7/D7-1</f>
        <v>-3.1975722784885141E-2</v>
      </c>
      <c r="F7" s="5">
        <f>VLOOKUP(A:A,MASTER!A:H,8,0)</f>
        <v>4958558.5585585674</v>
      </c>
      <c r="G7" s="5">
        <f>VLOOKUP(A:A,MASTER!A:I,9,0)</f>
        <v>4395045.0450450405</v>
      </c>
      <c r="H7" s="16">
        <f t="shared" ref="H7:H19" si="1">F7/G7-1</f>
        <v>0.12821564005329833</v>
      </c>
      <c r="I7" s="5">
        <f>VLOOKUP(A:A,MASTER!A:F,6,0)</f>
        <v>135590990.990991</v>
      </c>
      <c r="J7" s="5">
        <f>VLOOKUP(A:A,MASTER!A:G,7,0)</f>
        <v>182622702.7027027</v>
      </c>
      <c r="K7" s="16">
        <f t="shared" ref="K7:K19" si="2">I7/J7-1</f>
        <v>-0.25753485747210803</v>
      </c>
      <c r="L7" s="5">
        <f>VLOOKUP(A:A,MASTER!A:D,4,0)</f>
        <v>213654909.90990993</v>
      </c>
      <c r="M7" s="5">
        <f>VLOOKUP(A:A,MASTER!A:E,5,0)</f>
        <v>205806864.86486486</v>
      </c>
      <c r="N7" s="16">
        <f t="shared" ref="N7:N19" si="3">L7/M7-1</f>
        <v>3.8133057661600356E-2</v>
      </c>
      <c r="O7" s="5">
        <f>VLOOKUP(A:A,MASTER!A:B,2,0)</f>
        <v>129198828.82882883</v>
      </c>
      <c r="P7" s="5">
        <f>VLOOKUP(A:A,MASTER!A:C,3,0)</f>
        <v>169045045.04504505</v>
      </c>
      <c r="Q7" s="16">
        <f t="shared" ref="Q7:Q19" si="4">O7/P7-1</f>
        <v>-0.23571360051161805</v>
      </c>
      <c r="R7" s="12">
        <f>VLOOKUP(A:A,MASTER!A:L,12,0)</f>
        <v>12612</v>
      </c>
      <c r="S7" s="12">
        <f>VLOOKUP(A:A,MASTER!A:M,13,0)</f>
        <v>13681</v>
      </c>
      <c r="T7" s="16">
        <f t="shared" ref="T7:T19" si="5">R7/S7-1</f>
        <v>-7.813756304363717E-2</v>
      </c>
    </row>
    <row r="8" spans="1:20" ht="64.5" customHeight="1" x14ac:dyDescent="0.35">
      <c r="A8" s="4" t="s">
        <v>7</v>
      </c>
      <c r="B8" s="1" t="s">
        <v>17</v>
      </c>
      <c r="C8" s="5">
        <f>VLOOKUP(A:A,MASTER!A:J,10,0)</f>
        <v>74949918.7997915</v>
      </c>
      <c r="D8" s="5">
        <f>VLOOKUP(A:A,MASTER!A:K,11,0)</f>
        <v>74239058.1176157</v>
      </c>
      <c r="E8" s="16">
        <f t="shared" si="0"/>
        <v>9.5752923083909369E-3</v>
      </c>
      <c r="F8" s="5">
        <f>VLOOKUP(A:A,MASTER!A:H,8,0)</f>
        <v>192792.792792794</v>
      </c>
      <c r="G8" s="5">
        <f>VLOOKUP(A:A,MASTER!A:I,9,0)</f>
        <v>51351.351351350997</v>
      </c>
      <c r="H8" s="16">
        <f t="shared" si="1"/>
        <v>2.7543859649123301</v>
      </c>
      <c r="I8" s="5">
        <f>VLOOKUP(A:A,MASTER!A:F,6,0)</f>
        <v>7053153.1531531513</v>
      </c>
      <c r="J8" s="5">
        <f>VLOOKUP(A:A,MASTER!A:G,7,0)</f>
        <v>19704504.504504506</v>
      </c>
      <c r="K8" s="16">
        <f t="shared" si="2"/>
        <v>-0.64205376737381137</v>
      </c>
      <c r="L8" s="5">
        <f>VLOOKUP(A:A,MASTER!A:D,4,0)</f>
        <v>52957333.333333336</v>
      </c>
      <c r="M8" s="5">
        <f>VLOOKUP(A:A,MASTER!A:E,5,0)</f>
        <v>48921792.79279279</v>
      </c>
      <c r="N8" s="16">
        <f t="shared" si="3"/>
        <v>8.2489629062307612E-2</v>
      </c>
      <c r="O8" s="5">
        <f>VLOOKUP(A:A,MASTER!A:B,2,0)</f>
        <v>9751981.9819819797</v>
      </c>
      <c r="P8" s="5">
        <f>VLOOKUP(A:A,MASTER!A:C,3,0)</f>
        <v>20800090.090090089</v>
      </c>
      <c r="Q8" s="16">
        <f t="shared" si="4"/>
        <v>-0.53115674308409966</v>
      </c>
      <c r="R8" s="12">
        <f>VLOOKUP(A:A,MASTER!A:L,12,0)</f>
        <v>4652</v>
      </c>
      <c r="S8" s="12">
        <f>VLOOKUP(A:A,MASTER!A:M,13,0)</f>
        <v>4553</v>
      </c>
      <c r="T8" s="16">
        <f t="shared" si="5"/>
        <v>2.1743905117505014E-2</v>
      </c>
    </row>
    <row r="9" spans="1:20" ht="64.5" customHeight="1" x14ac:dyDescent="0.35">
      <c r="A9" s="4" t="s">
        <v>10</v>
      </c>
      <c r="B9" s="1" t="s">
        <v>17</v>
      </c>
      <c r="C9" s="5">
        <f>VLOOKUP(A:A,MASTER!A:J,10,0)</f>
        <v>82549625.094686285</v>
      </c>
      <c r="D9" s="5">
        <f>VLOOKUP(A:A,MASTER!A:K,11,0)</f>
        <v>87741942.073753685</v>
      </c>
      <c r="E9" s="16">
        <f t="shared" si="0"/>
        <v>-5.9177137596326146E-2</v>
      </c>
      <c r="F9" s="5">
        <f>VLOOKUP(A:A,MASTER!A:H,8,0)</f>
        <v>233986091.8918919</v>
      </c>
      <c r="G9" s="5">
        <f>VLOOKUP(A:A,MASTER!A:I,9,0)</f>
        <v>149968010.8108108</v>
      </c>
      <c r="H9" s="16">
        <f t="shared" si="1"/>
        <v>0.56024001803339551</v>
      </c>
      <c r="I9" s="5">
        <f>VLOOKUP(A:A,MASTER!A:F,6,0)</f>
        <v>0</v>
      </c>
      <c r="J9" s="5">
        <f>VLOOKUP(A:A,MASTER!A:G,7,0)</f>
        <v>0</v>
      </c>
      <c r="K9" s="16">
        <f>IFERROR(I9/J9-1,0)</f>
        <v>0</v>
      </c>
      <c r="L9" s="5">
        <f>VLOOKUP(A:A,MASTER!A:D,4,0)</f>
        <v>49186646.846846849</v>
      </c>
      <c r="M9" s="5">
        <f>VLOOKUP(A:A,MASTER!A:E,5,0)</f>
        <v>53389225.225225225</v>
      </c>
      <c r="N9" s="16">
        <f t="shared" si="3"/>
        <v>-7.8715852508621009E-2</v>
      </c>
      <c r="O9" s="5">
        <f>VLOOKUP(A:A,MASTER!A:B,2,0)</f>
        <v>11081.081081081</v>
      </c>
      <c r="P9" s="5">
        <f>VLOOKUP(A:A,MASTER!A:C,3,0)</f>
        <v>399009.009009008</v>
      </c>
      <c r="Q9" s="16">
        <f t="shared" si="4"/>
        <v>-0.97222849401670819</v>
      </c>
      <c r="R9" s="12">
        <f>VLOOKUP(A:A,MASTER!A:L,12,0)</f>
        <v>3580</v>
      </c>
      <c r="S9" s="12">
        <f>VLOOKUP(A:A,MASTER!A:M,13,0)</f>
        <v>3768</v>
      </c>
      <c r="T9" s="16">
        <f t="shared" si="5"/>
        <v>-4.989384288747345E-2</v>
      </c>
    </row>
    <row r="10" spans="1:20" ht="64.5" customHeight="1" x14ac:dyDescent="0.35">
      <c r="A10" s="4" t="s">
        <v>11</v>
      </c>
      <c r="B10" s="1" t="s">
        <v>17</v>
      </c>
      <c r="C10" s="5">
        <f>VLOOKUP(A:A,MASTER!A:J,10,0)</f>
        <v>71471417.771803141</v>
      </c>
      <c r="D10" s="5">
        <f>VLOOKUP(A:A,MASTER!A:K,11,0)</f>
        <v>69968552.695591569</v>
      </c>
      <c r="E10" s="16">
        <f t="shared" si="0"/>
        <v>2.1479150537099256E-2</v>
      </c>
      <c r="F10" s="5">
        <f>VLOOKUP(A:A,MASTER!A:H,8,0)</f>
        <v>112612.612612615</v>
      </c>
      <c r="G10" s="5">
        <f>VLOOKUP(A:A,MASTER!A:I,9,0)</f>
        <v>18018.018018018</v>
      </c>
      <c r="H10" s="16">
        <f t="shared" si="1"/>
        <v>5.2500000000001394</v>
      </c>
      <c r="I10" s="5">
        <f>VLOOKUP(A:A,MASTER!A:F,6,0)</f>
        <v>1914414.4144144161</v>
      </c>
      <c r="J10" s="5">
        <f>VLOOKUP(A:A,MASTER!A:G,7,0)</f>
        <v>2450450.4504504511</v>
      </c>
      <c r="K10" s="16">
        <f t="shared" si="2"/>
        <v>-0.21874999999999956</v>
      </c>
      <c r="L10" s="5">
        <f>VLOOKUP(A:A,MASTER!A:D,4,0)</f>
        <v>24249099.0990991</v>
      </c>
      <c r="M10" s="5">
        <f>VLOOKUP(A:A,MASTER!A:E,5,0)</f>
        <v>29277342.342342343</v>
      </c>
      <c r="N10" s="16">
        <f t="shared" si="3"/>
        <v>-0.17174520775989799</v>
      </c>
      <c r="O10" s="5">
        <f>VLOOKUP(A:A,MASTER!A:B,2,0)</f>
        <v>1468468.4684684691</v>
      </c>
      <c r="P10" s="5">
        <f>VLOOKUP(A:A,MASTER!A:C,3,0)</f>
        <v>1465045.0450450459</v>
      </c>
      <c r="Q10" s="16">
        <f t="shared" si="4"/>
        <v>2.3367359488375428E-3</v>
      </c>
      <c r="R10" s="12">
        <f>VLOOKUP(A:A,MASTER!A:L,12,0)</f>
        <v>3923</v>
      </c>
      <c r="S10" s="12">
        <f>VLOOKUP(A:A,MASTER!A:M,13,0)</f>
        <v>4320</v>
      </c>
      <c r="T10" s="16">
        <f t="shared" si="5"/>
        <v>-9.1898148148148118E-2</v>
      </c>
    </row>
    <row r="11" spans="1:20" ht="64.5" customHeight="1" x14ac:dyDescent="0.35">
      <c r="A11" s="4" t="s">
        <v>12</v>
      </c>
      <c r="B11" s="1" t="s">
        <v>17</v>
      </c>
      <c r="C11" s="5">
        <f>VLOOKUP(A:A,MASTER!A:J,10,0)</f>
        <v>46004800.459567517</v>
      </c>
      <c r="D11" s="5">
        <f>VLOOKUP(A:A,MASTER!A:K,11,0)</f>
        <v>48193473.258935727</v>
      </c>
      <c r="E11" s="16">
        <f t="shared" si="0"/>
        <v>-4.5414298894973282E-2</v>
      </c>
      <c r="F11" s="5">
        <f>VLOOKUP(A:A,MASTER!A:H,8,0)</f>
        <v>20322522.522522524</v>
      </c>
      <c r="G11" s="5">
        <f>VLOOKUP(A:A,MASTER!A:I,9,0)</f>
        <v>54569369.369369365</v>
      </c>
      <c r="H11" s="16">
        <f t="shared" si="1"/>
        <v>-0.62758370204054681</v>
      </c>
      <c r="I11" s="5">
        <f>VLOOKUP(A:A,MASTER!A:F,6,0)</f>
        <v>6317342.3423423441</v>
      </c>
      <c r="J11" s="5">
        <f>VLOOKUP(A:A,MASTER!A:G,7,0)</f>
        <v>668468.46846846805</v>
      </c>
      <c r="K11" s="16">
        <f t="shared" si="2"/>
        <v>8.4504716981132155</v>
      </c>
      <c r="L11" s="5">
        <f>VLOOKUP(A:A,MASTER!A:D,4,0)</f>
        <v>18725216.216216218</v>
      </c>
      <c r="M11" s="5">
        <f>VLOOKUP(A:A,MASTER!A:E,5,0)</f>
        <v>21205837.837837841</v>
      </c>
      <c r="N11" s="16">
        <f t="shared" si="3"/>
        <v>-0.11697824158569292</v>
      </c>
      <c r="O11" s="5">
        <f>VLOOKUP(A:A,MASTER!A:B,2,0)</f>
        <v>5006306.3063063072</v>
      </c>
      <c r="P11" s="5">
        <f>VLOOKUP(A:A,MASTER!A:C,3,0)</f>
        <v>2107207.2072072071</v>
      </c>
      <c r="Q11" s="16">
        <f t="shared" si="4"/>
        <v>1.3758016246259093</v>
      </c>
      <c r="R11" s="12">
        <f>VLOOKUP(A:A,MASTER!A:L,12,0)</f>
        <v>3761</v>
      </c>
      <c r="S11" s="12">
        <f>VLOOKUP(A:A,MASTER!A:M,13,0)</f>
        <v>3023</v>
      </c>
      <c r="T11" s="16">
        <f t="shared" si="5"/>
        <v>0.24412834932186578</v>
      </c>
    </row>
    <row r="12" spans="1:20" ht="64.5" customHeight="1" x14ac:dyDescent="0.35">
      <c r="A12" s="4" t="s">
        <v>1</v>
      </c>
      <c r="B12" s="1" t="s">
        <v>16</v>
      </c>
      <c r="C12" s="5">
        <f>VLOOKUP(A:A,MASTER!A:J,10,0)</f>
        <v>183904896.18193716</v>
      </c>
      <c r="D12" s="5">
        <f>VLOOKUP(A:A,MASTER!A:K,11,0)</f>
        <v>192986083.8231118</v>
      </c>
      <c r="E12" s="16">
        <f t="shared" si="0"/>
        <v>-4.7056178669848125E-2</v>
      </c>
      <c r="F12" s="5">
        <f>VLOOKUP(A:A,MASTER!A:H,8,0)</f>
        <v>1169369.369369373</v>
      </c>
      <c r="G12" s="5">
        <f>VLOOKUP(A:A,MASTER!A:I,9,0)</f>
        <v>991891.89189189195</v>
      </c>
      <c r="H12" s="16">
        <f t="shared" si="1"/>
        <v>0.1789282470481417</v>
      </c>
      <c r="I12" s="5">
        <f>VLOOKUP(A:A,MASTER!A:F,6,0)</f>
        <v>23693963.963963963</v>
      </c>
      <c r="J12" s="5">
        <f>VLOOKUP(A:A,MASTER!A:G,7,0)</f>
        <v>25470495.495495494</v>
      </c>
      <c r="K12" s="16">
        <f t="shared" si="2"/>
        <v>-6.9748605080953929E-2</v>
      </c>
      <c r="L12" s="5">
        <f>VLOOKUP(A:A,MASTER!A:D,4,0)</f>
        <v>88503036.036036029</v>
      </c>
      <c r="M12" s="5">
        <f>VLOOKUP(A:A,MASTER!A:E,5,0)</f>
        <v>90365315.315315306</v>
      </c>
      <c r="N12" s="16">
        <f t="shared" si="3"/>
        <v>-2.0608341516666573E-2</v>
      </c>
      <c r="O12" s="5">
        <f>VLOOKUP(A:A,MASTER!A:B,2,0)</f>
        <v>21230630.630630627</v>
      </c>
      <c r="P12" s="5">
        <f>VLOOKUP(A:A,MASTER!A:C,3,0)</f>
        <v>24296351.351351351</v>
      </c>
      <c r="Q12" s="16">
        <f t="shared" si="4"/>
        <v>-0.12618029252158514</v>
      </c>
      <c r="R12" s="12">
        <f>VLOOKUP(A:A,MASTER!A:L,12,0)</f>
        <v>7988</v>
      </c>
      <c r="S12" s="12">
        <f>VLOOKUP(A:A,MASTER!A:M,13,0)</f>
        <v>7928</v>
      </c>
      <c r="T12" s="16">
        <f t="shared" si="5"/>
        <v>7.5681130171543209E-3</v>
      </c>
    </row>
    <row r="13" spans="1:20" ht="64.5" customHeight="1" x14ac:dyDescent="0.35">
      <c r="A13" s="4" t="s">
        <v>3</v>
      </c>
      <c r="B13" s="1" t="s">
        <v>16</v>
      </c>
      <c r="C13" s="5">
        <f>VLOOKUP(A:A,MASTER!A:J,10,0)</f>
        <v>138307206.11321077</v>
      </c>
      <c r="D13" s="5">
        <f>VLOOKUP(A:A,MASTER!A:K,11,0)</f>
        <v>123312636.9197247</v>
      </c>
      <c r="E13" s="16">
        <f t="shared" si="0"/>
        <v>0.12159799326363752</v>
      </c>
      <c r="F13" s="5">
        <f>VLOOKUP(A:A,MASTER!A:H,8,0)</f>
        <v>2074774.774774777</v>
      </c>
      <c r="G13" s="5">
        <f>VLOOKUP(A:A,MASTER!A:I,9,0)</f>
        <v>736486.48648648697</v>
      </c>
      <c r="H13" s="16">
        <f t="shared" si="1"/>
        <v>1.817125382262998</v>
      </c>
      <c r="I13" s="5">
        <f>VLOOKUP(A:A,MASTER!A:F,6,0)</f>
        <v>21102702.702702705</v>
      </c>
      <c r="J13" s="5">
        <f>VLOOKUP(A:A,MASTER!A:G,7,0)</f>
        <v>57778378.378378376</v>
      </c>
      <c r="K13" s="16">
        <f t="shared" si="2"/>
        <v>-0.63476471138553647</v>
      </c>
      <c r="L13" s="5">
        <f>VLOOKUP(A:A,MASTER!A:D,4,0)</f>
        <v>39286729.729729727</v>
      </c>
      <c r="M13" s="5">
        <f>VLOOKUP(A:A,MASTER!A:E,5,0)</f>
        <v>35456774.774774775</v>
      </c>
      <c r="N13" s="16">
        <f t="shared" si="3"/>
        <v>0.10801757856666994</v>
      </c>
      <c r="O13" s="5">
        <f>VLOOKUP(A:A,MASTER!A:B,2,0)</f>
        <v>20983423.423423424</v>
      </c>
      <c r="P13" s="5">
        <f>VLOOKUP(A:A,MASTER!A:C,3,0)</f>
        <v>55497477.477477483</v>
      </c>
      <c r="Q13" s="16">
        <f t="shared" si="4"/>
        <v>-0.6219031138498301</v>
      </c>
      <c r="R13" s="12">
        <f>VLOOKUP(A:A,MASTER!A:L,12,0)</f>
        <v>3555</v>
      </c>
      <c r="S13" s="12">
        <f>VLOOKUP(A:A,MASTER!A:M,13,0)</f>
        <v>3341</v>
      </c>
      <c r="T13" s="16">
        <f t="shared" si="5"/>
        <v>6.4052678838671051E-2</v>
      </c>
    </row>
    <row r="14" spans="1:20" ht="64.5" customHeight="1" x14ac:dyDescent="0.35">
      <c r="A14" s="4" t="s">
        <v>4</v>
      </c>
      <c r="B14" s="1" t="s">
        <v>16</v>
      </c>
      <c r="C14" s="5">
        <f>VLOOKUP(A:A,MASTER!A:J,10,0)</f>
        <v>84798306.063745201</v>
      </c>
      <c r="D14" s="5">
        <f>VLOOKUP(A:A,MASTER!A:K,11,0)</f>
        <v>80170332.138596565</v>
      </c>
      <c r="E14" s="16">
        <f t="shared" si="0"/>
        <v>5.772676502260099E-2</v>
      </c>
      <c r="F14" s="5">
        <f>VLOOKUP(A:A,MASTER!A:H,8,0)</f>
        <v>92810810.810810819</v>
      </c>
      <c r="G14" s="5">
        <f>VLOOKUP(A:A,MASTER!A:I,9,0)</f>
        <v>26846846.846846849</v>
      </c>
      <c r="H14" s="16">
        <f t="shared" si="1"/>
        <v>2.4570469798657717</v>
      </c>
      <c r="I14" s="5">
        <f>VLOOKUP(A:A,MASTER!A:F,6,0)</f>
        <v>34687387.387387387</v>
      </c>
      <c r="J14" s="5">
        <f>VLOOKUP(A:A,MASTER!A:G,7,0)</f>
        <v>49219369.369369365</v>
      </c>
      <c r="K14" s="16">
        <f t="shared" si="2"/>
        <v>-0.2952492518326667</v>
      </c>
      <c r="L14" s="5">
        <f>VLOOKUP(A:A,MASTER!A:D,4,0)</f>
        <v>29075063.063063063</v>
      </c>
      <c r="M14" s="5">
        <f>VLOOKUP(A:A,MASTER!A:E,5,0)</f>
        <v>30874747.747747749</v>
      </c>
      <c r="N14" s="16">
        <f t="shared" si="3"/>
        <v>-5.8289858734666744E-2</v>
      </c>
      <c r="O14" s="5">
        <f>VLOOKUP(A:A,MASTER!A:B,2,0)</f>
        <v>22406576.576576576</v>
      </c>
      <c r="P14" s="5">
        <f>VLOOKUP(A:A,MASTER!A:C,3,0)</f>
        <v>27107297.297297295</v>
      </c>
      <c r="Q14" s="16">
        <f t="shared" si="4"/>
        <v>-0.17341163411335003</v>
      </c>
      <c r="R14" s="12">
        <f>VLOOKUP(A:A,MASTER!A:L,12,0)</f>
        <v>3611</v>
      </c>
      <c r="S14" s="12">
        <f>VLOOKUP(A:A,MASTER!A:M,13,0)</f>
        <v>3458</v>
      </c>
      <c r="T14" s="16">
        <f t="shared" si="5"/>
        <v>4.4245228455754848E-2</v>
      </c>
    </row>
    <row r="15" spans="1:20" ht="64.5" customHeight="1" x14ac:dyDescent="0.35">
      <c r="A15" s="4" t="s">
        <v>5</v>
      </c>
      <c r="B15" s="1" t="s">
        <v>16</v>
      </c>
      <c r="C15" s="5">
        <f>VLOOKUP(A:A,MASTER!A:J,10,0)</f>
        <v>91816940.607951462</v>
      </c>
      <c r="D15" s="5">
        <f>VLOOKUP(A:A,MASTER!A:K,11,0)</f>
        <v>91368737.558266193</v>
      </c>
      <c r="E15" s="16">
        <f t="shared" si="0"/>
        <v>4.9054311317309196E-3</v>
      </c>
      <c r="F15" s="5">
        <f>VLOOKUP(A:A,MASTER!A:H,8,0)</f>
        <v>282350956.75675678</v>
      </c>
      <c r="G15" s="5">
        <f>VLOOKUP(A:A,MASTER!A:I,9,0)</f>
        <v>329410634.23423421</v>
      </c>
      <c r="H15" s="16">
        <f t="shared" si="1"/>
        <v>-0.1428602254656256</v>
      </c>
      <c r="I15" s="5">
        <f>VLOOKUP(A:A,MASTER!A:F,6,0)</f>
        <v>27727027.027027026</v>
      </c>
      <c r="J15" s="5">
        <f>VLOOKUP(A:A,MASTER!A:G,7,0)</f>
        <v>40603603.603603601</v>
      </c>
      <c r="K15" s="16">
        <f t="shared" si="2"/>
        <v>-0.31712891058353676</v>
      </c>
      <c r="L15" s="5">
        <f>VLOOKUP(A:A,MASTER!A:D,4,0)</f>
        <v>37416090.090090089</v>
      </c>
      <c r="M15" s="5">
        <f>VLOOKUP(A:A,MASTER!A:E,5,0)</f>
        <v>38265747.747747742</v>
      </c>
      <c r="N15" s="16">
        <f t="shared" si="3"/>
        <v>-2.2204130525782406E-2</v>
      </c>
      <c r="O15" s="5">
        <f>VLOOKUP(A:A,MASTER!A:B,2,0)</f>
        <v>7046846.8468468469</v>
      </c>
      <c r="P15" s="5">
        <f>VLOOKUP(A:A,MASTER!A:C,3,0)</f>
        <v>10431711.711711714</v>
      </c>
      <c r="Q15" s="16">
        <f t="shared" si="4"/>
        <v>-0.3244783750172725</v>
      </c>
      <c r="R15" s="12">
        <f>VLOOKUP(A:A,MASTER!A:L,12,0)</f>
        <v>3025</v>
      </c>
      <c r="S15" s="12">
        <f>VLOOKUP(A:A,MASTER!A:M,13,0)</f>
        <v>2849</v>
      </c>
      <c r="T15" s="16">
        <f t="shared" si="5"/>
        <v>6.1776061776061875E-2</v>
      </c>
    </row>
    <row r="16" spans="1:20" ht="64.5" customHeight="1" x14ac:dyDescent="0.35">
      <c r="A16" s="4" t="s">
        <v>8</v>
      </c>
      <c r="B16" s="1" t="s">
        <v>16</v>
      </c>
      <c r="C16" s="5">
        <f>VLOOKUP(A:A,MASTER!A:J,10,0)</f>
        <v>102240113.32315846</v>
      </c>
      <c r="D16" s="5">
        <f>VLOOKUP(A:A,MASTER!A:K,11,0)</f>
        <v>110255442.7059771</v>
      </c>
      <c r="E16" s="16">
        <f t="shared" si="0"/>
        <v>-7.2697811428624526E-2</v>
      </c>
      <c r="F16" s="5">
        <f>VLOOKUP(A:A,MASTER!A:H,8,0)</f>
        <v>1369369.3693693711</v>
      </c>
      <c r="G16" s="5">
        <f>VLOOKUP(A:A,MASTER!A:I,9,0)</f>
        <v>1220720.72072072</v>
      </c>
      <c r="H16" s="16">
        <f t="shared" si="1"/>
        <v>0.12177121771217925</v>
      </c>
      <c r="I16" s="5">
        <f>VLOOKUP(A:A,MASTER!A:F,6,0)</f>
        <v>12986486.486486487</v>
      </c>
      <c r="J16" s="5">
        <f>VLOOKUP(A:A,MASTER!A:G,7,0)</f>
        <v>23015315.315315321</v>
      </c>
      <c r="K16" s="16">
        <f t="shared" si="2"/>
        <v>-0.43574588014248261</v>
      </c>
      <c r="L16" s="5">
        <f>VLOOKUP(A:A,MASTER!A:D,4,0)</f>
        <v>29770711.711711712</v>
      </c>
      <c r="M16" s="5">
        <f>VLOOKUP(A:A,MASTER!A:E,5,0)</f>
        <v>32746891.891891893</v>
      </c>
      <c r="N16" s="16">
        <f t="shared" si="3"/>
        <v>-9.0884355987295384E-2</v>
      </c>
      <c r="O16" s="5">
        <f>VLOOKUP(A:A,MASTER!A:B,2,0)</f>
        <v>12479819.819819819</v>
      </c>
      <c r="P16" s="5">
        <f>VLOOKUP(A:A,MASTER!A:C,3,0)</f>
        <v>21886666.666666668</v>
      </c>
      <c r="Q16" s="16">
        <f t="shared" si="4"/>
        <v>-0.4297980587959267</v>
      </c>
      <c r="R16" s="12">
        <f>VLOOKUP(A:A,MASTER!A:L,12,0)</f>
        <v>3696</v>
      </c>
      <c r="S16" s="12">
        <f>VLOOKUP(A:A,MASTER!A:M,13,0)</f>
        <v>3783</v>
      </c>
      <c r="T16" s="16">
        <f t="shared" si="5"/>
        <v>-2.2997620935765295E-2</v>
      </c>
    </row>
    <row r="17" spans="1:20" ht="64.5" customHeight="1" x14ac:dyDescent="0.35">
      <c r="A17" s="4" t="s">
        <v>9</v>
      </c>
      <c r="B17" s="1" t="s">
        <v>16</v>
      </c>
      <c r="C17" s="5">
        <f>VLOOKUP(A:A,MASTER!A:J,10,0)</f>
        <v>203526950.74839038</v>
      </c>
      <c r="D17" s="5">
        <f>VLOOKUP(A:A,MASTER!A:K,11,0)</f>
        <v>195955976.21289811</v>
      </c>
      <c r="E17" s="16">
        <f t="shared" si="0"/>
        <v>3.8636099198458229E-2</v>
      </c>
      <c r="F17" s="5">
        <f>VLOOKUP(A:A,MASTER!A:H,8,0)</f>
        <v>1590090.0900900939</v>
      </c>
      <c r="G17" s="5">
        <f>VLOOKUP(A:A,MASTER!A:I,9,0)</f>
        <v>1042792.792792793</v>
      </c>
      <c r="H17" s="16">
        <f t="shared" si="1"/>
        <v>0.5248380129589667</v>
      </c>
      <c r="I17" s="5">
        <f>VLOOKUP(A:A,MASTER!A:F,6,0)</f>
        <v>223312612.61261261</v>
      </c>
      <c r="J17" s="5">
        <f>VLOOKUP(A:A,MASTER!A:G,7,0)</f>
        <v>314359819.81981987</v>
      </c>
      <c r="K17" s="16">
        <f t="shared" si="2"/>
        <v>-0.28962736796131372</v>
      </c>
      <c r="L17" s="5">
        <f>VLOOKUP(A:A,MASTER!A:D,4,0)</f>
        <v>74621135.135135129</v>
      </c>
      <c r="M17" s="5">
        <f>VLOOKUP(A:A,MASTER!A:E,5,0)</f>
        <v>71049333.333333343</v>
      </c>
      <c r="N17" s="16">
        <f t="shared" si="3"/>
        <v>5.0272136756644992E-2</v>
      </c>
      <c r="O17" s="5">
        <f>VLOOKUP(A:A,MASTER!A:B,2,0)</f>
        <v>206395945.94594595</v>
      </c>
      <c r="P17" s="5">
        <f>VLOOKUP(A:A,MASTER!A:C,3,0)</f>
        <v>261121711.7117117</v>
      </c>
      <c r="Q17" s="16">
        <f t="shared" si="4"/>
        <v>-0.20957953058374967</v>
      </c>
      <c r="R17" s="12">
        <f>VLOOKUP(A:A,MASTER!A:L,12,0)</f>
        <v>7017</v>
      </c>
      <c r="S17" s="12">
        <f>VLOOKUP(A:A,MASTER!A:M,13,0)</f>
        <v>6930</v>
      </c>
      <c r="T17" s="16">
        <f t="shared" si="5"/>
        <v>1.2554112554112651E-2</v>
      </c>
    </row>
    <row r="18" spans="1:20" ht="64.5" customHeight="1" x14ac:dyDescent="0.35">
      <c r="A18" s="4" t="s">
        <v>13</v>
      </c>
      <c r="B18" s="1" t="s">
        <v>16</v>
      </c>
      <c r="C18" s="5">
        <f>VLOOKUP(A:A,MASTER!A:J,10,0)</f>
        <v>166406375.15526605</v>
      </c>
      <c r="D18" s="5">
        <f>VLOOKUP(A:A,MASTER!A:K,11,0)</f>
        <v>161782311.04450738</v>
      </c>
      <c r="E18" s="16">
        <f t="shared" si="0"/>
        <v>2.8582012958676017E-2</v>
      </c>
      <c r="F18" s="5">
        <f>VLOOKUP(A:A,MASTER!A:H,8,0)</f>
        <v>970270.27027027204</v>
      </c>
      <c r="G18" s="5">
        <f>VLOOKUP(A:A,MASTER!A:I,9,0)</f>
        <v>492342.342342344</v>
      </c>
      <c r="H18" s="16">
        <f t="shared" si="1"/>
        <v>0.97072278133577017</v>
      </c>
      <c r="I18" s="5">
        <f>VLOOKUP(A:A,MASTER!A:F,6,0)</f>
        <v>41250900.900900893</v>
      </c>
      <c r="J18" s="5">
        <f>VLOOKUP(A:A,MASTER!A:G,7,0)</f>
        <v>42441441.441441439</v>
      </c>
      <c r="K18" s="16">
        <f t="shared" si="2"/>
        <v>-2.8051369136064652E-2</v>
      </c>
      <c r="L18" s="5">
        <f>VLOOKUP(A:A,MASTER!A:D,4,0)</f>
        <v>94641486.48648648</v>
      </c>
      <c r="M18" s="5">
        <f>VLOOKUP(A:A,MASTER!A:E,5,0)</f>
        <v>93214702.702702701</v>
      </c>
      <c r="N18" s="16">
        <f t="shared" si="3"/>
        <v>1.53064242272416E-2</v>
      </c>
      <c r="O18" s="5">
        <f>VLOOKUP(A:A,MASTER!A:B,2,0)</f>
        <v>40399459.459459454</v>
      </c>
      <c r="P18" s="5">
        <f>VLOOKUP(A:A,MASTER!A:C,3,0)</f>
        <v>45909549.54954955</v>
      </c>
      <c r="Q18" s="16">
        <f t="shared" si="4"/>
        <v>-0.12002056531055982</v>
      </c>
      <c r="R18" s="12">
        <f>VLOOKUP(A:A,MASTER!A:L,12,0)</f>
        <v>7095</v>
      </c>
      <c r="S18" s="12">
        <f>VLOOKUP(A:A,MASTER!A:M,13,0)</f>
        <v>7045</v>
      </c>
      <c r="T18" s="16">
        <f t="shared" si="5"/>
        <v>7.0972320794890909E-3</v>
      </c>
    </row>
    <row r="19" spans="1:20" ht="64.5" customHeight="1" x14ac:dyDescent="0.35">
      <c r="A19" s="4" t="s">
        <v>14</v>
      </c>
      <c r="B19" s="1" t="s">
        <v>16</v>
      </c>
      <c r="C19" s="5">
        <f>VLOOKUP(A:A,MASTER!A:J,10,0)</f>
        <v>86467136.84016487</v>
      </c>
      <c r="D19" s="5">
        <f>VLOOKUP(A:A,MASTER!A:K,11,0)</f>
        <v>94474395.245280206</v>
      </c>
      <c r="E19" s="16">
        <f t="shared" si="0"/>
        <v>-8.4755857757293995E-2</v>
      </c>
      <c r="F19" s="5">
        <f>VLOOKUP(A:A,MASTER!A:H,8,0)</f>
        <v>669369.36936937098</v>
      </c>
      <c r="G19" s="5">
        <f>VLOOKUP(A:A,MASTER!A:I,9,0)</f>
        <v>132432.43243243301</v>
      </c>
      <c r="H19" s="16">
        <f t="shared" si="1"/>
        <v>4.0544217687074733</v>
      </c>
      <c r="I19" s="5">
        <f>VLOOKUP(A:A,MASTER!A:F,6,0)</f>
        <v>25846846.846846849</v>
      </c>
      <c r="J19" s="5">
        <f>VLOOKUP(A:A,MASTER!A:G,7,0)</f>
        <v>17729279.27927928</v>
      </c>
      <c r="K19" s="16">
        <f t="shared" si="2"/>
        <v>0.45786224243502116</v>
      </c>
      <c r="L19" s="5">
        <f>VLOOKUP(A:A,MASTER!A:D,4,0)</f>
        <v>29553990.990990993</v>
      </c>
      <c r="M19" s="5">
        <f>VLOOKUP(A:A,MASTER!A:E,5,0)</f>
        <v>33205108.108108107</v>
      </c>
      <c r="N19" s="16">
        <f t="shared" si="3"/>
        <v>-0.10995648938199287</v>
      </c>
      <c r="O19" s="5">
        <f>VLOOKUP(A:A,MASTER!A:B,2,0)</f>
        <v>28104504.504504506</v>
      </c>
      <c r="P19" s="5">
        <f>VLOOKUP(A:A,MASTER!A:C,3,0)</f>
        <v>16053873.873873873</v>
      </c>
      <c r="Q19" s="16">
        <f t="shared" si="4"/>
        <v>0.75063693195209846</v>
      </c>
      <c r="R19" s="12">
        <f>VLOOKUP(A:A,MASTER!A:L,12,0)</f>
        <v>4080</v>
      </c>
      <c r="S19" s="12">
        <f>VLOOKUP(A:A,MASTER!A:M,13,0)</f>
        <v>4058</v>
      </c>
      <c r="T19" s="16">
        <f t="shared" si="5"/>
        <v>5.4213898472152966E-3</v>
      </c>
    </row>
  </sheetData>
  <conditionalFormatting sqref="E6:E19">
    <cfRule type="cellIs" dxfId="5" priority="6" operator="lessThan">
      <formula>0</formula>
    </cfRule>
  </conditionalFormatting>
  <conditionalFormatting sqref="H6:H19">
    <cfRule type="cellIs" dxfId="4" priority="5" operator="lessThan">
      <formula>0</formula>
    </cfRule>
  </conditionalFormatting>
  <conditionalFormatting sqref="K6:K19">
    <cfRule type="cellIs" dxfId="3" priority="4" operator="lessThan">
      <formula>0</formula>
    </cfRule>
  </conditionalFormatting>
  <conditionalFormatting sqref="N6:N19">
    <cfRule type="cellIs" dxfId="2" priority="3" operator="lessThan">
      <formula>0</formula>
    </cfRule>
  </conditionalFormatting>
  <conditionalFormatting sqref="Q6:Q19">
    <cfRule type="cellIs" dxfId="1" priority="2" operator="lessThan">
      <formula>0</formula>
    </cfRule>
  </conditionalFormatting>
  <conditionalFormatting sqref="T6:T19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"/>
  <sheetViews>
    <sheetView workbookViewId="0">
      <pane xSplit="1" ySplit="2" topLeftCell="G3" activePane="bottomRight" state="frozen"/>
      <selection pane="topRight" activeCell="B1" sqref="B1"/>
      <selection pane="bottomLeft" activeCell="A3" sqref="A3"/>
      <selection pane="bottomRight" activeCell="K17" sqref="K17:M17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7.1796875" bestFit="1" customWidth="1"/>
    <col min="7" max="7" width="18.1796875" bestFit="1" customWidth="1"/>
    <col min="8" max="8" width="15" bestFit="1" customWidth="1"/>
    <col min="9" max="9" width="16" bestFit="1" customWidth="1"/>
    <col min="10" max="10" width="18.453125" bestFit="1" customWidth="1"/>
    <col min="11" max="11" width="19.453125" bestFit="1" customWidth="1"/>
  </cols>
  <sheetData>
    <row r="1" spans="1:13" x14ac:dyDescent="0.35">
      <c r="L1" s="14" t="s">
        <v>42</v>
      </c>
      <c r="M1" s="14" t="s">
        <v>42</v>
      </c>
    </row>
    <row r="2" spans="1:13" x14ac:dyDescent="0.35">
      <c r="A2" s="8" t="s">
        <v>28</v>
      </c>
      <c r="B2" s="8" t="s">
        <v>29</v>
      </c>
      <c r="C2" s="8" t="s">
        <v>35</v>
      </c>
      <c r="D2" s="8" t="s">
        <v>30</v>
      </c>
      <c r="E2" s="8" t="s">
        <v>36</v>
      </c>
      <c r="F2" s="8" t="s">
        <v>31</v>
      </c>
      <c r="G2" s="8" t="s">
        <v>37</v>
      </c>
      <c r="H2" s="8" t="s">
        <v>32</v>
      </c>
      <c r="I2" s="8" t="s">
        <v>38</v>
      </c>
      <c r="J2" s="8" t="s">
        <v>33</v>
      </c>
      <c r="K2" s="8" t="s">
        <v>39</v>
      </c>
      <c r="L2" s="15" t="s">
        <v>43</v>
      </c>
      <c r="M2" s="15" t="s">
        <v>44</v>
      </c>
    </row>
    <row r="3" spans="1:13" x14ac:dyDescent="0.35">
      <c r="A3" s="9" t="s">
        <v>1</v>
      </c>
      <c r="B3">
        <v>21230630.630630627</v>
      </c>
      <c r="C3">
        <v>24296351.351351351</v>
      </c>
      <c r="D3">
        <v>88503036.036036029</v>
      </c>
      <c r="E3">
        <v>90365315.315315306</v>
      </c>
      <c r="F3">
        <v>23693963.963963963</v>
      </c>
      <c r="G3">
        <v>25470495.495495494</v>
      </c>
      <c r="H3" s="13">
        <v>1169369.369369373</v>
      </c>
      <c r="I3" s="13">
        <v>991891.89189189195</v>
      </c>
      <c r="J3">
        <v>183904896.18193716</v>
      </c>
      <c r="K3">
        <v>192986083.8231118</v>
      </c>
      <c r="L3">
        <v>7988</v>
      </c>
      <c r="M3">
        <v>7928</v>
      </c>
    </row>
    <row r="4" spans="1:13" x14ac:dyDescent="0.35">
      <c r="A4" s="9" t="s">
        <v>2</v>
      </c>
      <c r="B4">
        <v>157657.65765765801</v>
      </c>
      <c r="C4">
        <v>203603.60360360399</v>
      </c>
      <c r="D4">
        <v>8455585.5855855867</v>
      </c>
      <c r="E4">
        <v>4115666.666666667</v>
      </c>
      <c r="F4">
        <v>40540.540540542002</v>
      </c>
      <c r="G4">
        <v>180180.18018018</v>
      </c>
      <c r="H4" s="13">
        <v>40540.540540542002</v>
      </c>
      <c r="I4" s="13">
        <v>90090.090090090001</v>
      </c>
      <c r="J4">
        <v>13395326.593805984</v>
      </c>
      <c r="K4">
        <v>7512211.1851744372</v>
      </c>
      <c r="L4">
        <v>1622</v>
      </c>
      <c r="M4">
        <v>41</v>
      </c>
    </row>
    <row r="5" spans="1:13" x14ac:dyDescent="0.35">
      <c r="A5" s="9" t="s">
        <v>3</v>
      </c>
      <c r="B5">
        <v>20983423.423423424</v>
      </c>
      <c r="C5">
        <v>55497477.477477483</v>
      </c>
      <c r="D5">
        <v>39286729.729729727</v>
      </c>
      <c r="E5">
        <v>35456774.774774775</v>
      </c>
      <c r="F5">
        <v>21102702.702702705</v>
      </c>
      <c r="G5">
        <v>57778378.378378376</v>
      </c>
      <c r="H5" s="13">
        <v>2074774.774774777</v>
      </c>
      <c r="I5" s="13">
        <v>736486.48648648697</v>
      </c>
      <c r="J5">
        <v>138307206.11321077</v>
      </c>
      <c r="K5">
        <v>123312636.9197247</v>
      </c>
      <c r="L5">
        <v>3555</v>
      </c>
      <c r="M5">
        <v>3341</v>
      </c>
    </row>
    <row r="6" spans="1:13" x14ac:dyDescent="0.35">
      <c r="A6" s="9" t="s">
        <v>4</v>
      </c>
      <c r="B6">
        <v>22406576.576576576</v>
      </c>
      <c r="C6">
        <v>27107297.297297295</v>
      </c>
      <c r="D6">
        <v>29075063.063063063</v>
      </c>
      <c r="E6">
        <v>30874747.747747749</v>
      </c>
      <c r="F6">
        <v>34687387.387387387</v>
      </c>
      <c r="G6">
        <v>49219369.369369365</v>
      </c>
      <c r="H6" s="13">
        <v>92810810.810810819</v>
      </c>
      <c r="I6" s="13">
        <v>26846846.846846849</v>
      </c>
      <c r="J6">
        <v>84798306.063745201</v>
      </c>
      <c r="K6">
        <v>80170332.138596565</v>
      </c>
      <c r="L6">
        <v>3611</v>
      </c>
      <c r="M6">
        <v>3458</v>
      </c>
    </row>
    <row r="7" spans="1:13" x14ac:dyDescent="0.35">
      <c r="A7" s="9" t="s">
        <v>5</v>
      </c>
      <c r="B7">
        <v>7046846.8468468469</v>
      </c>
      <c r="C7">
        <v>10431711.711711714</v>
      </c>
      <c r="D7">
        <v>37416090.090090089</v>
      </c>
      <c r="E7">
        <v>38265747.747747742</v>
      </c>
      <c r="F7">
        <v>27727027.027027026</v>
      </c>
      <c r="G7">
        <v>40603603.603603601</v>
      </c>
      <c r="H7" s="13">
        <v>282350956.75675678</v>
      </c>
      <c r="I7" s="13">
        <v>329410634.23423421</v>
      </c>
      <c r="J7">
        <v>91816940.607951462</v>
      </c>
      <c r="K7">
        <v>91368737.558266193</v>
      </c>
      <c r="L7">
        <v>3025</v>
      </c>
      <c r="M7">
        <v>2849</v>
      </c>
    </row>
    <row r="8" spans="1:13" x14ac:dyDescent="0.35">
      <c r="A8" s="9" t="s">
        <v>6</v>
      </c>
      <c r="B8">
        <v>129198828.82882883</v>
      </c>
      <c r="C8">
        <v>169045045.04504505</v>
      </c>
      <c r="D8">
        <v>213654909.90990993</v>
      </c>
      <c r="E8">
        <v>205806864.86486486</v>
      </c>
      <c r="F8">
        <v>135590990.990991</v>
      </c>
      <c r="G8">
        <v>182622702.7027027</v>
      </c>
      <c r="H8" s="13">
        <v>4958558.5585585674</v>
      </c>
      <c r="I8" s="13">
        <v>4395045.0450450405</v>
      </c>
      <c r="J8">
        <v>306453254.68844277</v>
      </c>
      <c r="K8">
        <v>316576001.14128393</v>
      </c>
      <c r="L8">
        <v>12612</v>
      </c>
      <c r="M8">
        <v>13681</v>
      </c>
    </row>
    <row r="9" spans="1:13" x14ac:dyDescent="0.35">
      <c r="A9" s="9" t="s">
        <v>7</v>
      </c>
      <c r="B9">
        <v>9751981.9819819797</v>
      </c>
      <c r="C9">
        <v>20800090.090090089</v>
      </c>
      <c r="D9">
        <v>52957333.333333336</v>
      </c>
      <c r="E9">
        <v>48921792.79279279</v>
      </c>
      <c r="F9">
        <v>7053153.1531531513</v>
      </c>
      <c r="G9">
        <v>19704504.504504506</v>
      </c>
      <c r="H9" s="13">
        <v>192792.792792794</v>
      </c>
      <c r="I9" s="13">
        <v>51351.351351350997</v>
      </c>
      <c r="J9">
        <v>74949918.7997915</v>
      </c>
      <c r="K9">
        <v>74239058.1176157</v>
      </c>
      <c r="L9">
        <v>4652</v>
      </c>
      <c r="M9">
        <v>4553</v>
      </c>
    </row>
    <row r="10" spans="1:13" x14ac:dyDescent="0.35">
      <c r="A10" s="9" t="s">
        <v>8</v>
      </c>
      <c r="B10">
        <v>12479819.819819819</v>
      </c>
      <c r="C10">
        <v>21886666.666666668</v>
      </c>
      <c r="D10">
        <v>29770711.711711712</v>
      </c>
      <c r="E10">
        <v>32746891.891891893</v>
      </c>
      <c r="F10">
        <v>12986486.486486487</v>
      </c>
      <c r="G10">
        <v>23015315.315315321</v>
      </c>
      <c r="H10" s="13">
        <v>1369369.3693693711</v>
      </c>
      <c r="I10" s="13">
        <v>1220720.72072072</v>
      </c>
      <c r="J10">
        <v>102240113.32315846</v>
      </c>
      <c r="K10">
        <v>110255442.7059771</v>
      </c>
      <c r="L10">
        <v>3696</v>
      </c>
      <c r="M10">
        <v>3783</v>
      </c>
    </row>
    <row r="11" spans="1:13" x14ac:dyDescent="0.35">
      <c r="A11" s="9" t="s">
        <v>9</v>
      </c>
      <c r="B11">
        <v>206395945.94594595</v>
      </c>
      <c r="C11">
        <v>261121711.7117117</v>
      </c>
      <c r="D11">
        <v>74621135.135135129</v>
      </c>
      <c r="E11">
        <v>71049333.333333343</v>
      </c>
      <c r="F11">
        <v>223312612.61261261</v>
      </c>
      <c r="G11">
        <v>314359819.81981987</v>
      </c>
      <c r="H11" s="13">
        <v>1590090.0900900939</v>
      </c>
      <c r="I11" s="13">
        <v>1042792.792792793</v>
      </c>
      <c r="J11">
        <v>203526950.74839038</v>
      </c>
      <c r="K11">
        <v>195955976.21289811</v>
      </c>
      <c r="L11">
        <v>7017</v>
      </c>
      <c r="M11">
        <v>6930</v>
      </c>
    </row>
    <row r="12" spans="1:13" x14ac:dyDescent="0.35">
      <c r="A12" s="9" t="s">
        <v>10</v>
      </c>
      <c r="B12">
        <v>11081.081081081</v>
      </c>
      <c r="C12">
        <v>399009.009009008</v>
      </c>
      <c r="D12">
        <v>49186646.846846849</v>
      </c>
      <c r="E12">
        <v>53389225.225225225</v>
      </c>
      <c r="H12" s="13">
        <v>233986091.8918919</v>
      </c>
      <c r="I12" s="13">
        <v>149968010.8108108</v>
      </c>
      <c r="J12">
        <v>82549625.094686285</v>
      </c>
      <c r="K12">
        <v>87741942.073753685</v>
      </c>
      <c r="L12">
        <v>3580</v>
      </c>
      <c r="M12">
        <v>3768</v>
      </c>
    </row>
    <row r="13" spans="1:13" x14ac:dyDescent="0.35">
      <c r="A13" s="9" t="s">
        <v>11</v>
      </c>
      <c r="B13">
        <v>1468468.4684684691</v>
      </c>
      <c r="C13">
        <v>1465045.0450450459</v>
      </c>
      <c r="D13">
        <v>24249099.0990991</v>
      </c>
      <c r="E13">
        <v>29277342.342342343</v>
      </c>
      <c r="F13">
        <v>1914414.4144144161</v>
      </c>
      <c r="G13">
        <v>2450450.4504504511</v>
      </c>
      <c r="H13" s="13">
        <v>112612.612612615</v>
      </c>
      <c r="I13" s="13">
        <v>18018.018018018</v>
      </c>
      <c r="J13">
        <v>71471417.771803141</v>
      </c>
      <c r="K13">
        <v>69968552.695591569</v>
      </c>
      <c r="L13">
        <v>3923</v>
      </c>
      <c r="M13">
        <v>4320</v>
      </c>
    </row>
    <row r="14" spans="1:13" x14ac:dyDescent="0.35">
      <c r="A14" s="9" t="s">
        <v>12</v>
      </c>
      <c r="B14">
        <v>5006306.3063063072</v>
      </c>
      <c r="C14">
        <v>2107207.2072072071</v>
      </c>
      <c r="D14">
        <v>18725216.216216218</v>
      </c>
      <c r="E14">
        <v>21205837.837837841</v>
      </c>
      <c r="F14">
        <v>6317342.3423423441</v>
      </c>
      <c r="G14">
        <v>668468.46846846805</v>
      </c>
      <c r="H14" s="13">
        <v>20322522.522522524</v>
      </c>
      <c r="I14" s="13">
        <v>54569369.369369365</v>
      </c>
      <c r="J14">
        <v>46004800.459567517</v>
      </c>
      <c r="K14">
        <v>48193473.258935727</v>
      </c>
      <c r="L14">
        <v>3761</v>
      </c>
      <c r="M14">
        <v>3023</v>
      </c>
    </row>
    <row r="15" spans="1:13" x14ac:dyDescent="0.35">
      <c r="A15" s="9" t="s">
        <v>13</v>
      </c>
      <c r="B15">
        <v>40399459.459459454</v>
      </c>
      <c r="C15">
        <v>45909549.54954955</v>
      </c>
      <c r="D15">
        <v>94641486.48648648</v>
      </c>
      <c r="E15">
        <v>93214702.702702701</v>
      </c>
      <c r="F15">
        <v>41250900.900900893</v>
      </c>
      <c r="G15">
        <v>42441441.441441439</v>
      </c>
      <c r="H15" s="13">
        <v>970270.27027027204</v>
      </c>
      <c r="I15" s="13">
        <v>492342.342342344</v>
      </c>
      <c r="J15">
        <v>166406375.15526605</v>
      </c>
      <c r="K15">
        <v>161782311.04450738</v>
      </c>
      <c r="L15">
        <v>7095</v>
      </c>
      <c r="M15">
        <v>7045</v>
      </c>
    </row>
    <row r="16" spans="1:13" x14ac:dyDescent="0.35">
      <c r="A16" s="9" t="s">
        <v>14</v>
      </c>
      <c r="B16">
        <v>28104504.504504506</v>
      </c>
      <c r="C16">
        <v>16053873.873873873</v>
      </c>
      <c r="D16">
        <v>29553990.990990993</v>
      </c>
      <c r="E16">
        <v>33205108.108108107</v>
      </c>
      <c r="F16">
        <v>25846846.846846849</v>
      </c>
      <c r="G16">
        <v>17729279.27927928</v>
      </c>
      <c r="H16" s="13">
        <v>669369.36936937098</v>
      </c>
      <c r="I16" s="13">
        <v>132432.43243243301</v>
      </c>
      <c r="J16">
        <v>86467136.84016487</v>
      </c>
      <c r="K16">
        <v>94474395.245280206</v>
      </c>
      <c r="L16">
        <v>4080</v>
      </c>
      <c r="M16">
        <v>4058</v>
      </c>
    </row>
    <row r="17" spans="1:13" x14ac:dyDescent="0.35">
      <c r="A17" s="10" t="s">
        <v>34</v>
      </c>
      <c r="B17" s="11">
        <f>SUM(B3:B16)</f>
        <v>504641531.53153151</v>
      </c>
      <c r="C17" s="11">
        <f t="shared" ref="C17:M17" si="0">SUM(C3:C16)</f>
        <v>656324639.63963962</v>
      </c>
      <c r="D17" s="11">
        <f t="shared" si="0"/>
        <v>790097034.23423409</v>
      </c>
      <c r="E17" s="11">
        <f t="shared" si="0"/>
        <v>787895351.35135138</v>
      </c>
      <c r="F17" s="11">
        <f t="shared" si="0"/>
        <v>561524369.36936927</v>
      </c>
      <c r="G17" s="11">
        <f t="shared" si="0"/>
        <v>776244009.00900888</v>
      </c>
      <c r="H17" s="11">
        <f t="shared" si="0"/>
        <v>642618129.72972989</v>
      </c>
      <c r="I17" s="11">
        <f t="shared" si="0"/>
        <v>569966032.43243241</v>
      </c>
      <c r="J17" s="11">
        <f t="shared" si="0"/>
        <v>1652292268.4419215</v>
      </c>
      <c r="K17" s="11">
        <f t="shared" si="0"/>
        <v>1654537154.120717</v>
      </c>
      <c r="L17" s="11">
        <f t="shared" si="0"/>
        <v>70217</v>
      </c>
      <c r="M17" s="11">
        <f t="shared" si="0"/>
        <v>68778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2026-08-13T16:22:47Z</dcterms:modified>
</cp:coreProperties>
</file>