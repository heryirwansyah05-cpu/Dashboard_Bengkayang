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1" l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<sst xmlns="http://schemas.openxmlformats.org/spreadsheetml/2006/main" count="1227" uniqueCount="671">
  <si>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</si>
  <si>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</si>
  <si>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</si>
  <si>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</si>
  <si>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</si>
  <si>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</si>
  <si>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</si>
  <si>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</si>
  <si>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</si>
  <si>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</si>
  <si>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</si>
  <si>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</si>
  <si>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</si>
  <si>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</si>
  <si>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</si>
  <si>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</si>
  <si>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</si>
  <si>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</si>
  <si>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</si>
  <si>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</si>
  <si>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</si>
  <si>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</si>
  <si>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</si>
  <si>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</si>
  <si>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</si>
  <si>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</si>
  <si>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</si>
  <si>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</si>
  <si>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</si>
  <si>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</si>
  <si>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</si>
  <si>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</si>
  <si>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</si>
  <si>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</si>
  <si>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</si>
  <si>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</si>
  <si>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</si>
  <si>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</si>
  <si>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</si>
  <si>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</si>
  <si>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</si>
  <si>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</si>
  <si>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</si>
  <si>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</si>
  <si>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</si>
  <si>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</si>
  <si>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</si>
  <si>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</si>
  <si>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</si>
  <si>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</si>
  <si>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</si>
  <si>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</si>
  <si>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</si>
  <si>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</si>
  <si>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</si>
  <si>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</si>
  <si>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</si>
  <si>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</si>
  <si>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</si>
  <si>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</si>
  <si>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</si>
  <si>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</si>
  <si>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</si>
  <si>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</si>
  <si>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</si>
  <si>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</si>
  <si>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</si>
  <si>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</si>
  <si>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</si>
  <si>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</si>
  <si>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</si>
  <si>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</si>
  <si>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</si>
  <si>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</si>
  <si>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</si>
  <si>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</si>
  <si>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</si>
  <si>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</si>
  <si>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</si>
  <si>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</si>
  <si>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</si>
  <si>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</si>
  <si>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</si>
  <si>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</si>
  <si>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</si>
  <si>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</si>
  <si>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</si>
  <si>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</si>
  <si>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</si>
  <si>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</si>
  <si>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</si>
  <si>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</si>
  <si>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</si>
  <si>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</si>
  <si>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</si>
  <si>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</si>
  <si>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</si>
  <si>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</si>
  <si>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</si>
  <si>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</si>
  <si>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</si>
  <si>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</si>
  <si>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</si>
  <si>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</si>
  <si>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</si>
  <si>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</si>
  <si>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</si>
  <si>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</si>
  <si>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</si>
  <si>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</si>
  <si>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</si>
  <si>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</si>
  <si>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</si>
  <si>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</si>
  <si>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</si>
  <si>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</si>
  <si>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</si>
  <si>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</si>
  <si>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</si>
  <si>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</si>
  <si>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</si>
  <si>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</si>
  <si>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</si>
  <si>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</si>
  <si>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</si>
  <si>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</si>
  <si>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</si>
  <si>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</si>
  <si>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</si>
  <si>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</si>
  <si>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</si>
  <si>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</si>
  <si>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</si>
  <si>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</si>
  <si>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</si>
  <si>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</si>
  <si>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</si>
  <si>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</si>
  <si>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</si>
  <si>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</si>
  <si>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</si>
  <si>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</si>
  <si>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</si>
  <si>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</si>
  <si>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</si>
  <si>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</si>
  <si>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</si>
  <si>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</si>
  <si>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</si>
  <si>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</si>
  <si>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</si>
  <si>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</si>
  <si>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</si>
  <si>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</si>
  <si>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</si>
  <si>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</si>
  <si>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</si>
  <si>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</si>
  <si>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</si>
  <si>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</si>
  <si>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</si>
  <si>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</si>
  <si>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</si>
  <si>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</si>
  <si>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</si>
  <si>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</si>
  <si>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</si>
  <si>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</si>
  <si>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</si>
  <si>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</si>
  <si>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</si>
  <si>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</si>
  <si>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</si>
  <si>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</si>
  <si>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</si>
  <si>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</si>
  <si>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</si>
  <si>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</si>
  <si>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</si>
  <si>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</si>
  <si>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</si>
  <si>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</si>
  <si>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</si>
  <si>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BUKIT SANTUAI|KOTAWARINGIN TIMUR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</si>
  <si>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</si>
  <si>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</si>
  <si>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</si>
  <si>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</si>
  <si>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</si>
  <si>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</si>
  <si>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</si>
  <si>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</si>
  <si>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</si>
  <si>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</si>
  <si>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</si>
  <si>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</si>
  <si>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</si>
  <si>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</si>
  <si>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</si>
  <si>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</si>
  <si>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</si>
  <si>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</si>
  <si>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</si>
  <si>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</si>
  <si>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</si>
  <si>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</si>
  <si>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</si>
  <si>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</si>
  <si>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</si>
  <si>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</si>
  <si>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</si>
  <si>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</si>
  <si>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</si>
  <si>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</si>
  <si>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</si>
  <si>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</si>
  <si>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</si>
  <si>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</si>
  <si>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</si>
  <si>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</si>
  <si>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</si>
  <si>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</si>
  <si>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</si>
  <si>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</si>
  <si>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</si>
  <si>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</si>
  <si>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</si>
  <si>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</si>
  <si>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</si>
  <si>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</si>
  <si>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</si>
  <si>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</si>
  <si>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</si>
  <si>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</si>
  <si>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</si>
  <si>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</si>
  <si>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</si>
  <si>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</si>
  <si>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</si>
  <si>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</si>
  <si>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</si>
  <si>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</si>
  <si>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</si>
  <si>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</si>
  <si>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</si>
  <si>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</si>
  <si>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</si>
  <si>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</si>
  <si>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</si>
  <si>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</si>
  <si>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</si>
  <si>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</si>
  <si>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</si>
  <si>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</si>
  <si>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</si>
  <si>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</si>
  <si>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</si>
  <si>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</si>
  <si>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</si>
  <si>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</si>
  <si>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</si>
  <si>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</si>
  <si>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</si>
  <si>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</si>
  <si>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</si>
  <si>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</si>
  <si>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</si>
  <si>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</si>
  <si>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</si>
  <si>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</si>
  <si>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</si>
  <si>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</si>
  <si>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</si>
  <si>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</si>
  <si>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</si>
  <si>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</si>
  <si>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</si>
  <si>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</si>
  <si>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</si>
  <si>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</si>
  <si>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</si>
  <si>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</si>
  <si>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</si>
  <si>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</si>
  <si>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</si>
  <si>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</si>
  <si>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</si>
  <si>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</si>
  <si>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</si>
  <si>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</si>
  <si>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</si>
  <si>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</si>
  <si>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</si>
  <si>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</si>
  <si>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</si>
  <si>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</si>
  <si>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</si>
  <si>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</si>
  <si>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</si>
  <si>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</si>
  <si>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</si>
  <si>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</si>
  <si>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</si>
  <si>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</si>
  <si>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</si>
  <si>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</si>
  <si>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</si>
  <si>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</si>
  <si>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</si>
  <si>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</si>
  <si>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</si>
  <si>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</si>
  <si>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</si>
  <si>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</si>
  <si>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</si>
  <si>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</si>
  <si>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</si>
  <si>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</si>
  <si>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</si>
  <si>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</si>
  <si>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</si>
  <si>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</si>
  <si>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</si>
  <si>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</si>
  <si>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</si>
  <si>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</si>
  <si>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</si>
  <si>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</si>
  <si>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</si>
  <si>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</si>
  <si>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</si>
  <si>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</si>
  <si>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</si>
  <si>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</si>
  <si>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</si>
  <si>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</si>
  <si>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</si>
  <si>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</si>
  <si>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</si>
  <si>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</si>
  <si>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</si>
  <si>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</si>
  <si>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</si>
  <si>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</si>
  <si>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</si>
  <si>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</si>
  <si>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</si>
  <si>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</si>
  <si>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</si>
  <si>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</si>
  <si>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</si>
  <si>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</si>
  <si>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</si>
  <si>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</si>
  <si>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</si>
  <si>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</si>
  <si>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</si>
  <si>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</si>
  <si>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</si>
  <si>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</si>
  <si>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</si>
  <si>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</si>
  <si>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</si>
  <si>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</si>
  <si>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MARATUA|BERAU</t>
  </si>
  <si>
    <t>MARAU|KETAPANG</t>
  </si>
  <si>
    <t>MARIKIT|KATINGAN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</si>
  <si>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</si>
  <si>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</si>
  <si>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</si>
  <si>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</si>
  <si>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</si>
  <si>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</si>
  <si>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</si>
  <si>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</si>
  <si>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</si>
  <si>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</si>
  <si>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</si>
  <si>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</si>
  <si>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</si>
  <si>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</si>
  <si>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</si>
  <si>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</si>
  <si>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</si>
  <si>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</si>
  <si>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</si>
  <si>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</si>
  <si>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</si>
  <si>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</si>
  <si>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</si>
  <si>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</si>
  <si>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</si>
  <si>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</si>
  <si>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</si>
  <si>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</si>
  <si>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</si>
  <si>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</si>
  <si>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</si>
  <si>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</si>
  <si>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</si>
  <si>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</si>
  <si>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</si>
  <si>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</si>
  <si>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</si>
  <si>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</si>
  <si>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</si>
  <si>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</si>
  <si>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</si>
  <si>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</si>
  <si>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</si>
  <si>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</si>
  <si>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</si>
  <si>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</si>
  <si>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</si>
  <si>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</si>
  <si>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</si>
  <si>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</si>
  <si>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</si>
  <si>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</si>
  <si>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</si>
  <si>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</si>
  <si>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</si>
  <si>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</si>
  <si>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</si>
  <si>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</si>
  <si>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</si>
  <si>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</si>
  <si>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</si>
  <si>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</si>
  <si>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</si>
  <si>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</si>
  <si>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</si>
  <si>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</si>
  <si>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</si>
  <si>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</si>
  <si>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</si>
  <si>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</si>
  <si>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</si>
  <si>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</si>
  <si>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</si>
  <si>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</si>
  <si>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</si>
  <si>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</si>
  <si>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</si>
  <si>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</si>
  <si>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</si>
  <si>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</si>
  <si>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</si>
  <si>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</si>
  <si>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</si>
  <si>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</si>
  <si>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</si>
  <si>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</si>
  <si>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</si>
  <si>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</si>
  <si>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</si>
  <si>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</si>
  <si>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</si>
  <si>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</si>
  <si>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</si>
  <si>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</si>
  <si>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</si>
  <si>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</si>
  <si>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</si>
  <si>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</si>
  <si>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</si>
  <si>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</si>
  <si>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</si>
  <si>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</si>
  <si>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</si>
  <si>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</si>
  <si>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</si>
  <si>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</si>
  <si>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</si>
  <si>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</si>
  <si>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</si>
  <si>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</si>
  <si>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</si>
  <si>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</si>
  <si>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</si>
  <si>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</si>
  <si>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</si>
  <si>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</si>
  <si>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</si>
  <si>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</si>
  <si>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</si>
  <si>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</si>
  <si>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</si>
  <si>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</si>
  <si>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</si>
  <si>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</si>
  <si>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</si>
  <si>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</si>
  <si>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</si>
  <si>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</si>
  <si>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</si>
  <si>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</si>
  <si>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</si>
  <si>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</si>
  <si>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</si>
  <si>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</si>
  <si>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</si>
  <si>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</si>
  <si>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</si>
  <si>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</si>
  <si>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</si>
  <si>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</si>
  <si>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</si>
  <si>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</si>
  <si>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</si>
  <si>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</si>
  <si>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</si>
  <si>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</si>
  <si>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</si>
  <si>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</si>
  <si>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</si>
  <si>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</si>
  <si>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</si>
  <si>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</si>
  <si>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</si>
  <si>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</si>
  <si>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</si>
  <si>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</si>
  <si>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</si>
  <si>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</si>
  <si>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</si>
  <si>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</si>
  <si>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</si>
  <si>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</si>
  <si>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</si>
  <si>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</si>
  <si>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</si>
  <si>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</si>
  <si>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</si>
  <si>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</si>
  <si>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</si>
  <si>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</si>
  <si>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</si>
  <si>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</si>
  <si>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</si>
  <si>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</si>
  <si>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</si>
  <si>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</si>
  <si>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</si>
  <si>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</si>
  <si>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</si>
  <si>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</si>
  <si>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</si>
  <si>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</si>
  <si>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</si>
  <si>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</si>
  <si>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</si>
  <si>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</si>
  <si>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</si>
  <si>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</si>
  <si>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</si>
  <si>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</si>
  <si>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</si>
  <si>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</si>
  <si>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</si>
  <si>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</si>
  <si>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</si>
  <si>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</si>
  <si>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</si>
  <si>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</si>
  <si>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</si>
  <si>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</si>
  <si>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</si>
  <si>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</si>
  <si>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</si>
  <si>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</si>
  <si>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</si>
  <si>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</si>
  <si>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</si>
  <si>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</si>
  <si>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</si>
  <si>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</si>
  <si>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</si>
  <si>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</si>
  <si>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</si>
  <si>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</si>
  <si>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</si>
  <si>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</si>
  <si>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</si>
  <si>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</si>
  <si>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</si>
  <si>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</si>
  <si>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</si>
  <si>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</si>
  <si>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</si>
  <si>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</si>
  <si>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</si>
  <si>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</si>
  <si>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</si>
  <si>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</si>
  <si>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</si>
  <si>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</si>
  <si>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</si>
  <si>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</si>
  <si>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</si>
  <si>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</si>
  <si>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</si>
  <si>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</si>
  <si>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</si>
  <si>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</si>
  <si>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</si>
  <si>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</si>
  <si>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</si>
  <si>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</si>
  <si>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</si>
  <si>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</si>
  <si>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</si>
  <si>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BARAT|BULUNGAN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</si>
  <si>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</si>
  <si>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</si>
  <si>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</si>
  <si>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</si>
  <si>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</si>
  <si>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</si>
  <si>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</si>
  <si>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</si>
  <si>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</si>
  <si>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</si>
  <si>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</si>
  <si>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</si>
  <si>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</si>
  <si>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</si>
  <si>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</si>
  <si>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</si>
  <si>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</si>
  <si>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</si>
  <si>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</si>
  <si>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</si>
  <si>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</si>
  <si>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</si>
  <si>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</si>
  <si>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</si>
  <si>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</si>
  <si>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</si>
  <si>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</si>
  <si>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</si>
  <si>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</si>
  <si>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</si>
  <si>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</si>
  <si>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</si>
  <si>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</si>
  <si>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</si>
  <si>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</si>
  <si>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</si>
  <si>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</si>
  <si>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</si>
  <si>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</si>
  <si>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</si>
  <si>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</si>
  <si>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</si>
  <si>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</si>
  <si>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</si>
  <si>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</si>
  <si>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</si>
  <si>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</si>
  <si>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</si>
  <si>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</si>
  <si>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</si>
  <si>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</si>
  <si>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</si>
  <si>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</si>
  <si>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AMBALAU|SINTANG</t>
  </si>
  <si>
    <t>PURING KENCANA|KAPUAS HULU</t>
  </si>
  <si>
    <t>RUNGAN HULU|GUNUNG MAS</t>
  </si>
  <si>
    <t>SEI MENGGARIS|NUNUKAN</t>
  </si>
  <si>
    <t>SOMPAK|LANDAK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</si>
</sst>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T22"/>
  <sheetViews>
    <sheetView tabSelected="1" zoomScale="44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R6" sqref="R6:S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16384" width="11.7265625" style="2"/>
  </cols>
  <sheetData>
    <row r="4" spans="1:20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0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</row>
    <row r="6" spans="1:20" ht="64.5" customHeight="1" x14ac:dyDescent="0.35">
      <c r="A6" s="10" t="s">
        <v>1</v>
      </c>
      <c r="B6" s="1" t="s">
        <v>16</v>
      </c>
      <c r="C6" s="4">
        <f>IFERROR(VLOOKUP($A:$A,MASTER!$A:$T,3,0),0)</f>
        <v>233463851.88739571</v>
      </c>
      <c r="D6" s="4">
        <f>IFERROR(VLOOKUP($A:$A,MASTER!$A:$T,4,0),0)</f>
        <v>244307916.64230105</v>
      </c>
      <c r="E6" s="9">
        <f>IFERROR(C6/D6-1,0)</f>
        <v>-4.4386874170690427E-2</v>
      </c>
      <c r="F6" s="4">
        <f>IFERROR(VLOOKUP(A:A,MASTER!A:E,5,0),0)</f>
        <v>1300000.000000003</v>
      </c>
      <c r="G6" s="4">
        <f>IFERROR(VLOOKUP(A:A,MASTER!A:F,6,0),0)</f>
        <v>1167567.567567569</v>
      </c>
      <c r="H6" s="9">
        <f>IFERROR(F6/G6-1,0)</f>
        <v>0.11342592592592715</v>
      </c>
      <c r="I6" s="4">
        <f>IFERROR(VLOOKUP(A:A,MASTER!A:M,13,0),0)</f>
        <v>33653063.063063063</v>
      </c>
      <c r="J6" s="4">
        <f>IFERROR(VLOOKUP($A:$A,MASTER!$A:$T,14,0),0)</f>
        <v>30669594.59459459</v>
      </c>
      <c r="K6" s="9">
        <f>IFERROR(I6/J6-1,0)</f>
        <v>9.7277727596513319E-2</v>
      </c>
      <c r="L6" s="4">
        <f>IFERROR(VLOOKUP($A:$A,MASTER!$A:$T,15,0),0)</f>
        <v>110735531.53153154</v>
      </c>
      <c r="M6" s="4">
        <f>IFERROR(VLOOKUP($A:$A,MASTER!$A:$T,16,0),0)</f>
        <v>114817135.13513513</v>
      </c>
      <c r="N6" s="9">
        <f>IFERROR(L6/M6-1,0)</f>
        <v>-3.5548732328146926E-2</v>
      </c>
      <c r="O6" s="4">
        <f>IFERROR(VLOOKUP($A:$A,MASTER!$A:$T,17,0),0)</f>
        <v>30789639.639639635</v>
      </c>
      <c r="P6" s="4">
        <f>IFERROR(VLOOKUP($A:$A,MASTER!$A:$T,18,0),0)</f>
        <v>30401846.846846849</v>
      </c>
      <c r="Q6" s="9">
        <f>IFERROR(O6/P6-1,0)</f>
        <v>1.2755566947835195E-2</v>
      </c>
      <c r="R6" s="4">
        <f>IFERROR(VLOOKUP($A:$A,MASTER!$A:$T,19,0),0)</f>
        <v>7812</v>
      </c>
      <c r="S6" s="4">
        <f>IFERROR(VLOOKUP($A:$A,MASTER!$A:$T,20,0),0)</f>
        <v>8150</v>
      </c>
      <c r="T6" s="9">
        <f>IFERROR(R6/S6-1,0)</f>
        <v>-4.1472392638036815E-2</v>
      </c>
    </row>
    <row r="7" spans="1:20" ht="64.5" customHeight="1" x14ac:dyDescent="0.35">
      <c r="A7" s="10" t="s">
        <v>2</v>
      </c>
      <c r="B7" s="1" t="s">
        <v>17</v>
      </c>
      <c r="C7" s="4">
        <f>IFERROR(VLOOKUP($A:$A,MASTER!$A:$T,3,0),0)</f>
        <v>19523999.849815324</v>
      </c>
      <c r="D7" s="4">
        <f>IFERROR(VLOOKUP($A:$A,MASTER!$A:$T,4,0),0)</f>
        <v>8173457.9071941637</v>
      </c>
      <c r="E7" s="9">
        <f t="shared" ref="E7:E22" si="0">IFERROR(C7/D7-1,0)</f>
        <v>1.3887074566849571</v>
      </c>
      <c r="F7" s="4">
        <f>IFERROR(VLOOKUP(A:A,MASTER!A:E,5,0),0)</f>
        <v>22653153.153153155</v>
      </c>
      <c r="G7" s="4">
        <f>IFERROR(VLOOKUP(A:A,MASTER!A:F,6,0),0)</f>
        <v>62657657.657657653</v>
      </c>
      <c r="H7" s="9">
        <f t="shared" ref="H7:H22" si="1">IFERROR(F7/G7-1,0)</f>
        <v>-0.63846153846153841</v>
      </c>
      <c r="I7" s="4">
        <f>IFERROR(VLOOKUP(A:A,MASTER!A:M,13,0),0)</f>
        <v>1621846.846846848</v>
      </c>
      <c r="J7" s="4">
        <f>IFERROR(VLOOKUP($A:$A,MASTER!$A:$T,14,0),0)</f>
        <v>308108.10810810799</v>
      </c>
      <c r="K7" s="9">
        <f t="shared" ref="K7:K22" si="2">IFERROR(I7/J7-1,0)</f>
        <v>4.2638888888888946</v>
      </c>
      <c r="L7" s="4">
        <f>IFERROR(VLOOKUP($A:$A,MASTER!$A:$T,15,0),0)</f>
        <v>11659369.369369367</v>
      </c>
      <c r="M7" s="4">
        <f>IFERROR(VLOOKUP($A:$A,MASTER!$A:$T,16,0),0)</f>
        <v>5276117.1171171172</v>
      </c>
      <c r="N7" s="9">
        <f t="shared" ref="N7:N22" si="3">IFERROR(L7/M7-1,0)</f>
        <v>1.2098389991274634</v>
      </c>
      <c r="O7" s="4">
        <f>IFERROR(VLOOKUP($A:$A,MASTER!$A:$T,17,0),0)</f>
        <v>157657.65765765801</v>
      </c>
      <c r="P7" s="4">
        <f>IFERROR(VLOOKUP($A:$A,MASTER!$A:$T,18,0),0)</f>
        <v>212162.16216216201</v>
      </c>
      <c r="Q7" s="9">
        <f t="shared" ref="Q7:Q22" si="4">IFERROR(O7/P7-1,0)</f>
        <v>-0.25690021231422289</v>
      </c>
      <c r="R7" s="4">
        <f>IFERROR(VLOOKUP($A:$A,MASTER!$A:$T,19,0),0)</f>
        <v>1223</v>
      </c>
      <c r="S7" s="4">
        <f>IFERROR(VLOOKUP($A:$A,MASTER!$A:$T,20,0),0)</f>
        <v>999</v>
      </c>
      <c r="T7" s="9">
        <f t="shared" ref="T7:T22" si="5">IFERROR(R7/S7-1,0)</f>
        <v>0.22422422422422428</v>
      </c>
    </row>
    <row r="8" spans="1:20" ht="64.5" customHeight="1" x14ac:dyDescent="0.35">
      <c r="A8" s="10" t="s">
        <v>3</v>
      </c>
      <c r="B8" s="1" t="s">
        <v>16</v>
      </c>
      <c r="C8" s="4">
        <f>IFERROR(VLOOKUP($A:$A,MASTER!$A:$T,3,0),0)</f>
        <v>173692552.303758</v>
      </c>
      <c r="D8" s="4">
        <f>IFERROR(VLOOKUP($A:$A,MASTER!$A:$T,4,0),0)</f>
        <v>158083056.7705043</v>
      </c>
      <c r="E8" s="9">
        <f t="shared" si="0"/>
        <v>9.8742369056758816E-2</v>
      </c>
      <c r="F8" s="4">
        <f>IFERROR(VLOOKUP(A:A,MASTER!A:E,5,0),0)</f>
        <v>618760454.95495498</v>
      </c>
      <c r="G8" s="4">
        <f>IFERROR(VLOOKUP(A:A,MASTER!A:F,6,0),0)</f>
        <v>380124311.71171176</v>
      </c>
      <c r="H8" s="9">
        <f t="shared" si="1"/>
        <v>0.62778447968417783</v>
      </c>
      <c r="I8" s="4">
        <f>IFERROR(VLOOKUP(A:A,MASTER!A:M,13,0),0)</f>
        <v>77209009.009009004</v>
      </c>
      <c r="J8" s="4">
        <f>IFERROR(VLOOKUP($A:$A,MASTER!$A:$T,14,0),0)</f>
        <v>92934684.684684694</v>
      </c>
      <c r="K8" s="9">
        <f t="shared" si="2"/>
        <v>-0.16921212708722111</v>
      </c>
      <c r="L8" s="4">
        <f>IFERROR(VLOOKUP($A:$A,MASTER!$A:$T,15,0),0)</f>
        <v>49687522.522522517</v>
      </c>
      <c r="M8" s="4">
        <f>IFERROR(VLOOKUP($A:$A,MASTER!$A:$T,16,0),0)</f>
        <v>46405063.063063063</v>
      </c>
      <c r="N8" s="9">
        <f t="shared" si="3"/>
        <v>7.0734942327277839E-2</v>
      </c>
      <c r="O8" s="4">
        <f>IFERROR(VLOOKUP($A:$A,MASTER!$A:$T,17,0),0)</f>
        <v>34237297.297297299</v>
      </c>
      <c r="P8" s="4">
        <f>IFERROR(VLOOKUP($A:$A,MASTER!$A:$T,18,0),0)</f>
        <v>58415135.135135137</v>
      </c>
      <c r="Q8" s="9">
        <f t="shared" si="4"/>
        <v>-0.41389680571492027</v>
      </c>
      <c r="R8" s="4">
        <f>IFERROR(VLOOKUP($A:$A,MASTER!$A:$T,19,0),0)</f>
        <v>3695</v>
      </c>
      <c r="S8" s="4">
        <f>IFERROR(VLOOKUP($A:$A,MASTER!$A:$T,20,0),0)</f>
        <v>3642</v>
      </c>
      <c r="T8" s="9">
        <f t="shared" si="5"/>
        <v>1.4552443712245955E-2</v>
      </c>
    </row>
    <row r="9" spans="1:20" ht="64.5" customHeight="1" x14ac:dyDescent="0.35">
      <c r="A9" s="10" t="s">
        <v>4</v>
      </c>
      <c r="B9" s="1" t="s">
        <v>16</v>
      </c>
      <c r="C9" s="4">
        <f>IFERROR(VLOOKUP($A:$A,MASTER!$A:$T,3,0),0)</f>
        <v>105114272.32999785</v>
      </c>
      <c r="D9" s="4">
        <f>IFERROR(VLOOKUP($A:$A,MASTER!$A:$T,4,0),0)</f>
        <v>101874052.02010016</v>
      </c>
      <c r="E9" s="9">
        <f t="shared" si="0"/>
        <v>3.1806139499176656E-2</v>
      </c>
      <c r="F9" s="4">
        <f>IFERROR(VLOOKUP(A:A,MASTER!A:E,5,0),0)</f>
        <v>867567.56756757002</v>
      </c>
      <c r="G9" s="4">
        <f>IFERROR(VLOOKUP(A:A,MASTER!A:F,6,0),0)</f>
        <v>1445045.0450450459</v>
      </c>
      <c r="H9" s="9">
        <f t="shared" si="1"/>
        <v>-0.39962593516209344</v>
      </c>
      <c r="I9" s="4">
        <f>IFERROR(VLOOKUP(A:A,MASTER!A:M,13,0),0)</f>
        <v>22131531.531531531</v>
      </c>
      <c r="J9" s="4">
        <f>IFERROR(VLOOKUP($A:$A,MASTER!$A:$T,14,0),0)</f>
        <v>31670270.270270273</v>
      </c>
      <c r="K9" s="9">
        <f t="shared" si="2"/>
        <v>-0.30118905387722594</v>
      </c>
      <c r="L9" s="4">
        <f>IFERROR(VLOOKUP($A:$A,MASTER!$A:$T,15,0),0)</f>
        <v>37033603.603603601</v>
      </c>
      <c r="M9" s="4">
        <f>IFERROR(VLOOKUP($A:$A,MASTER!$A:$T,16,0),0)</f>
        <v>38655378.378378376</v>
      </c>
      <c r="N9" s="9">
        <f t="shared" si="3"/>
        <v>-4.1954699263321737E-2</v>
      </c>
      <c r="O9" s="4">
        <f>IFERROR(VLOOKUP($A:$A,MASTER!$A:$T,17,0),0)</f>
        <v>27196126.126126125</v>
      </c>
      <c r="P9" s="4">
        <f>IFERROR(VLOOKUP($A:$A,MASTER!$A:$T,18,0),0)</f>
        <v>29251711.711711712</v>
      </c>
      <c r="Q9" s="9">
        <f t="shared" si="4"/>
        <v>-7.027231793627231E-2</v>
      </c>
      <c r="R9" s="4">
        <f>IFERROR(VLOOKUP($A:$A,MASTER!$A:$T,19,0),0)</f>
        <v>3588</v>
      </c>
      <c r="S9" s="4">
        <f>IFERROR(VLOOKUP($A:$A,MASTER!$A:$T,20,0),0)</f>
        <v>3572</v>
      </c>
      <c r="T9" s="9">
        <f t="shared" si="5"/>
        <v>4.4792833146696243E-3</v>
      </c>
    </row>
    <row r="10" spans="1:20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</row>
    <row r="11" spans="1:20" ht="64.5" customHeight="1" x14ac:dyDescent="0.35">
      <c r="A11" s="10" t="s">
        <v>5</v>
      </c>
      <c r="B11" s="1" t="s">
        <v>16</v>
      </c>
      <c r="C11" s="4">
        <f>IFERROR(VLOOKUP($A:$A,MASTER!$A:$T,3,0),0)</f>
        <v>109327121.01861916</v>
      </c>
      <c r="D11" s="4">
        <f>IFERROR(VLOOKUP($A:$A,MASTER!$A:$T,4,0),0)</f>
        <v>115902711.25106059</v>
      </c>
      <c r="E11" s="9">
        <f t="shared" si="0"/>
        <v>-5.6733705031263959E-2</v>
      </c>
      <c r="F11" s="4">
        <f>IFERROR(VLOOKUP(A:A,MASTER!A:E,5,0),0)</f>
        <v>170270.27027027099</v>
      </c>
      <c r="G11" s="4">
        <f>IFERROR(VLOOKUP(A:A,MASTER!A:F,6,0),0)</f>
        <v>27027.027027027001</v>
      </c>
      <c r="H11" s="9">
        <f t="shared" si="1"/>
        <v>5.3000000000000327</v>
      </c>
      <c r="I11" s="4">
        <f>IFERROR(VLOOKUP(A:A,MASTER!A:M,13,0),0)</f>
        <v>8375675.6756756753</v>
      </c>
      <c r="J11" s="4">
        <f>IFERROR(VLOOKUP($A:$A,MASTER!$A:$T,14,0),0)</f>
        <v>13836036.036036033</v>
      </c>
      <c r="K11" s="9">
        <f t="shared" si="2"/>
        <v>-0.39464774059122276</v>
      </c>
      <c r="L11" s="4">
        <f>IFERROR(VLOOKUP($A:$A,MASTER!$A:$T,15,0),0)</f>
        <v>45778702.702702701</v>
      </c>
      <c r="M11" s="4">
        <f>IFERROR(VLOOKUP($A:$A,MASTER!$A:$T,16,0),0)</f>
        <v>48581333.333333336</v>
      </c>
      <c r="N11" s="9">
        <f t="shared" si="3"/>
        <v>-5.7689454741820634E-2</v>
      </c>
      <c r="O11" s="4">
        <f>IFERROR(VLOOKUP($A:$A,MASTER!$A:$T,17,0),0)</f>
        <v>7847567.5675675683</v>
      </c>
      <c r="P11" s="4">
        <f>IFERROR(VLOOKUP($A:$A,MASTER!$A:$T,18,0),0)</f>
        <v>12377387.387387387</v>
      </c>
      <c r="Q11" s="9">
        <f t="shared" si="4"/>
        <v>-0.36597544199317267</v>
      </c>
      <c r="R11" s="4">
        <f>IFERROR(VLOOKUP($A:$A,MASTER!$A:$T,19,0),0)</f>
        <v>3099</v>
      </c>
      <c r="S11" s="4">
        <f>IFERROR(VLOOKUP($A:$A,MASTER!$A:$T,20,0),0)</f>
        <v>3027</v>
      </c>
      <c r="T11" s="9">
        <f t="shared" si="5"/>
        <v>2.378592666005952E-2</v>
      </c>
    </row>
    <row r="12" spans="1:20" ht="64.5" customHeight="1" x14ac:dyDescent="0.35">
      <c r="A12" s="10" t="s">
        <v>6</v>
      </c>
      <c r="B12" s="1" t="s">
        <v>17</v>
      </c>
      <c r="C12" s="4">
        <f>IFERROR(VLOOKUP($A:$A,MASTER!$A:$T,3,0),0)</f>
        <v>389986416.41443765</v>
      </c>
      <c r="D12" s="4">
        <f>IFERROR(VLOOKUP($A:$A,MASTER!$A:$T,4,0),0)</f>
        <v>402245101.50619578</v>
      </c>
      <c r="E12" s="9">
        <f t="shared" si="0"/>
        <v>-3.047566035199889E-2</v>
      </c>
      <c r="F12" s="4">
        <f>IFERROR(VLOOKUP(A:A,MASTER!A:E,5,0),0)</f>
        <v>285603622.52252251</v>
      </c>
      <c r="G12" s="4">
        <f>IFERROR(VLOOKUP(A:A,MASTER!A:F,6,0),0)</f>
        <v>159473229.72972974</v>
      </c>
      <c r="H12" s="9">
        <f t="shared" si="1"/>
        <v>0.79091890849990709</v>
      </c>
      <c r="I12" s="4">
        <f>IFERROR(VLOOKUP(A:A,MASTER!A:M,13,0),0)</f>
        <v>167620390.99099097</v>
      </c>
      <c r="J12" s="4">
        <f>IFERROR(VLOOKUP($A:$A,MASTER!$A:$T,14,0),0)</f>
        <v>231945599.0990991</v>
      </c>
      <c r="K12" s="9">
        <f t="shared" si="2"/>
        <v>-0.27732885796477258</v>
      </c>
      <c r="L12" s="4">
        <f>IFERROR(VLOOKUP($A:$A,MASTER!$A:$T,15,0),0)</f>
        <v>265840810.8108108</v>
      </c>
      <c r="M12" s="4">
        <f>IFERROR(VLOOKUP($A:$A,MASTER!$A:$T,16,0),0)</f>
        <v>262576477.47747746</v>
      </c>
      <c r="N12" s="9">
        <f t="shared" si="3"/>
        <v>1.2431933601567025E-2</v>
      </c>
      <c r="O12" s="4">
        <f>IFERROR(VLOOKUP($A:$A,MASTER!$A:$T,17,0),0)</f>
        <v>149508198.1981982</v>
      </c>
      <c r="P12" s="4">
        <f>IFERROR(VLOOKUP($A:$A,MASTER!$A:$T,18,0),0)</f>
        <v>207931441.44144145</v>
      </c>
      <c r="Q12" s="9">
        <f t="shared" si="4"/>
        <v>-0.28097358840123587</v>
      </c>
      <c r="R12" s="4">
        <f>IFERROR(VLOOKUP($A:$A,MASTER!$A:$T,19,0),0)</f>
        <v>12915</v>
      </c>
      <c r="S12" s="4">
        <f>IFERROR(VLOOKUP($A:$A,MASTER!$A:$T,20,0),0)</f>
        <v>13416</v>
      </c>
      <c r="T12" s="9">
        <f t="shared" si="5"/>
        <v>-3.7343470483005348E-2</v>
      </c>
    </row>
    <row r="13" spans="1:20" ht="64.5" customHeight="1" x14ac:dyDescent="0.35">
      <c r="A13" s="10" t="s">
        <v>7</v>
      </c>
      <c r="B13" s="1" t="s">
        <v>17</v>
      </c>
      <c r="C13" s="4">
        <f>IFERROR(VLOOKUP($A:$A,MASTER!$A:$T,3,0),0)</f>
        <v>93534604.607077047</v>
      </c>
      <c r="D13" s="4">
        <f>IFERROR(VLOOKUP($A:$A,MASTER!$A:$T,4,0),0)</f>
        <v>94100528.765244439</v>
      </c>
      <c r="E13" s="9">
        <f t="shared" si="0"/>
        <v>-6.0140380250064407E-3</v>
      </c>
      <c r="F13" s="4">
        <f>IFERROR(VLOOKUP(A:A,MASTER!A:E,5,0),0)</f>
        <v>237837.837837839</v>
      </c>
      <c r="G13" s="4">
        <f>IFERROR(VLOOKUP(A:A,MASTER!A:F,6,0),0)</f>
        <v>78378.378378377995</v>
      </c>
      <c r="H13" s="9">
        <f t="shared" si="1"/>
        <v>2.0344827586207193</v>
      </c>
      <c r="I13" s="4">
        <f>IFERROR(VLOOKUP(A:A,MASTER!A:M,13,0),0)</f>
        <v>16400000</v>
      </c>
      <c r="J13" s="4">
        <f>IFERROR(VLOOKUP($A:$A,MASTER!$A:$T,14,0),0)</f>
        <v>19731531.531531528</v>
      </c>
      <c r="K13" s="9">
        <f t="shared" si="2"/>
        <v>-0.16884302803396933</v>
      </c>
      <c r="L13" s="4">
        <f>IFERROR(VLOOKUP($A:$A,MASTER!$A:$T,15,0),0)</f>
        <v>65780126.126126125</v>
      </c>
      <c r="M13" s="4">
        <f>IFERROR(VLOOKUP($A:$A,MASTER!$A:$T,16,0),0)</f>
        <v>62199540.540540546</v>
      </c>
      <c r="N13" s="9">
        <f t="shared" si="3"/>
        <v>5.7566109885519356E-2</v>
      </c>
      <c r="O13" s="4">
        <f>IFERROR(VLOOKUP($A:$A,MASTER!$A:$T,17,0),0)</f>
        <v>19609639.639639638</v>
      </c>
      <c r="P13" s="4">
        <f>IFERROR(VLOOKUP($A:$A,MASTER!$A:$T,18,0),0)</f>
        <v>21560990.990990993</v>
      </c>
      <c r="Q13" s="9">
        <f t="shared" si="4"/>
        <v>-9.0503787704688698E-2</v>
      </c>
      <c r="R13" s="4">
        <f>IFERROR(VLOOKUP($A:$A,MASTER!$A:$T,19,0),0)</f>
        <v>4606</v>
      </c>
      <c r="S13" s="4">
        <f>IFERROR(VLOOKUP($A:$A,MASTER!$A:$T,20,0),0)</f>
        <v>4618</v>
      </c>
      <c r="T13" s="9">
        <f t="shared" si="5"/>
        <v>-2.5985275010826925E-3</v>
      </c>
    </row>
    <row r="14" spans="1:20" ht="64.5" customHeight="1" x14ac:dyDescent="0.35">
      <c r="A14" s="10" t="s">
        <v>8</v>
      </c>
      <c r="B14" s="1" t="s">
        <v>16</v>
      </c>
      <c r="C14" s="4">
        <f>IFERROR(VLOOKUP($A:$A,MASTER!$A:$T,3,0),0)</f>
        <v>129223397.55215171</v>
      </c>
      <c r="D14" s="4">
        <f>IFERROR(VLOOKUP($A:$A,MASTER!$A:$T,4,0),0)</f>
        <v>137783007.18470979</v>
      </c>
      <c r="E14" s="9">
        <f t="shared" si="0"/>
        <v>-6.2123841012434844E-2</v>
      </c>
      <c r="F14" s="4">
        <f>IFERROR(VLOOKUP(A:A,MASTER!A:E,5,0),0)</f>
        <v>2511711.7117117131</v>
      </c>
      <c r="G14" s="4">
        <f>IFERROR(VLOOKUP(A:A,MASTER!A:F,6,0),0)</f>
        <v>2648648.648648649</v>
      </c>
      <c r="H14" s="9">
        <f t="shared" si="1"/>
        <v>-5.170068027210839E-2</v>
      </c>
      <c r="I14" s="4">
        <f>IFERROR(VLOOKUP(A:A,MASTER!A:M,13,0),0)</f>
        <v>20054954.954954956</v>
      </c>
      <c r="J14" s="4">
        <f>IFERROR(VLOOKUP($A:$A,MASTER!$A:$T,14,0),0)</f>
        <v>26245045.045045048</v>
      </c>
      <c r="K14" s="9">
        <f t="shared" si="2"/>
        <v>-0.23585747631470555</v>
      </c>
      <c r="L14" s="4">
        <f>IFERROR(VLOOKUP($A:$A,MASTER!$A:$T,15,0),0)</f>
        <v>38588054.054054059</v>
      </c>
      <c r="M14" s="4">
        <f>IFERROR(VLOOKUP($A:$A,MASTER!$A:$T,16,0),0)</f>
        <v>41954711.711711712</v>
      </c>
      <c r="N14" s="9">
        <f t="shared" si="3"/>
        <v>-8.0245043293143303E-2</v>
      </c>
      <c r="O14" s="4">
        <f>IFERROR(VLOOKUP($A:$A,MASTER!$A:$T,17,0),0)</f>
        <v>19127297.297297295</v>
      </c>
      <c r="P14" s="4">
        <f>IFERROR(VLOOKUP($A:$A,MASTER!$A:$T,18,0),0)</f>
        <v>23762342.342342343</v>
      </c>
      <c r="Q14" s="9">
        <f t="shared" si="4"/>
        <v>-0.19505842388213623</v>
      </c>
      <c r="R14" s="4">
        <f>IFERROR(VLOOKUP($A:$A,MASTER!$A:$T,19,0),0)</f>
        <v>3594</v>
      </c>
      <c r="S14" s="4">
        <f>IFERROR(VLOOKUP($A:$A,MASTER!$A:$T,20,0),0)</f>
        <v>3781</v>
      </c>
      <c r="T14" s="9">
        <f t="shared" si="5"/>
        <v>-4.945781539275329E-2</v>
      </c>
    </row>
    <row r="15" spans="1:20" ht="64.5" customHeight="1" x14ac:dyDescent="0.35">
      <c r="A15" s="10" t="s">
        <v>9</v>
      </c>
      <c r="B15" s="1" t="s">
        <v>16</v>
      </c>
      <c r="C15" s="4">
        <f>IFERROR(VLOOKUP($A:$A,MASTER!$A:$T,3,0),0)</f>
        <v>253714695.44089374</v>
      </c>
      <c r="D15" s="4">
        <f>IFERROR(VLOOKUP($A:$A,MASTER!$A:$T,4,0),0)</f>
        <v>248315440.82106227</v>
      </c>
      <c r="E15" s="9">
        <f t="shared" si="0"/>
        <v>2.1743531541891459E-2</v>
      </c>
      <c r="F15" s="4">
        <f>IFERROR(VLOOKUP(A:A,MASTER!A:E,5,0),0)</f>
        <v>3145293.6936936979</v>
      </c>
      <c r="G15" s="4">
        <f>IFERROR(VLOOKUP(A:A,MASTER!A:F,6,0),0)</f>
        <v>4921784.6846846873</v>
      </c>
      <c r="H15" s="9">
        <f t="shared" si="1"/>
        <v>-0.36094447538897156</v>
      </c>
      <c r="I15" s="4">
        <f>IFERROR(VLOOKUP(A:A,MASTER!A:M,13,0),0)</f>
        <v>325739806.3063063</v>
      </c>
      <c r="J15" s="4">
        <f>IFERROR(VLOOKUP($A:$A,MASTER!$A:$T,14,0),0)</f>
        <v>353670793.6936937</v>
      </c>
      <c r="K15" s="9">
        <f t="shared" si="2"/>
        <v>-7.897453757965045E-2</v>
      </c>
      <c r="L15" s="4">
        <f>IFERROR(VLOOKUP($A:$A,MASTER!$A:$T,15,0),0)</f>
        <v>92749387.387387395</v>
      </c>
      <c r="M15" s="4">
        <f>IFERROR(VLOOKUP($A:$A,MASTER!$A:$T,16,0),0)</f>
        <v>91307754.954954967</v>
      </c>
      <c r="N15" s="9">
        <f t="shared" si="3"/>
        <v>1.5788718418754621E-2</v>
      </c>
      <c r="O15" s="4">
        <f>IFERROR(VLOOKUP($A:$A,MASTER!$A:$T,17,0),0)</f>
        <v>265941981.98198199</v>
      </c>
      <c r="P15" s="4">
        <f>IFERROR(VLOOKUP($A:$A,MASTER!$A:$T,18,0),0)</f>
        <v>324187747.74774778</v>
      </c>
      <c r="Q15" s="9">
        <f t="shared" si="4"/>
        <v>-0.17966677078458604</v>
      </c>
      <c r="R15" s="4">
        <f>IFERROR(VLOOKUP($A:$A,MASTER!$A:$T,19,0),0)</f>
        <v>7170</v>
      </c>
      <c r="S15" s="4">
        <f>IFERROR(VLOOKUP($A:$A,MASTER!$A:$T,20,0),0)</f>
        <v>7019</v>
      </c>
      <c r="T15" s="9">
        <f t="shared" si="5"/>
        <v>2.1513036045020639E-2</v>
      </c>
    </row>
    <row r="16" spans="1:20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</row>
    <row r="17" spans="1:20" ht="64.5" customHeight="1" x14ac:dyDescent="0.35">
      <c r="A17" s="10" t="s">
        <v>10</v>
      </c>
      <c r="B17" s="1" t="s">
        <v>17</v>
      </c>
      <c r="C17" s="4">
        <f>IFERROR(VLOOKUP($A:$A,MASTER!$A:$T,3,0),0)</f>
        <v>104781224.63765098</v>
      </c>
      <c r="D17" s="4">
        <f>IFERROR(VLOOKUP($A:$A,MASTER!$A:$T,4,0),0)</f>
        <v>110920342.25198558</v>
      </c>
      <c r="E17" s="9">
        <f t="shared" si="0"/>
        <v>-5.534708503141772E-2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62694935.135135137</v>
      </c>
      <c r="M17" s="4">
        <f>IFERROR(VLOOKUP($A:$A,MASTER!$A:$T,16,0),0)</f>
        <v>66675702.702702701</v>
      </c>
      <c r="N17" s="9">
        <f t="shared" si="3"/>
        <v>-5.9703421279521107E-2</v>
      </c>
      <c r="O17" s="4">
        <f>IFERROR(VLOOKUP($A:$A,MASTER!$A:$T,17,0),0)</f>
        <v>19639.639639640001</v>
      </c>
      <c r="P17" s="4">
        <f>IFERROR(VLOOKUP($A:$A,MASTER!$A:$T,18,0),0)</f>
        <v>448108.108108107</v>
      </c>
      <c r="Q17" s="9">
        <f t="shared" si="4"/>
        <v>-0.95617209489344501</v>
      </c>
      <c r="R17" s="4">
        <f>IFERROR(VLOOKUP($A:$A,MASTER!$A:$T,19,0),0)</f>
        <v>3780</v>
      </c>
      <c r="S17" s="4">
        <f>IFERROR(VLOOKUP($A:$A,MASTER!$A:$T,20,0),0)</f>
        <v>3682</v>
      </c>
      <c r="T17" s="9">
        <f t="shared" si="5"/>
        <v>2.6615969581748944E-2</v>
      </c>
    </row>
    <row r="18" spans="1:20" ht="64.5" customHeight="1" x14ac:dyDescent="0.35">
      <c r="A18" s="10" t="s">
        <v>11</v>
      </c>
      <c r="B18" s="1" t="s">
        <v>17</v>
      </c>
      <c r="C18" s="4">
        <f>IFERROR(VLOOKUP($A:$A,MASTER!$A:$T,3,0),0)</f>
        <v>90694704.644503698</v>
      </c>
      <c r="D18" s="4">
        <f>IFERROR(VLOOKUP($A:$A,MASTER!$A:$T,4,0),0)</f>
        <v>88915921.527144358</v>
      </c>
      <c r="E18" s="9">
        <f t="shared" si="0"/>
        <v>2.0005226137326915E-2</v>
      </c>
      <c r="F18" s="4">
        <f>IFERROR(VLOOKUP(A:A,MASTER!A:E,5,0),0)</f>
        <v>112612.612612615</v>
      </c>
      <c r="G18" s="4">
        <f>IFERROR(VLOOKUP(A:A,MASTER!A:F,6,0),0)</f>
        <v>18018.018018018</v>
      </c>
      <c r="H18" s="9">
        <f t="shared" si="1"/>
        <v>5.2500000000001394</v>
      </c>
      <c r="I18" s="4">
        <f>IFERROR(VLOOKUP(A:A,MASTER!A:M,13,0),0)</f>
        <v>1914414.4144144161</v>
      </c>
      <c r="J18" s="4">
        <f>IFERROR(VLOOKUP($A:$A,MASTER!$A:$T,14,0),0)</f>
        <v>3081081.0810810812</v>
      </c>
      <c r="K18" s="9">
        <f t="shared" si="2"/>
        <v>-0.37865497076023336</v>
      </c>
      <c r="L18" s="4">
        <f>IFERROR(VLOOKUP($A:$A,MASTER!$A:$T,15,0),0)</f>
        <v>30431306.306306303</v>
      </c>
      <c r="M18" s="4">
        <f>IFERROR(VLOOKUP($A:$A,MASTER!$A:$T,16,0),0)</f>
        <v>35782135.135135137</v>
      </c>
      <c r="N18" s="9">
        <f t="shared" si="3"/>
        <v>-0.149539115221069</v>
      </c>
      <c r="O18" s="4">
        <f>IFERROR(VLOOKUP($A:$A,MASTER!$A:$T,17,0),0)</f>
        <v>2269909.9099099101</v>
      </c>
      <c r="P18" s="4">
        <f>IFERROR(VLOOKUP($A:$A,MASTER!$A:$T,18,0),0)</f>
        <v>1958288.288288289</v>
      </c>
      <c r="Q18" s="9">
        <f t="shared" si="4"/>
        <v>0.15912959470028021</v>
      </c>
      <c r="R18" s="4">
        <f>IFERROR(VLOOKUP($A:$A,MASTER!$A:$T,19,0),0)</f>
        <v>4735</v>
      </c>
      <c r="S18" s="4">
        <f>IFERROR(VLOOKUP($A:$A,MASTER!$A:$T,20,0),0)</f>
        <v>4854</v>
      </c>
      <c r="T18" s="9">
        <f t="shared" si="5"/>
        <v>-2.4515863205603616E-2</v>
      </c>
    </row>
    <row r="19" spans="1:20" ht="64.5" customHeight="1" x14ac:dyDescent="0.35">
      <c r="A19" s="10" t="s">
        <v>12</v>
      </c>
      <c r="B19" s="1" t="s">
        <v>17</v>
      </c>
      <c r="C19" s="4">
        <f>IFERROR(VLOOKUP($A:$A,MASTER!$A:$T,3,0),0)</f>
        <v>58412962.291778222</v>
      </c>
      <c r="D19" s="4">
        <f>IFERROR(VLOOKUP($A:$A,MASTER!$A:$T,4,0),0)</f>
        <v>59804319.756301992</v>
      </c>
      <c r="E19" s="9">
        <f t="shared" si="0"/>
        <v>-2.3265166633337553E-2</v>
      </c>
      <c r="F19" s="4">
        <f>IFERROR(VLOOKUP(A:A,MASTER!A:E,5,0),0)</f>
        <v>2315315.3153153178</v>
      </c>
      <c r="G19" s="4">
        <f>IFERROR(VLOOKUP(A:A,MASTER!A:F,6,0),0)</f>
        <v>109909.90990991</v>
      </c>
      <c r="H19" s="9">
        <f t="shared" si="1"/>
        <v>20.06557377049181</v>
      </c>
      <c r="I19" s="4">
        <f>IFERROR(VLOOKUP(A:A,MASTER!A:M,13,0),0)</f>
        <v>5468468.4684684696</v>
      </c>
      <c r="J19" s="4">
        <f>IFERROR(VLOOKUP($A:$A,MASTER!$A:$T,14,0),0)</f>
        <v>560360.36036036001</v>
      </c>
      <c r="K19" s="9">
        <f t="shared" si="2"/>
        <v>8.7588424437299111</v>
      </c>
      <c r="L19" s="4">
        <f>IFERROR(VLOOKUP($A:$A,MASTER!$A:$T,15,0),0)</f>
        <v>23386558.558558561</v>
      </c>
      <c r="M19" s="4">
        <f>IFERROR(VLOOKUP($A:$A,MASTER!$A:$T,16,0),0)</f>
        <v>26542279.27927928</v>
      </c>
      <c r="N19" s="9">
        <f t="shared" si="3"/>
        <v>-0.11889411182498899</v>
      </c>
      <c r="O19" s="4">
        <f>IFERROR(VLOOKUP($A:$A,MASTER!$A:$T,17,0),0)</f>
        <v>7006036.036036036</v>
      </c>
      <c r="P19" s="4">
        <f>IFERROR(VLOOKUP($A:$A,MASTER!$A:$T,18,0),0)</f>
        <v>2297297.297297297</v>
      </c>
      <c r="Q19" s="9">
        <f t="shared" si="4"/>
        <v>2.0496862745098041</v>
      </c>
      <c r="R19" s="4">
        <f>IFERROR(VLOOKUP($A:$A,MASTER!$A:$T,19,0),0)</f>
        <v>2975</v>
      </c>
      <c r="S19" s="4">
        <f>IFERROR(VLOOKUP($A:$A,MASTER!$A:$T,20,0),0)</f>
        <v>2808</v>
      </c>
      <c r="T19" s="9">
        <f t="shared" si="5"/>
        <v>5.9472934472934558E-2</v>
      </c>
    </row>
    <row r="20" spans="1:20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91959459.459459454</v>
      </c>
      <c r="G20" s="4">
        <f>IFERROR(VLOOKUP(A:A,MASTER!A:F,6,0),0)</f>
        <v>295035135.13513511</v>
      </c>
      <c r="H20" s="9">
        <f t="shared" si="1"/>
        <v>-0.68831014171468352</v>
      </c>
      <c r="I20" s="4">
        <f>IFERROR(VLOOKUP(A:A,MASTER!A:M,13,0),0)</f>
        <v>18545945.945945945</v>
      </c>
      <c r="J20" s="4">
        <f>IFERROR(VLOOKUP($A:$A,MASTER!$A:$T,14,0),0)</f>
        <v>21958558.558558561</v>
      </c>
      <c r="K20" s="9">
        <f t="shared" si="2"/>
        <v>-0.15541150406170523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</row>
    <row r="21" spans="1:20" ht="64.5" customHeight="1" x14ac:dyDescent="0.35">
      <c r="A21" s="10" t="s">
        <v>13</v>
      </c>
      <c r="B21" s="1" t="s">
        <v>16</v>
      </c>
      <c r="C21" s="4">
        <f>IFERROR(VLOOKUP($A:$A,MASTER!$A:$T,3,0),0)</f>
        <v>212491312.73630899</v>
      </c>
      <c r="D21" s="4">
        <f>IFERROR(VLOOKUP($A:$A,MASTER!$A:$T,4,0),0)</f>
        <v>206185425.98449266</v>
      </c>
      <c r="E21" s="9">
        <f t="shared" si="0"/>
        <v>3.0583571664714038E-2</v>
      </c>
      <c r="F21" s="4">
        <f>IFERROR(VLOOKUP(A:A,MASTER!A:E,5,0),0)</f>
        <v>1286486.486486488</v>
      </c>
      <c r="G21" s="4">
        <f>IFERROR(VLOOKUP(A:A,MASTER!A:F,6,0),0)</f>
        <v>697297.29729729798</v>
      </c>
      <c r="H21" s="9">
        <f t="shared" si="1"/>
        <v>0.84496124031007791</v>
      </c>
      <c r="I21" s="4">
        <f>IFERROR(VLOOKUP(A:A,MASTER!A:M,13,0),0)</f>
        <v>48689909.909909904</v>
      </c>
      <c r="J21" s="4">
        <f>IFERROR(VLOOKUP($A:$A,MASTER!$A:$T,14,0),0)</f>
        <v>52353603.603603609</v>
      </c>
      <c r="K21" s="9">
        <f t="shared" si="2"/>
        <v>-6.9979780597978269E-2</v>
      </c>
      <c r="L21" s="4">
        <f>IFERROR(VLOOKUP($A:$A,MASTER!$A:$T,15,0),0)</f>
        <v>119695747.74774775</v>
      </c>
      <c r="M21" s="4">
        <f>IFERROR(VLOOKUP($A:$A,MASTER!$A:$T,16,0),0)</f>
        <v>119426414.41441442</v>
      </c>
      <c r="N21" s="9">
        <f t="shared" si="3"/>
        <v>2.2552241449596E-3</v>
      </c>
      <c r="O21" s="4">
        <f>IFERROR(VLOOKUP($A:$A,MASTER!$A:$T,17,0),0)</f>
        <v>48441531.531531528</v>
      </c>
      <c r="P21" s="4">
        <f>IFERROR(VLOOKUP($A:$A,MASTER!$A:$T,18,0),0)</f>
        <v>56448468.468468472</v>
      </c>
      <c r="Q21" s="9">
        <f t="shared" si="4"/>
        <v>-0.14184506956835397</v>
      </c>
      <c r="R21" s="4">
        <f>IFERROR(VLOOKUP($A:$A,MASTER!$A:$T,19,0),0)</f>
        <v>7199</v>
      </c>
      <c r="S21" s="4">
        <f>IFERROR(VLOOKUP($A:$A,MASTER!$A:$T,20,0),0)</f>
        <v>8862</v>
      </c>
      <c r="T21" s="9">
        <f t="shared" si="5"/>
        <v>-0.18765515684946965</v>
      </c>
    </row>
    <row r="22" spans="1:20" ht="64.5" customHeight="1" x14ac:dyDescent="0.35">
      <c r="A22" s="10" t="s">
        <v>14</v>
      </c>
      <c r="B22" s="1" t="s">
        <v>16</v>
      </c>
      <c r="C22" s="4">
        <f>IFERROR(VLOOKUP($A:$A,MASTER!$A:$T,3,0),0)</f>
        <v>108375519.06350897</v>
      </c>
      <c r="D22" s="4">
        <f>IFERROR(VLOOKUP($A:$A,MASTER!$A:$T,4,0),0)</f>
        <v>117526098.4410084</v>
      </c>
      <c r="E22" s="9">
        <f t="shared" si="0"/>
        <v>-7.7859977476343434E-2</v>
      </c>
      <c r="F22" s="4">
        <f>IFERROR(VLOOKUP(A:A,MASTER!A:E,5,0),0)</f>
        <v>774774.77477477596</v>
      </c>
      <c r="G22" s="4">
        <f>IFERROR(VLOOKUP(A:A,MASTER!A:F,6,0),0)</f>
        <v>145945.94594594699</v>
      </c>
      <c r="H22" s="9">
        <f t="shared" si="1"/>
        <v>4.3086419753086123</v>
      </c>
      <c r="I22" s="4">
        <f>IFERROR(VLOOKUP(A:A,MASTER!A:M,13,0),0)</f>
        <v>28483783.783783782</v>
      </c>
      <c r="J22" s="4">
        <f>IFERROR(VLOOKUP($A:$A,MASTER!$A:$T,14,0),0)</f>
        <v>18724774.774774775</v>
      </c>
      <c r="K22" s="9">
        <f t="shared" si="2"/>
        <v>0.52118164978710091</v>
      </c>
      <c r="L22" s="4">
        <f>IFERROR(VLOOKUP($A:$A,MASTER!$A:$T,15,0),0)</f>
        <v>37503837.837837838</v>
      </c>
      <c r="M22" s="4">
        <f>IFERROR(VLOOKUP($A:$A,MASTER!$A:$T,16,0),0)</f>
        <v>40958891.891891889</v>
      </c>
      <c r="N22" s="9">
        <f t="shared" si="3"/>
        <v>-8.435418768587355E-2</v>
      </c>
      <c r="O22" s="4">
        <f>IFERROR(VLOOKUP($A:$A,MASTER!$A:$T,17,0),0)</f>
        <v>30378018.018018018</v>
      </c>
      <c r="P22" s="4">
        <f>IFERROR(VLOOKUP($A:$A,MASTER!$A:$T,18,0),0)</f>
        <v>18508468.468468465</v>
      </c>
      <c r="Q22" s="9">
        <f t="shared" si="4"/>
        <v>0.64130371293393851</v>
      </c>
      <c r="R22" s="4">
        <f>IFERROR(VLOOKUP($A:$A,MASTER!$A:$T,19,0),0)</f>
        <v>4034</v>
      </c>
      <c r="S22" s="4">
        <f>IFERROR(VLOOKUP($A:$A,MASTER!$A:$T,20,0),0)</f>
        <v>3998</v>
      </c>
      <c r="T22" s="9">
        <f t="shared" si="5"/>
        <v>9.0045022511255901E-3</v>
      </c>
    </row>
  </sheetData>
  <autoFilter ref="A5:T22"/>
  <conditionalFormatting sqref="E6:E22">
    <cfRule type="cellIs" dxfId="5" priority="11" operator="lessThan">
      <formula>0</formula>
    </cfRule>
  </conditionalFormatting>
  <conditionalFormatting sqref="H6:H22">
    <cfRule type="cellIs" dxfId="4" priority="5" operator="lessThan">
      <formula>0</formula>
    </cfRule>
  </conditionalFormatting>
  <conditionalFormatting sqref="K6:K22">
    <cfRule type="cellIs" dxfId="3" priority="4" operator="lessThan">
      <formula>0</formula>
    </cfRule>
  </conditionalFormatting>
  <conditionalFormatting sqref="N6:N22">
    <cfRule type="cellIs" dxfId="2" priority="3" operator="lessThan">
      <formula>0</formula>
    </cfRule>
  </conditionalFormatting>
  <conditionalFormatting sqref="Q6:Q22">
    <cfRule type="cellIs" dxfId="1" priority="2" operator="lessThan">
      <formula>0</formula>
    </cfRule>
  </conditionalFormatting>
  <conditionalFormatting sqref="T6:T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0"/>
  <sheetViews>
    <sheetView workbookViewId="0">
      <pane xSplit="1" ySplit="2" topLeftCell="B36" activePane="bottomRight" state="frozen"/>
      <selection pane="topRight" activeCell="B1" sqref="B1"/>
      <selection pane="bottomLeft" activeCell="A3" sqref="A3"/>
      <selection pane="bottomRight" activeCell="A53" sqref="A53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hidden="1" customWidth="1"/>
    <col min="8" max="8" width="15" hidden="1" customWidth="1"/>
    <col min="9" max="9" width="16" hidden="1" customWidth="1"/>
    <col min="10" max="10" width="18.453125" hidden="1" customWidth="1"/>
    <col min="11" max="11" width="19.453125" hidden="1" customWidth="1"/>
    <col min="12" max="12" width="0" hidden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48</v>
      </c>
      <c r="B4" s="12" t="s">
        <v>49</v>
      </c>
      <c r="C4">
        <v>338389186.40998811</v>
      </c>
      <c r="D4">
        <v>400739638.4963907</v>
      </c>
      <c r="E4">
        <v>1579054.054054054</v>
      </c>
      <c r="F4">
        <v>572972.97297297395</v>
      </c>
      <c r="G4">
        <v>36</v>
      </c>
      <c r="H4">
        <v>7</v>
      </c>
      <c r="K4">
        <v>55</v>
      </c>
      <c r="L4">
        <v>9</v>
      </c>
      <c r="M4">
        <v>43012792.79279279</v>
      </c>
      <c r="N4">
        <v>11677927.927927928</v>
      </c>
      <c r="O4">
        <v>42633099.0990991</v>
      </c>
      <c r="P4">
        <v>54486531.531531528</v>
      </c>
      <c r="Q4">
        <v>39161261.261261262</v>
      </c>
      <c r="R4">
        <v>16374144.144144144</v>
      </c>
      <c r="S4">
        <v>8271</v>
      </c>
      <c r="T4">
        <v>8524</v>
      </c>
    </row>
    <row r="5" spans="1:20" x14ac:dyDescent="0.35">
      <c r="A5" s="7" t="s">
        <v>50</v>
      </c>
      <c r="B5" s="12" t="s">
        <v>51</v>
      </c>
      <c r="C5">
        <v>513204635.54793727</v>
      </c>
      <c r="D5">
        <v>554565031.16944373</v>
      </c>
      <c r="E5">
        <v>4363063.0630630692</v>
      </c>
      <c r="F5">
        <v>7283128.8288288387</v>
      </c>
      <c r="G5">
        <v>335</v>
      </c>
      <c r="H5">
        <v>290</v>
      </c>
      <c r="K5">
        <v>508</v>
      </c>
      <c r="L5">
        <v>486</v>
      </c>
      <c r="M5">
        <v>90622972.972972974</v>
      </c>
      <c r="N5">
        <v>56974459.459459454</v>
      </c>
      <c r="O5">
        <v>162916495.4954955</v>
      </c>
      <c r="P5">
        <v>175705459.45945945</v>
      </c>
      <c r="Q5">
        <v>87915495.495495498</v>
      </c>
      <c r="R5">
        <v>51533153.153153151</v>
      </c>
      <c r="S5">
        <v>20378</v>
      </c>
      <c r="T5">
        <v>20292</v>
      </c>
    </row>
    <row r="6" spans="1:20" x14ac:dyDescent="0.35">
      <c r="A6" s="7" t="s">
        <v>52</v>
      </c>
      <c r="B6" s="12" t="s">
        <v>53</v>
      </c>
      <c r="C6">
        <v>128927108.63347739</v>
      </c>
      <c r="D6">
        <v>138964065.1457428</v>
      </c>
      <c r="E6">
        <v>2723423.423423423</v>
      </c>
      <c r="F6">
        <v>1795495.495495497</v>
      </c>
      <c r="G6">
        <v>44</v>
      </c>
      <c r="H6">
        <v>32</v>
      </c>
      <c r="K6">
        <v>65</v>
      </c>
      <c r="L6">
        <v>49</v>
      </c>
      <c r="M6">
        <v>34950900.9009009</v>
      </c>
      <c r="N6">
        <v>20200900.9009009</v>
      </c>
      <c r="O6">
        <v>42152297.297297299</v>
      </c>
      <c r="P6">
        <v>44812909.909909911</v>
      </c>
      <c r="Q6">
        <v>27101711.711711712</v>
      </c>
      <c r="R6">
        <v>19190630.630630631</v>
      </c>
      <c r="S6">
        <v>4519</v>
      </c>
      <c r="T6">
        <v>5367</v>
      </c>
    </row>
    <row r="7" spans="1:20" x14ac:dyDescent="0.35">
      <c r="A7" s="7" t="s">
        <v>666</v>
      </c>
      <c r="B7" s="12" t="s">
        <v>170</v>
      </c>
      <c r="E7">
        <v>74887387.387387395</v>
      </c>
      <c r="F7">
        <v>246509009.00900903</v>
      </c>
      <c r="M7">
        <v>8661981.9819819815</v>
      </c>
      <c r="N7">
        <v>20161711.711711712</v>
      </c>
    </row>
    <row r="8" spans="1:20" x14ac:dyDescent="0.35">
      <c r="A8" s="7" t="s">
        <v>54</v>
      </c>
      <c r="B8" s="12" t="s">
        <v>55</v>
      </c>
      <c r="C8">
        <v>69772276.573273271</v>
      </c>
      <c r="D8">
        <v>66134398.71550829</v>
      </c>
      <c r="E8">
        <v>553153.15315315605</v>
      </c>
      <c r="F8">
        <v>992342.34234234295</v>
      </c>
      <c r="G8">
        <v>18</v>
      </c>
      <c r="H8">
        <v>22</v>
      </c>
      <c r="K8">
        <v>29</v>
      </c>
      <c r="L8">
        <v>23</v>
      </c>
      <c r="M8">
        <v>6569729.7297297297</v>
      </c>
      <c r="N8">
        <v>10043243.243243242</v>
      </c>
      <c r="O8">
        <v>22478065.315315317</v>
      </c>
      <c r="P8">
        <v>21602873.873873871</v>
      </c>
      <c r="Q8">
        <v>6621621.6216216218</v>
      </c>
      <c r="R8">
        <v>10703333.333333332</v>
      </c>
      <c r="S8">
        <v>3631</v>
      </c>
      <c r="T8">
        <v>3686</v>
      </c>
    </row>
    <row r="9" spans="1:20" x14ac:dyDescent="0.35">
      <c r="A9" s="7" t="s">
        <v>56</v>
      </c>
      <c r="B9" s="12" t="s">
        <v>55</v>
      </c>
      <c r="C9">
        <v>115140536.84126498</v>
      </c>
      <c r="D9">
        <v>122896606.11708993</v>
      </c>
      <c r="E9">
        <v>2623423.4234234272</v>
      </c>
      <c r="F9">
        <v>1236486.4864864859</v>
      </c>
      <c r="G9">
        <v>43</v>
      </c>
      <c r="H9">
        <v>47</v>
      </c>
      <c r="K9">
        <v>106</v>
      </c>
      <c r="L9">
        <v>87</v>
      </c>
      <c r="M9">
        <v>20821261.261261266</v>
      </c>
      <c r="N9">
        <v>74674774.774774775</v>
      </c>
      <c r="O9">
        <v>32869018.018018018</v>
      </c>
      <c r="P9">
        <v>37466520.720720723</v>
      </c>
      <c r="Q9">
        <v>39446846.846846849</v>
      </c>
      <c r="R9">
        <v>37411801.801801808</v>
      </c>
      <c r="S9">
        <v>4334</v>
      </c>
      <c r="T9">
        <v>4489</v>
      </c>
    </row>
    <row r="10" spans="1:20" x14ac:dyDescent="0.35">
      <c r="A10" s="7" t="s">
        <v>57</v>
      </c>
      <c r="B10" s="12" t="s">
        <v>55</v>
      </c>
      <c r="C10">
        <v>55788669.090678506</v>
      </c>
      <c r="D10">
        <v>62561643.482208103</v>
      </c>
      <c r="E10">
        <v>994594.59459459595</v>
      </c>
      <c r="F10">
        <v>1440540.5405405399</v>
      </c>
      <c r="G10">
        <v>12</v>
      </c>
      <c r="H10">
        <v>22</v>
      </c>
      <c r="K10">
        <v>14</v>
      </c>
      <c r="L10">
        <v>62</v>
      </c>
      <c r="M10">
        <v>6739459.4594594603</v>
      </c>
      <c r="N10">
        <v>9361621.6216216236</v>
      </c>
      <c r="O10">
        <v>17511783.783783782</v>
      </c>
      <c r="P10">
        <v>20950450.450450446</v>
      </c>
      <c r="Q10">
        <v>5299189.189189191</v>
      </c>
      <c r="R10">
        <v>8529009.0090090111</v>
      </c>
      <c r="S10">
        <v>2148</v>
      </c>
      <c r="T10">
        <v>2071</v>
      </c>
    </row>
    <row r="11" spans="1:20" x14ac:dyDescent="0.35">
      <c r="A11" s="7" t="s">
        <v>58</v>
      </c>
      <c r="B11" s="12" t="s">
        <v>59</v>
      </c>
      <c r="C11">
        <v>153821701.90676302</v>
      </c>
      <c r="D11">
        <v>154520457.08483523</v>
      </c>
      <c r="E11">
        <v>121621.621621623</v>
      </c>
      <c r="F11">
        <v>81081.081081081007</v>
      </c>
      <c r="G11">
        <v>52</v>
      </c>
      <c r="H11">
        <v>29</v>
      </c>
      <c r="I11">
        <v>1</v>
      </c>
      <c r="K11">
        <v>55</v>
      </c>
      <c r="L11">
        <v>38</v>
      </c>
      <c r="M11">
        <v>3364864.8648648649</v>
      </c>
      <c r="N11">
        <v>3963963.9639639631</v>
      </c>
      <c r="O11">
        <v>28766315.315315317</v>
      </c>
      <c r="P11">
        <v>30578081.081081081</v>
      </c>
      <c r="Q11">
        <v>2158738.7387387389</v>
      </c>
      <c r="R11">
        <v>3346216.2162162159</v>
      </c>
      <c r="S11">
        <v>5460</v>
      </c>
      <c r="T11">
        <v>5509</v>
      </c>
    </row>
    <row r="12" spans="1:20" x14ac:dyDescent="0.35">
      <c r="A12" s="7" t="s">
        <v>60</v>
      </c>
      <c r="B12" s="12" t="s">
        <v>61</v>
      </c>
      <c r="C12">
        <v>64776208.156275667</v>
      </c>
      <c r="D12">
        <v>69862470.42930077</v>
      </c>
      <c r="E12">
        <v>457657.65765766002</v>
      </c>
      <c r="F12">
        <v>537387.38738738699</v>
      </c>
      <c r="G12">
        <v>27</v>
      </c>
      <c r="H12">
        <v>25</v>
      </c>
      <c r="I12">
        <v>1</v>
      </c>
      <c r="K12">
        <v>46</v>
      </c>
      <c r="L12">
        <v>31</v>
      </c>
      <c r="M12">
        <v>8953153.1531531513</v>
      </c>
      <c r="N12">
        <v>10843693.693693692</v>
      </c>
      <c r="O12">
        <v>29604108.108108107</v>
      </c>
      <c r="P12">
        <v>33241450.450450446</v>
      </c>
      <c r="Q12">
        <v>7338558.5585585572</v>
      </c>
      <c r="R12">
        <v>6977117.1171171162</v>
      </c>
      <c r="S12">
        <v>3034</v>
      </c>
      <c r="T12">
        <v>2924</v>
      </c>
    </row>
    <row r="13" spans="1:20" x14ac:dyDescent="0.35">
      <c r="A13" s="7" t="s">
        <v>62</v>
      </c>
      <c r="B13" s="12" t="s">
        <v>63</v>
      </c>
      <c r="C13">
        <v>296580065.18242079</v>
      </c>
      <c r="D13">
        <v>313491730.48120183</v>
      </c>
      <c r="E13">
        <v>3123873.873873882</v>
      </c>
      <c r="F13">
        <v>1791891.8918918951</v>
      </c>
      <c r="G13">
        <v>32</v>
      </c>
      <c r="H13">
        <v>17</v>
      </c>
      <c r="K13">
        <v>36</v>
      </c>
      <c r="L13">
        <v>21</v>
      </c>
      <c r="M13">
        <v>50660540.540540546</v>
      </c>
      <c r="N13">
        <v>28263423.423423424</v>
      </c>
      <c r="O13">
        <v>30878322.522522524</v>
      </c>
      <c r="P13">
        <v>38595054.054054059</v>
      </c>
      <c r="Q13">
        <v>47364864.864864856</v>
      </c>
      <c r="R13">
        <v>28432252.252252247</v>
      </c>
      <c r="S13">
        <v>8886</v>
      </c>
      <c r="T13">
        <v>8873</v>
      </c>
    </row>
    <row r="14" spans="1:20" x14ac:dyDescent="0.35">
      <c r="A14" s="7" t="s">
        <v>64</v>
      </c>
      <c r="B14" s="12" t="s">
        <v>51</v>
      </c>
      <c r="C14">
        <v>158307663.96062195</v>
      </c>
      <c r="D14">
        <v>158463187.16933027</v>
      </c>
      <c r="E14">
        <v>1762162.162162167</v>
      </c>
      <c r="F14">
        <v>1406756.7567567581</v>
      </c>
      <c r="G14">
        <v>59</v>
      </c>
      <c r="H14">
        <v>38</v>
      </c>
      <c r="K14">
        <v>93</v>
      </c>
      <c r="L14">
        <v>38</v>
      </c>
      <c r="M14">
        <v>29058468.468468469</v>
      </c>
      <c r="N14">
        <v>31540702.702702705</v>
      </c>
      <c r="O14">
        <v>59966567.567567565</v>
      </c>
      <c r="P14">
        <v>63424036.036036029</v>
      </c>
      <c r="Q14">
        <v>29330810.810810808</v>
      </c>
      <c r="R14">
        <v>30387837.837837841</v>
      </c>
      <c r="S14">
        <v>5566</v>
      </c>
      <c r="T14">
        <v>5564</v>
      </c>
    </row>
    <row r="15" spans="1:20" x14ac:dyDescent="0.35">
      <c r="A15" s="7" t="s">
        <v>65</v>
      </c>
      <c r="B15" s="12" t="s">
        <v>51</v>
      </c>
      <c r="C15">
        <v>161466767.98118463</v>
      </c>
      <c r="D15">
        <v>165349772.35793576</v>
      </c>
      <c r="E15">
        <v>2439639.6396396402</v>
      </c>
      <c r="F15">
        <v>2722522.5225225231</v>
      </c>
      <c r="G15">
        <v>42</v>
      </c>
      <c r="H15">
        <v>18</v>
      </c>
      <c r="K15">
        <v>57</v>
      </c>
      <c r="L15">
        <v>20</v>
      </c>
      <c r="M15">
        <v>18134234.234234232</v>
      </c>
      <c r="N15">
        <v>26144684.684684686</v>
      </c>
      <c r="O15">
        <v>61006153.153153151</v>
      </c>
      <c r="P15">
        <v>62503585.585585587</v>
      </c>
      <c r="Q15">
        <v>15988918.918918915</v>
      </c>
      <c r="R15">
        <v>20817837.837837838</v>
      </c>
      <c r="S15">
        <v>5457</v>
      </c>
      <c r="T15">
        <v>5528</v>
      </c>
    </row>
    <row r="16" spans="1:20" x14ac:dyDescent="0.35">
      <c r="A16" s="7" t="s">
        <v>66</v>
      </c>
      <c r="B16" s="12" t="s">
        <v>67</v>
      </c>
      <c r="C16">
        <v>162617047.0325892</v>
      </c>
      <c r="D16">
        <v>166944973.39019325</v>
      </c>
      <c r="E16">
        <v>3161261.2612612648</v>
      </c>
      <c r="F16">
        <v>4344144.1441441467</v>
      </c>
      <c r="G16">
        <v>38</v>
      </c>
      <c r="H16">
        <v>36</v>
      </c>
      <c r="K16">
        <v>47</v>
      </c>
      <c r="L16">
        <v>47</v>
      </c>
      <c r="M16">
        <v>130214324.32432432</v>
      </c>
      <c r="N16">
        <v>104957432.43243243</v>
      </c>
      <c r="O16">
        <v>83297018.018018022</v>
      </c>
      <c r="P16">
        <v>81653540.540540546</v>
      </c>
      <c r="Q16">
        <v>61003513.513513513</v>
      </c>
      <c r="R16">
        <v>77136081.081081092</v>
      </c>
      <c r="S16">
        <v>5457</v>
      </c>
      <c r="T16">
        <v>5704</v>
      </c>
    </row>
    <row r="17" spans="1:20" x14ac:dyDescent="0.35">
      <c r="A17" s="7" t="s">
        <v>68</v>
      </c>
      <c r="B17" s="12" t="s">
        <v>69</v>
      </c>
      <c r="C17">
        <v>93570920.186420172</v>
      </c>
      <c r="D17">
        <v>100385916.09592316</v>
      </c>
      <c r="E17">
        <v>984684.68468468299</v>
      </c>
      <c r="F17">
        <v>609009.00900900899</v>
      </c>
      <c r="G17">
        <v>26</v>
      </c>
      <c r="H17">
        <v>14</v>
      </c>
      <c r="K17">
        <v>30</v>
      </c>
      <c r="L17">
        <v>16</v>
      </c>
      <c r="M17">
        <v>16177477.477477478</v>
      </c>
      <c r="N17">
        <v>14968018.01801802</v>
      </c>
      <c r="O17">
        <v>25114027.02702703</v>
      </c>
      <c r="P17">
        <v>29291189.189189188</v>
      </c>
      <c r="Q17">
        <v>11971441.441441439</v>
      </c>
      <c r="R17">
        <v>11301441.441441439</v>
      </c>
      <c r="S17">
        <v>3111</v>
      </c>
      <c r="T17">
        <v>3237</v>
      </c>
    </row>
    <row r="18" spans="1:20" x14ac:dyDescent="0.35">
      <c r="A18" s="7" t="s">
        <v>70</v>
      </c>
      <c r="B18" s="12" t="s">
        <v>71</v>
      </c>
      <c r="C18">
        <v>7432513.7602235433</v>
      </c>
      <c r="D18">
        <v>7692991.5315283192</v>
      </c>
      <c r="E18">
        <v>13513.513513514001</v>
      </c>
      <c r="G18">
        <v>2</v>
      </c>
      <c r="H18">
        <v>2</v>
      </c>
      <c r="K18">
        <v>2</v>
      </c>
      <c r="L18">
        <v>3</v>
      </c>
      <c r="M18">
        <v>193693.69369369399</v>
      </c>
      <c r="O18">
        <v>2230225.2252252251</v>
      </c>
      <c r="P18">
        <v>2734540.5405405411</v>
      </c>
      <c r="Q18">
        <v>194594.59459459499</v>
      </c>
      <c r="R18">
        <v>51351.351351350997</v>
      </c>
      <c r="S18">
        <v>316</v>
      </c>
      <c r="T18">
        <v>269</v>
      </c>
    </row>
    <row r="19" spans="1:20" x14ac:dyDescent="0.35">
      <c r="A19" s="7" t="s">
        <v>72</v>
      </c>
      <c r="B19" s="12" t="s">
        <v>73</v>
      </c>
      <c r="C19">
        <v>1306974049.7425687</v>
      </c>
      <c r="D19">
        <v>1345397222.9737473</v>
      </c>
      <c r="E19">
        <v>283957626.12612617</v>
      </c>
      <c r="F19">
        <v>378081376.57657659</v>
      </c>
      <c r="G19">
        <v>352</v>
      </c>
      <c r="H19">
        <v>462</v>
      </c>
      <c r="I19">
        <v>14</v>
      </c>
      <c r="K19">
        <v>639</v>
      </c>
      <c r="L19">
        <v>879</v>
      </c>
      <c r="M19">
        <v>145209917.11711711</v>
      </c>
      <c r="N19">
        <v>169840540.54054055</v>
      </c>
      <c r="O19">
        <v>262613385.13513514</v>
      </c>
      <c r="P19">
        <v>326472878.37837839</v>
      </c>
      <c r="Q19">
        <v>123084727.92792794</v>
      </c>
      <c r="R19">
        <v>143232025.22522521</v>
      </c>
      <c r="S19">
        <v>47518</v>
      </c>
      <c r="T19">
        <v>45627</v>
      </c>
    </row>
    <row r="20" spans="1:20" x14ac:dyDescent="0.35">
      <c r="A20" s="7" t="s">
        <v>74</v>
      </c>
      <c r="B20" s="12" t="s">
        <v>73</v>
      </c>
      <c r="C20">
        <v>128769054.38424824</v>
      </c>
      <c r="D20">
        <v>133045702.00471064</v>
      </c>
      <c r="E20">
        <v>72972.972972974007</v>
      </c>
      <c r="F20">
        <v>36036.036036037003</v>
      </c>
      <c r="G20">
        <v>38</v>
      </c>
      <c r="H20">
        <v>18</v>
      </c>
      <c r="I20">
        <v>1</v>
      </c>
      <c r="K20">
        <v>40</v>
      </c>
      <c r="L20">
        <v>24</v>
      </c>
      <c r="M20">
        <v>3811711.7117117108</v>
      </c>
      <c r="N20">
        <v>4774774.774774774</v>
      </c>
      <c r="O20">
        <v>18629045.045045044</v>
      </c>
      <c r="P20">
        <v>20124657.657657657</v>
      </c>
      <c r="Q20">
        <v>3243243.2432432431</v>
      </c>
      <c r="R20">
        <v>2578558.5585585581</v>
      </c>
      <c r="S20">
        <v>3448</v>
      </c>
      <c r="T20">
        <v>3698</v>
      </c>
    </row>
    <row r="21" spans="1:20" x14ac:dyDescent="0.35">
      <c r="A21" s="7" t="s">
        <v>75</v>
      </c>
      <c r="B21" s="12" t="s">
        <v>71</v>
      </c>
      <c r="C21">
        <v>129993221.29324076</v>
      </c>
      <c r="D21">
        <v>136866356.07684875</v>
      </c>
      <c r="E21">
        <v>3736936.9369369438</v>
      </c>
      <c r="F21">
        <v>1661261.261261259</v>
      </c>
      <c r="G21">
        <v>41</v>
      </c>
      <c r="H21">
        <v>21</v>
      </c>
      <c r="K21">
        <v>58</v>
      </c>
      <c r="L21">
        <v>55</v>
      </c>
      <c r="M21">
        <v>29764864.864864867</v>
      </c>
      <c r="N21">
        <v>31844144.144144144</v>
      </c>
      <c r="O21">
        <v>46788873.873873875</v>
      </c>
      <c r="P21">
        <v>50347675.675675675</v>
      </c>
      <c r="Q21">
        <v>26104414.414414417</v>
      </c>
      <c r="R21">
        <v>30021171.171171173</v>
      </c>
      <c r="S21">
        <v>4737</v>
      </c>
      <c r="T21">
        <v>4915</v>
      </c>
    </row>
    <row r="22" spans="1:20" x14ac:dyDescent="0.35">
      <c r="A22" s="7" t="s">
        <v>76</v>
      </c>
      <c r="B22" s="12" t="s">
        <v>77</v>
      </c>
      <c r="C22">
        <v>37792305.933972277</v>
      </c>
      <c r="D22">
        <v>39937656.403642192</v>
      </c>
      <c r="E22">
        <v>77477.477477477994</v>
      </c>
      <c r="F22">
        <v>333333.33333333401</v>
      </c>
      <c r="G22">
        <v>7</v>
      </c>
      <c r="H22">
        <v>17</v>
      </c>
      <c r="K22">
        <v>7</v>
      </c>
      <c r="L22">
        <v>20</v>
      </c>
      <c r="M22">
        <v>3600180.1801801799</v>
      </c>
      <c r="N22">
        <v>6334234.2342342334</v>
      </c>
      <c r="O22">
        <v>9637630.6306306291</v>
      </c>
      <c r="P22">
        <v>11923018.018018018</v>
      </c>
      <c r="Q22">
        <v>2762882.8828828828</v>
      </c>
      <c r="R22">
        <v>4211981.9819819815</v>
      </c>
      <c r="S22">
        <v>1491</v>
      </c>
      <c r="T22">
        <v>1531</v>
      </c>
    </row>
    <row r="23" spans="1:20" x14ac:dyDescent="0.35">
      <c r="A23" s="7" t="s">
        <v>78</v>
      </c>
      <c r="B23" s="12" t="s">
        <v>79</v>
      </c>
      <c r="C23">
        <v>80356656.599866286</v>
      </c>
      <c r="D23">
        <v>87450501.634906426</v>
      </c>
      <c r="E23">
        <v>1011711.711711713</v>
      </c>
      <c r="F23">
        <v>1691891.8918918939</v>
      </c>
      <c r="G23">
        <v>15</v>
      </c>
      <c r="H23">
        <v>21</v>
      </c>
      <c r="K23">
        <v>17</v>
      </c>
      <c r="L23">
        <v>28</v>
      </c>
      <c r="M23">
        <v>8804504.5045045037</v>
      </c>
      <c r="N23">
        <v>14034234.234234234</v>
      </c>
      <c r="O23">
        <v>26247594.594594598</v>
      </c>
      <c r="P23">
        <v>27421603.603603605</v>
      </c>
      <c r="Q23">
        <v>10118918.918918921</v>
      </c>
      <c r="R23">
        <v>12024684.684684685</v>
      </c>
      <c r="S23">
        <v>2453</v>
      </c>
      <c r="T23">
        <v>2420</v>
      </c>
    </row>
    <row r="24" spans="1:20" x14ac:dyDescent="0.35">
      <c r="A24" s="7" t="s">
        <v>80</v>
      </c>
      <c r="B24" s="12" t="s">
        <v>81</v>
      </c>
      <c r="C24">
        <v>761094311.42198849</v>
      </c>
      <c r="D24">
        <v>855287534.52681112</v>
      </c>
      <c r="E24">
        <v>3623423.4234234318</v>
      </c>
      <c r="F24">
        <v>8103153.1531531559</v>
      </c>
      <c r="G24">
        <v>547</v>
      </c>
      <c r="H24">
        <v>567</v>
      </c>
      <c r="K24">
        <v>628</v>
      </c>
      <c r="L24">
        <v>888</v>
      </c>
      <c r="M24">
        <v>77655405.405405387</v>
      </c>
      <c r="N24">
        <v>102939189.18918918</v>
      </c>
      <c r="O24">
        <v>196875887.38738739</v>
      </c>
      <c r="P24">
        <v>249625718.91891891</v>
      </c>
      <c r="Q24">
        <v>66164144.144144148</v>
      </c>
      <c r="R24">
        <v>90106846.846846849</v>
      </c>
      <c r="S24">
        <v>26056</v>
      </c>
      <c r="T24">
        <v>26722</v>
      </c>
    </row>
    <row r="25" spans="1:20" x14ac:dyDescent="0.35">
      <c r="A25" s="7" t="s">
        <v>82</v>
      </c>
      <c r="B25" s="12" t="s">
        <v>55</v>
      </c>
      <c r="C25">
        <v>22828071.867129743</v>
      </c>
      <c r="D25">
        <v>22537603.483850893</v>
      </c>
      <c r="E25">
        <v>206306.30630630901</v>
      </c>
      <c r="F25">
        <v>35135.135135135999</v>
      </c>
      <c r="G25">
        <v>9</v>
      </c>
      <c r="H25">
        <v>2</v>
      </c>
      <c r="K25">
        <v>15</v>
      </c>
      <c r="L25">
        <v>5</v>
      </c>
      <c r="M25">
        <v>1922522.522522524</v>
      </c>
      <c r="N25">
        <v>1564864.8648648639</v>
      </c>
      <c r="O25">
        <v>4924639.6396396402</v>
      </c>
      <c r="P25">
        <v>6665621.6216216208</v>
      </c>
      <c r="Q25">
        <v>1368018.018018018</v>
      </c>
      <c r="R25">
        <v>1515135.1351351349</v>
      </c>
      <c r="S25">
        <v>1411</v>
      </c>
      <c r="T25">
        <v>1363</v>
      </c>
    </row>
    <row r="26" spans="1:20" x14ac:dyDescent="0.35">
      <c r="A26" s="7" t="s">
        <v>83</v>
      </c>
      <c r="B26" s="12" t="s">
        <v>84</v>
      </c>
      <c r="C26">
        <v>546869720.73247516</v>
      </c>
      <c r="D26">
        <v>568241183.18499494</v>
      </c>
      <c r="E26">
        <v>5082207.2072072076</v>
      </c>
      <c r="F26">
        <v>52933783.783783793</v>
      </c>
      <c r="G26">
        <v>99</v>
      </c>
      <c r="H26">
        <v>65</v>
      </c>
      <c r="I26">
        <v>1</v>
      </c>
      <c r="K26">
        <v>123</v>
      </c>
      <c r="L26">
        <v>73</v>
      </c>
      <c r="M26">
        <v>142075900.9009009</v>
      </c>
      <c r="N26">
        <v>107788738.73873873</v>
      </c>
      <c r="O26">
        <v>161148114.86486486</v>
      </c>
      <c r="P26">
        <v>171947437.83783782</v>
      </c>
      <c r="Q26">
        <v>85687837.837837845</v>
      </c>
      <c r="R26">
        <v>90931081.081081077</v>
      </c>
      <c r="S26">
        <v>15082</v>
      </c>
      <c r="T26">
        <v>15059</v>
      </c>
    </row>
    <row r="27" spans="1:20" x14ac:dyDescent="0.35">
      <c r="A27" s="7" t="s">
        <v>85</v>
      </c>
      <c r="B27" s="12" t="s">
        <v>86</v>
      </c>
      <c r="C27">
        <v>49458395.025653392</v>
      </c>
      <c r="D27">
        <v>43889963.795530841</v>
      </c>
      <c r="E27">
        <v>1124099.099099101</v>
      </c>
      <c r="F27">
        <v>1055855.8558558589</v>
      </c>
      <c r="G27">
        <v>29</v>
      </c>
      <c r="H27">
        <v>44</v>
      </c>
      <c r="K27">
        <v>37</v>
      </c>
      <c r="L27">
        <v>65</v>
      </c>
      <c r="M27">
        <v>85139639.639639631</v>
      </c>
      <c r="N27">
        <v>93581081.081081092</v>
      </c>
      <c r="O27">
        <v>18741756.756756756</v>
      </c>
      <c r="P27">
        <v>22224900.9009009</v>
      </c>
      <c r="Q27">
        <v>67145855.855855852</v>
      </c>
      <c r="R27">
        <v>72895852.252252251</v>
      </c>
      <c r="S27">
        <v>2148</v>
      </c>
      <c r="T27">
        <v>2203</v>
      </c>
    </row>
    <row r="28" spans="1:20" x14ac:dyDescent="0.35">
      <c r="A28" s="7" t="s">
        <v>87</v>
      </c>
      <c r="B28" s="12" t="s">
        <v>88</v>
      </c>
      <c r="C28">
        <v>1902811.1702014699</v>
      </c>
      <c r="D28">
        <v>2298305.8103450369</v>
      </c>
      <c r="F28">
        <v>567066.66666666698</v>
      </c>
      <c r="G28">
        <v>1</v>
      </c>
      <c r="K28">
        <v>1</v>
      </c>
      <c r="M28">
        <v>621621.62162162201</v>
      </c>
      <c r="N28">
        <v>3945945.945945946</v>
      </c>
      <c r="O28">
        <v>879918.91891891905</v>
      </c>
      <c r="P28">
        <v>1330495.4954954949</v>
      </c>
      <c r="S28">
        <v>131</v>
      </c>
      <c r="T28">
        <v>142</v>
      </c>
    </row>
    <row r="29" spans="1:20" x14ac:dyDescent="0.35">
      <c r="A29" s="7" t="s">
        <v>89</v>
      </c>
      <c r="B29" s="12" t="s">
        <v>90</v>
      </c>
      <c r="C29">
        <v>110109764.53953962</v>
      </c>
      <c r="D29">
        <v>124657733.9438199</v>
      </c>
      <c r="E29">
        <v>919819.81981982198</v>
      </c>
      <c r="F29">
        <v>1446846.846846849</v>
      </c>
      <c r="G29">
        <v>15</v>
      </c>
      <c r="H29">
        <v>6</v>
      </c>
      <c r="K29">
        <v>16</v>
      </c>
      <c r="L29">
        <v>8</v>
      </c>
      <c r="M29">
        <v>14848828.828828828</v>
      </c>
      <c r="N29">
        <v>20633153.153153151</v>
      </c>
      <c r="O29">
        <v>38597720.720720723</v>
      </c>
      <c r="P29">
        <v>43992729.729729727</v>
      </c>
      <c r="Q29">
        <v>15729459.459459456</v>
      </c>
      <c r="R29">
        <v>21997477.47747748</v>
      </c>
      <c r="S29">
        <v>3355</v>
      </c>
      <c r="T29">
        <v>3353</v>
      </c>
    </row>
    <row r="30" spans="1:20" x14ac:dyDescent="0.35">
      <c r="A30" s="7" t="s">
        <v>91</v>
      </c>
      <c r="B30" s="12" t="s">
        <v>61</v>
      </c>
      <c r="C30">
        <v>40653058.077292658</v>
      </c>
      <c r="D30">
        <v>41130625.138652831</v>
      </c>
      <c r="E30">
        <v>73873.873873874996</v>
      </c>
      <c r="F30">
        <v>419819.81981982099</v>
      </c>
      <c r="G30">
        <v>8</v>
      </c>
      <c r="H30">
        <v>9</v>
      </c>
      <c r="K30">
        <v>89</v>
      </c>
      <c r="L30">
        <v>56</v>
      </c>
      <c r="M30">
        <v>2794594.5945945941</v>
      </c>
      <c r="N30">
        <v>4870270.2702702703</v>
      </c>
      <c r="O30">
        <v>24303153.153153151</v>
      </c>
      <c r="P30">
        <v>23253261.261261266</v>
      </c>
      <c r="Q30">
        <v>2899639.6396396388</v>
      </c>
      <c r="R30">
        <v>4100450.4504504502</v>
      </c>
      <c r="S30">
        <v>1805</v>
      </c>
      <c r="T30">
        <v>1775</v>
      </c>
    </row>
    <row r="31" spans="1:20" x14ac:dyDescent="0.35">
      <c r="A31" s="7" t="s">
        <v>92</v>
      </c>
      <c r="B31" s="12" t="s">
        <v>93</v>
      </c>
      <c r="C31">
        <v>33159828.266140893</v>
      </c>
      <c r="D31">
        <v>30103591.28779361</v>
      </c>
      <c r="E31">
        <v>108469177.47747748</v>
      </c>
      <c r="F31">
        <v>58786409.909909911</v>
      </c>
      <c r="G31">
        <v>8</v>
      </c>
      <c r="H31">
        <v>3</v>
      </c>
      <c r="K31">
        <v>11</v>
      </c>
      <c r="L31">
        <v>5</v>
      </c>
      <c r="M31">
        <v>11107207.207207208</v>
      </c>
      <c r="N31">
        <v>18725135.135135137</v>
      </c>
      <c r="O31">
        <v>10473585.585585587</v>
      </c>
      <c r="P31">
        <v>10886252.252252253</v>
      </c>
      <c r="Q31">
        <v>11431081.081081079</v>
      </c>
      <c r="R31">
        <v>12732972.972972972</v>
      </c>
      <c r="S31">
        <v>1153</v>
      </c>
      <c r="T31">
        <v>1074</v>
      </c>
    </row>
    <row r="32" spans="1:20" x14ac:dyDescent="0.35">
      <c r="A32" s="7" t="s">
        <v>94</v>
      </c>
      <c r="B32" s="12" t="s">
        <v>95</v>
      </c>
      <c r="C32">
        <v>144691221.63513154</v>
      </c>
      <c r="D32">
        <v>158738924.01849866</v>
      </c>
      <c r="E32">
        <v>290090.09009009198</v>
      </c>
      <c r="F32">
        <v>49549.54954955</v>
      </c>
      <c r="G32">
        <v>24</v>
      </c>
      <c r="H32">
        <v>9</v>
      </c>
      <c r="K32">
        <v>28</v>
      </c>
      <c r="L32">
        <v>12</v>
      </c>
      <c r="M32">
        <v>16916216.216216218</v>
      </c>
      <c r="N32">
        <v>18454954.954954952</v>
      </c>
      <c r="O32">
        <v>20394529.729729727</v>
      </c>
      <c r="P32">
        <v>26887930.630630631</v>
      </c>
      <c r="Q32">
        <v>14208018.018018018</v>
      </c>
      <c r="R32">
        <v>20229369.369369369</v>
      </c>
      <c r="S32">
        <v>4501</v>
      </c>
      <c r="T32">
        <v>4489</v>
      </c>
    </row>
    <row r="33" spans="1:20" x14ac:dyDescent="0.35">
      <c r="A33" s="7" t="s">
        <v>96</v>
      </c>
      <c r="B33" s="12" t="s">
        <v>97</v>
      </c>
      <c r="C33">
        <v>149763355.87160063</v>
      </c>
      <c r="D33">
        <v>157734670.4979296</v>
      </c>
      <c r="E33">
        <v>618918.91891891998</v>
      </c>
      <c r="F33">
        <v>763963.96396396705</v>
      </c>
      <c r="G33">
        <v>30</v>
      </c>
      <c r="H33">
        <v>52</v>
      </c>
      <c r="I33">
        <v>1</v>
      </c>
      <c r="K33">
        <v>37</v>
      </c>
      <c r="L33">
        <v>56</v>
      </c>
      <c r="M33">
        <v>31828828.828828827</v>
      </c>
      <c r="N33">
        <v>20336486.486486487</v>
      </c>
      <c r="O33">
        <v>73639450.45045045</v>
      </c>
      <c r="P33">
        <v>77931396.396396399</v>
      </c>
      <c r="Q33">
        <v>26453243.243243244</v>
      </c>
      <c r="R33">
        <v>21434954.954954956</v>
      </c>
      <c r="S33">
        <v>5860</v>
      </c>
      <c r="T33">
        <v>6197</v>
      </c>
    </row>
    <row r="34" spans="1:20" x14ac:dyDescent="0.35">
      <c r="A34" s="7" t="s">
        <v>98</v>
      </c>
      <c r="B34" s="12" t="s">
        <v>99</v>
      </c>
      <c r="C34">
        <v>532049684.15212291</v>
      </c>
      <c r="D34">
        <v>538217224.6669966</v>
      </c>
      <c r="E34">
        <v>4385585.5855855877</v>
      </c>
      <c r="F34">
        <v>142093693.6936937</v>
      </c>
      <c r="G34">
        <v>214</v>
      </c>
      <c r="H34">
        <v>90</v>
      </c>
      <c r="K34">
        <v>249</v>
      </c>
      <c r="L34">
        <v>112</v>
      </c>
      <c r="M34">
        <v>121101351.35135137</v>
      </c>
      <c r="N34">
        <v>178878783.78378376</v>
      </c>
      <c r="O34">
        <v>136981226.12612614</v>
      </c>
      <c r="P34">
        <v>151675828.82882884</v>
      </c>
      <c r="Q34">
        <v>64125765.765765771</v>
      </c>
      <c r="R34">
        <v>122990585.58558558</v>
      </c>
      <c r="S34">
        <v>22032</v>
      </c>
      <c r="T34">
        <v>22646</v>
      </c>
    </row>
    <row r="35" spans="1:20" x14ac:dyDescent="0.35">
      <c r="A35" s="7" t="s">
        <v>100</v>
      </c>
      <c r="B35" s="12" t="s">
        <v>99</v>
      </c>
      <c r="C35">
        <v>864233982.95272923</v>
      </c>
      <c r="D35">
        <v>885883949.08723605</v>
      </c>
      <c r="E35">
        <v>3838863.0630630688</v>
      </c>
      <c r="F35">
        <v>2980104.5045045088</v>
      </c>
      <c r="G35">
        <v>255</v>
      </c>
      <c r="H35">
        <v>258</v>
      </c>
      <c r="I35">
        <v>10</v>
      </c>
      <c r="K35">
        <v>401</v>
      </c>
      <c r="L35">
        <v>424</v>
      </c>
      <c r="M35">
        <v>45606306.306306303</v>
      </c>
      <c r="N35">
        <v>238318693.6936937</v>
      </c>
      <c r="O35">
        <v>166044346.84684685</v>
      </c>
      <c r="P35">
        <v>185004980.18018019</v>
      </c>
      <c r="Q35">
        <v>45690900.900900893</v>
      </c>
      <c r="R35">
        <v>56331306.306306303</v>
      </c>
      <c r="S35">
        <v>28899</v>
      </c>
      <c r="T35">
        <v>28405</v>
      </c>
    </row>
    <row r="36" spans="1:20" x14ac:dyDescent="0.35">
      <c r="A36" s="7" t="s">
        <v>101</v>
      </c>
      <c r="B36" s="12" t="s">
        <v>99</v>
      </c>
      <c r="C36">
        <v>1023968441.3266295</v>
      </c>
      <c r="D36">
        <v>1332117080.8393004</v>
      </c>
      <c r="E36">
        <v>8817117.1171171274</v>
      </c>
      <c r="F36">
        <v>6405938.7387387399</v>
      </c>
      <c r="G36">
        <v>211</v>
      </c>
      <c r="H36">
        <v>105</v>
      </c>
      <c r="I36">
        <v>16</v>
      </c>
      <c r="K36">
        <v>504</v>
      </c>
      <c r="L36">
        <v>162</v>
      </c>
      <c r="M36">
        <v>258225900.9009009</v>
      </c>
      <c r="N36">
        <v>195790172.97297296</v>
      </c>
      <c r="O36">
        <v>400540975.22522521</v>
      </c>
      <c r="P36">
        <v>716705331.53153157</v>
      </c>
      <c r="Q36">
        <v>71392117.117117122</v>
      </c>
      <c r="R36">
        <v>93365405.405405402</v>
      </c>
      <c r="S36">
        <v>33441</v>
      </c>
      <c r="T36">
        <v>33359</v>
      </c>
    </row>
    <row r="37" spans="1:20" x14ac:dyDescent="0.35">
      <c r="A37" s="7" t="s">
        <v>102</v>
      </c>
      <c r="B37" s="12" t="s">
        <v>99</v>
      </c>
      <c r="C37">
        <v>496363560.10445273</v>
      </c>
      <c r="D37">
        <v>508944762.42980164</v>
      </c>
      <c r="E37">
        <v>2284684.6846846892</v>
      </c>
      <c r="F37">
        <v>2420270.2702702712</v>
      </c>
      <c r="G37">
        <v>139</v>
      </c>
      <c r="H37">
        <v>83</v>
      </c>
      <c r="I37">
        <v>5</v>
      </c>
      <c r="K37">
        <v>175</v>
      </c>
      <c r="L37">
        <v>134</v>
      </c>
      <c r="M37">
        <v>42276576.576576576</v>
      </c>
      <c r="N37">
        <v>35099265.765765771</v>
      </c>
      <c r="O37">
        <v>110075441.44144145</v>
      </c>
      <c r="P37">
        <v>115577801.8018018</v>
      </c>
      <c r="Q37">
        <v>34725765.765765771</v>
      </c>
      <c r="R37">
        <v>41361891.891891897</v>
      </c>
      <c r="S37">
        <v>21145</v>
      </c>
      <c r="T37">
        <v>21793</v>
      </c>
    </row>
    <row r="38" spans="1:20" x14ac:dyDescent="0.35">
      <c r="A38" s="7" t="s">
        <v>103</v>
      </c>
      <c r="B38" s="12" t="s">
        <v>99</v>
      </c>
      <c r="C38">
        <v>560454328.57116687</v>
      </c>
      <c r="D38">
        <v>588242887.81303167</v>
      </c>
      <c r="E38">
        <v>4863063.0630630637</v>
      </c>
      <c r="F38">
        <v>4514864.8648648672</v>
      </c>
      <c r="G38">
        <v>125</v>
      </c>
      <c r="H38">
        <v>39</v>
      </c>
      <c r="K38">
        <v>177</v>
      </c>
      <c r="L38">
        <v>57</v>
      </c>
      <c r="M38">
        <v>78539639.639639646</v>
      </c>
      <c r="N38">
        <v>142861261.26126125</v>
      </c>
      <c r="O38">
        <v>161980092.34234235</v>
      </c>
      <c r="P38">
        <v>171124846.84684685</v>
      </c>
      <c r="Q38">
        <v>79076036.036036029</v>
      </c>
      <c r="R38">
        <v>102580810.81081082</v>
      </c>
      <c r="S38">
        <v>24871</v>
      </c>
      <c r="T38">
        <v>25483</v>
      </c>
    </row>
    <row r="39" spans="1:20" x14ac:dyDescent="0.35">
      <c r="A39" s="7" t="s">
        <v>104</v>
      </c>
      <c r="B39" s="12" t="s">
        <v>99</v>
      </c>
      <c r="C39">
        <v>1441860232.2368822</v>
      </c>
      <c r="D39">
        <v>1466706674.8146968</v>
      </c>
      <c r="E39">
        <v>496705643.24324328</v>
      </c>
      <c r="F39">
        <v>894105812.61261261</v>
      </c>
      <c r="G39">
        <v>387</v>
      </c>
      <c r="H39">
        <v>196</v>
      </c>
      <c r="I39">
        <v>15</v>
      </c>
      <c r="K39">
        <v>581</v>
      </c>
      <c r="L39">
        <v>238</v>
      </c>
      <c r="M39">
        <v>136880483.78378376</v>
      </c>
      <c r="N39">
        <v>335631981.98198193</v>
      </c>
      <c r="O39">
        <v>308627207.2072072</v>
      </c>
      <c r="P39">
        <v>320684189.1891892</v>
      </c>
      <c r="Q39">
        <v>132625675.67567568</v>
      </c>
      <c r="R39">
        <v>152920630.63063061</v>
      </c>
      <c r="S39">
        <v>55012</v>
      </c>
      <c r="T39">
        <v>55872</v>
      </c>
    </row>
    <row r="40" spans="1:20" x14ac:dyDescent="0.35">
      <c r="A40" s="7" t="s">
        <v>105</v>
      </c>
      <c r="B40" s="12" t="s">
        <v>106</v>
      </c>
      <c r="C40">
        <v>98157974.745084882</v>
      </c>
      <c r="D40">
        <v>93279803.174160063</v>
      </c>
      <c r="E40">
        <v>809909.90990991006</v>
      </c>
      <c r="F40">
        <v>160360.36036036001</v>
      </c>
      <c r="G40">
        <v>16</v>
      </c>
      <c r="H40">
        <v>11</v>
      </c>
      <c r="K40">
        <v>17</v>
      </c>
      <c r="L40">
        <v>11</v>
      </c>
      <c r="M40">
        <v>1260360.36036036</v>
      </c>
      <c r="N40">
        <v>160360.36036036001</v>
      </c>
      <c r="O40">
        <v>20220567.567567568</v>
      </c>
      <c r="P40">
        <v>23289324.324324325</v>
      </c>
      <c r="Q40">
        <v>604054.05405405501</v>
      </c>
      <c r="R40">
        <v>206756.75675675701</v>
      </c>
      <c r="S40">
        <v>2372</v>
      </c>
      <c r="T40">
        <v>2666</v>
      </c>
    </row>
    <row r="41" spans="1:20" x14ac:dyDescent="0.35">
      <c r="A41" s="7" t="s">
        <v>107</v>
      </c>
      <c r="B41" s="12" t="s">
        <v>55</v>
      </c>
      <c r="C41">
        <v>32861072.92836028</v>
      </c>
      <c r="D41">
        <v>33811901.287449948</v>
      </c>
      <c r="E41">
        <v>21621.621621621998</v>
      </c>
      <c r="F41">
        <v>568468.46846846701</v>
      </c>
      <c r="G41">
        <v>17</v>
      </c>
      <c r="H41">
        <v>5</v>
      </c>
      <c r="I41">
        <v>5</v>
      </c>
      <c r="K41">
        <v>28</v>
      </c>
      <c r="L41">
        <v>9</v>
      </c>
      <c r="M41">
        <v>957117.11711711704</v>
      </c>
      <c r="N41">
        <v>2027567.567567568</v>
      </c>
      <c r="O41">
        <v>8746405.4054054059</v>
      </c>
      <c r="P41">
        <v>8965405.4054054059</v>
      </c>
      <c r="Q41">
        <v>1200540.5405405399</v>
      </c>
      <c r="R41">
        <v>1823783.7837837839</v>
      </c>
      <c r="S41">
        <v>1211</v>
      </c>
      <c r="T41">
        <v>1278</v>
      </c>
    </row>
    <row r="42" spans="1:20" x14ac:dyDescent="0.35">
      <c r="A42" s="7" t="s">
        <v>108</v>
      </c>
      <c r="B42" s="12" t="s">
        <v>109</v>
      </c>
      <c r="C42">
        <v>276172001.35910541</v>
      </c>
      <c r="D42">
        <v>295613791.86832076</v>
      </c>
      <c r="E42">
        <v>88684684.684684694</v>
      </c>
      <c r="F42">
        <v>62722522.522522531</v>
      </c>
      <c r="G42">
        <v>77</v>
      </c>
      <c r="H42">
        <v>41</v>
      </c>
      <c r="I42">
        <v>1</v>
      </c>
      <c r="K42">
        <v>92</v>
      </c>
      <c r="L42">
        <v>53</v>
      </c>
      <c r="M42">
        <v>39751891.891891897</v>
      </c>
      <c r="N42">
        <v>43715315.315315321</v>
      </c>
      <c r="O42">
        <v>62332270.270270273</v>
      </c>
      <c r="P42">
        <v>63044171.171171166</v>
      </c>
      <c r="Q42">
        <v>30468558.558558553</v>
      </c>
      <c r="R42">
        <v>31132522.522522524</v>
      </c>
      <c r="S42">
        <v>9560</v>
      </c>
      <c r="T42">
        <v>9965</v>
      </c>
    </row>
    <row r="43" spans="1:20" x14ac:dyDescent="0.35">
      <c r="A43" s="7" t="s">
        <v>110</v>
      </c>
      <c r="B43" s="12" t="s">
        <v>109</v>
      </c>
      <c r="C43">
        <v>393422211.2696389</v>
      </c>
      <c r="D43">
        <v>407992246.46563923</v>
      </c>
      <c r="E43">
        <v>3258776.576576584</v>
      </c>
      <c r="F43">
        <v>7844000.0000000102</v>
      </c>
      <c r="G43">
        <v>130</v>
      </c>
      <c r="H43">
        <v>60</v>
      </c>
      <c r="K43">
        <v>225</v>
      </c>
      <c r="L43">
        <v>107</v>
      </c>
      <c r="M43">
        <v>25571172.97297297</v>
      </c>
      <c r="N43">
        <v>166631387.38738739</v>
      </c>
      <c r="O43">
        <v>115160045.04504503</v>
      </c>
      <c r="P43">
        <v>112160666.66666667</v>
      </c>
      <c r="Q43">
        <v>109086756.75675675</v>
      </c>
      <c r="R43">
        <v>143478738.73873875</v>
      </c>
      <c r="S43">
        <v>14669</v>
      </c>
      <c r="T43">
        <v>13811</v>
      </c>
    </row>
    <row r="44" spans="1:20" x14ac:dyDescent="0.35">
      <c r="A44" s="7" t="s">
        <v>111</v>
      </c>
      <c r="B44" s="12" t="s">
        <v>112</v>
      </c>
      <c r="C44">
        <v>448036131.93798953</v>
      </c>
      <c r="D44">
        <v>476852803.96030742</v>
      </c>
      <c r="E44">
        <v>6309009.009009012</v>
      </c>
      <c r="F44">
        <v>4027027.0270270281</v>
      </c>
      <c r="G44">
        <v>123</v>
      </c>
      <c r="H44">
        <v>92</v>
      </c>
      <c r="K44">
        <v>287</v>
      </c>
      <c r="L44">
        <v>174</v>
      </c>
      <c r="M44">
        <v>44800024.324324317</v>
      </c>
      <c r="N44">
        <v>38845495.495495498</v>
      </c>
      <c r="O44">
        <v>156311819.81981981</v>
      </c>
      <c r="P44">
        <v>169088558.55855855</v>
      </c>
      <c r="Q44">
        <v>40022612.612612605</v>
      </c>
      <c r="R44">
        <v>35833243.243243247</v>
      </c>
      <c r="S44">
        <v>19220</v>
      </c>
      <c r="T44">
        <v>19557</v>
      </c>
    </row>
    <row r="45" spans="1:20" x14ac:dyDescent="0.35">
      <c r="A45" s="7" t="s">
        <v>113</v>
      </c>
      <c r="B45" s="12" t="s">
        <v>112</v>
      </c>
      <c r="C45">
        <v>584985180.02566159</v>
      </c>
      <c r="D45">
        <v>607211994.84038043</v>
      </c>
      <c r="E45">
        <v>8209909.909909918</v>
      </c>
      <c r="F45">
        <v>38657874.774774782</v>
      </c>
      <c r="G45">
        <v>229</v>
      </c>
      <c r="H45">
        <v>54</v>
      </c>
      <c r="I45">
        <v>1</v>
      </c>
      <c r="K45">
        <v>374</v>
      </c>
      <c r="L45">
        <v>110</v>
      </c>
      <c r="M45">
        <v>48340823.423423424</v>
      </c>
      <c r="N45">
        <v>75745982.882882878</v>
      </c>
      <c r="O45">
        <v>214725923.42342341</v>
      </c>
      <c r="P45">
        <v>214847576.57657659</v>
      </c>
      <c r="Q45">
        <v>49252432.432432435</v>
      </c>
      <c r="R45">
        <v>87567477.477477476</v>
      </c>
      <c r="S45">
        <v>26935</v>
      </c>
      <c r="T45">
        <v>27338</v>
      </c>
    </row>
    <row r="46" spans="1:20" x14ac:dyDescent="0.35">
      <c r="A46" s="7" t="s">
        <v>114</v>
      </c>
      <c r="B46" s="12" t="s">
        <v>112</v>
      </c>
      <c r="C46">
        <v>827313618.73330343</v>
      </c>
      <c r="D46">
        <v>413874462.23709726</v>
      </c>
      <c r="E46">
        <v>4108783.7837837921</v>
      </c>
      <c r="F46">
        <v>6063973.8738738811</v>
      </c>
      <c r="G46">
        <v>148</v>
      </c>
      <c r="H46">
        <v>78</v>
      </c>
      <c r="K46">
        <v>389</v>
      </c>
      <c r="L46">
        <v>187</v>
      </c>
      <c r="M46">
        <v>27428123.423423428</v>
      </c>
      <c r="N46">
        <v>621701451.35135126</v>
      </c>
      <c r="O46">
        <v>557876007.2072072</v>
      </c>
      <c r="P46">
        <v>131889126.12612613</v>
      </c>
      <c r="Q46">
        <v>27023333.333333336</v>
      </c>
      <c r="R46">
        <v>25534144.144144144</v>
      </c>
      <c r="S46">
        <v>14814</v>
      </c>
      <c r="T46">
        <v>14274</v>
      </c>
    </row>
    <row r="47" spans="1:20" x14ac:dyDescent="0.35">
      <c r="A47" s="7" t="s">
        <v>115</v>
      </c>
      <c r="B47" s="12" t="s">
        <v>112</v>
      </c>
      <c r="C47">
        <v>471045731.42327905</v>
      </c>
      <c r="D47">
        <v>1077694377.0366197</v>
      </c>
      <c r="E47">
        <v>5434909.9099099189</v>
      </c>
      <c r="F47">
        <v>4946846.8468468534</v>
      </c>
      <c r="G47">
        <v>180</v>
      </c>
      <c r="H47">
        <v>98</v>
      </c>
      <c r="I47">
        <v>9</v>
      </c>
      <c r="K47">
        <v>529</v>
      </c>
      <c r="L47">
        <v>198</v>
      </c>
      <c r="M47">
        <v>43799459.459459461</v>
      </c>
      <c r="N47">
        <v>47878018.018018022</v>
      </c>
      <c r="O47">
        <v>136063513.51351351</v>
      </c>
      <c r="P47">
        <v>734362225.22522521</v>
      </c>
      <c r="Q47">
        <v>37710990.990990989</v>
      </c>
      <c r="R47">
        <v>43752882.882882878</v>
      </c>
      <c r="S47">
        <v>19852</v>
      </c>
      <c r="T47">
        <v>19622</v>
      </c>
    </row>
    <row r="48" spans="1:20" x14ac:dyDescent="0.35">
      <c r="A48" s="7" t="s">
        <v>116</v>
      </c>
      <c r="B48" s="12" t="s">
        <v>112</v>
      </c>
      <c r="C48">
        <v>580670058.00480306</v>
      </c>
      <c r="D48">
        <v>579076339.30540383</v>
      </c>
      <c r="E48">
        <v>1311012368.4684684</v>
      </c>
      <c r="F48">
        <v>1167310887.3873873</v>
      </c>
      <c r="G48">
        <v>266</v>
      </c>
      <c r="H48">
        <v>174</v>
      </c>
      <c r="K48">
        <v>467</v>
      </c>
      <c r="L48">
        <v>290</v>
      </c>
      <c r="M48">
        <v>187405864.86486486</v>
      </c>
      <c r="N48">
        <v>151792235.13513514</v>
      </c>
      <c r="O48">
        <v>183448820.27027026</v>
      </c>
      <c r="P48">
        <v>158539198.1981982</v>
      </c>
      <c r="Q48">
        <v>103122745.94594595</v>
      </c>
      <c r="R48">
        <v>108603153.15315315</v>
      </c>
      <c r="S48">
        <v>23331</v>
      </c>
      <c r="T48">
        <v>24328</v>
      </c>
    </row>
    <row r="49" spans="1:20" x14ac:dyDescent="0.35">
      <c r="A49" s="7" t="s">
        <v>117</v>
      </c>
      <c r="B49" s="12" t="s">
        <v>55</v>
      </c>
      <c r="C49">
        <v>30864175.022507433</v>
      </c>
      <c r="D49">
        <v>31894095.017211515</v>
      </c>
      <c r="E49">
        <v>828603.60360360402</v>
      </c>
      <c r="F49">
        <v>256756.75675675701</v>
      </c>
      <c r="G49">
        <v>8</v>
      </c>
      <c r="H49">
        <v>4</v>
      </c>
      <c r="K49">
        <v>8</v>
      </c>
      <c r="L49">
        <v>4</v>
      </c>
      <c r="M49">
        <v>3126126.126126125</v>
      </c>
      <c r="N49">
        <v>3409909.9099099101</v>
      </c>
      <c r="O49">
        <v>7434432.4324324317</v>
      </c>
      <c r="P49">
        <v>8410027.0270270258</v>
      </c>
      <c r="Q49">
        <v>2488918.9189189188</v>
      </c>
      <c r="R49">
        <v>3070900.9009009008</v>
      </c>
      <c r="S49">
        <v>1114</v>
      </c>
      <c r="T49">
        <v>943</v>
      </c>
    </row>
    <row r="50" spans="1:20" x14ac:dyDescent="0.35">
      <c r="A50" s="7" t="s">
        <v>119</v>
      </c>
      <c r="B50" s="12" t="s">
        <v>79</v>
      </c>
      <c r="C50">
        <v>266973010.19795176</v>
      </c>
      <c r="D50">
        <v>294303983.39842594</v>
      </c>
      <c r="E50">
        <v>265966652.25225225</v>
      </c>
      <c r="F50">
        <v>488775491.8918919</v>
      </c>
      <c r="G50">
        <v>86</v>
      </c>
      <c r="H50">
        <v>108</v>
      </c>
      <c r="I50">
        <v>2</v>
      </c>
      <c r="K50">
        <v>122</v>
      </c>
      <c r="L50">
        <v>150</v>
      </c>
      <c r="M50">
        <v>65257657.657657653</v>
      </c>
      <c r="N50">
        <v>62035135.135135137</v>
      </c>
      <c r="O50">
        <v>105292750</v>
      </c>
      <c r="P50">
        <v>116012765.76576576</v>
      </c>
      <c r="Q50">
        <v>59201711.711711712</v>
      </c>
      <c r="R50">
        <v>58121081.081081077</v>
      </c>
      <c r="S50">
        <v>11388</v>
      </c>
      <c r="T50">
        <v>11469</v>
      </c>
    </row>
    <row r="51" spans="1:20" x14ac:dyDescent="0.35">
      <c r="A51" s="7" t="s">
        <v>120</v>
      </c>
      <c r="B51" s="12" t="s">
        <v>51</v>
      </c>
      <c r="C51">
        <v>83837759.58047834</v>
      </c>
      <c r="D51">
        <v>86183104.951118037</v>
      </c>
      <c r="E51">
        <v>1616216.216216218</v>
      </c>
      <c r="F51">
        <v>372972.972972975</v>
      </c>
      <c r="G51">
        <v>33</v>
      </c>
      <c r="H51">
        <v>12</v>
      </c>
      <c r="K51">
        <v>34</v>
      </c>
      <c r="L51">
        <v>14</v>
      </c>
      <c r="M51">
        <v>18351801.801801804</v>
      </c>
      <c r="N51">
        <v>10653873.873873873</v>
      </c>
      <c r="O51">
        <v>30431387.387387387</v>
      </c>
      <c r="P51">
        <v>32477180.180180181</v>
      </c>
      <c r="Q51">
        <v>16037567.56756757</v>
      </c>
      <c r="R51">
        <v>12069819.819819819</v>
      </c>
      <c r="S51">
        <v>2393</v>
      </c>
      <c r="T51">
        <v>2404</v>
      </c>
    </row>
    <row r="52" spans="1:20" x14ac:dyDescent="0.35">
      <c r="A52" s="7" t="s">
        <v>121</v>
      </c>
      <c r="B52" s="12" t="s">
        <v>122</v>
      </c>
      <c r="C52">
        <v>286624095.84983027</v>
      </c>
      <c r="D52">
        <v>272836728.83388424</v>
      </c>
      <c r="E52">
        <v>2165990.990990995</v>
      </c>
      <c r="F52">
        <v>1240540.5405405429</v>
      </c>
      <c r="G52">
        <v>98</v>
      </c>
      <c r="H52">
        <v>62</v>
      </c>
      <c r="K52">
        <v>119</v>
      </c>
      <c r="L52">
        <v>76</v>
      </c>
      <c r="M52">
        <v>9957657.6576576605</v>
      </c>
      <c r="N52">
        <v>8582882.8828828838</v>
      </c>
      <c r="O52">
        <v>21618324.324324325</v>
      </c>
      <c r="P52">
        <v>23538198.198198199</v>
      </c>
      <c r="Q52">
        <v>7371171.1711711707</v>
      </c>
      <c r="R52">
        <v>9171081.0810810793</v>
      </c>
      <c r="S52">
        <v>7928</v>
      </c>
      <c r="T52">
        <v>7792</v>
      </c>
    </row>
    <row r="53" spans="1:20" x14ac:dyDescent="0.35">
      <c r="A53" s="7" t="s">
        <v>123</v>
      </c>
      <c r="B53" s="12" t="s">
        <v>124</v>
      </c>
      <c r="C53">
        <v>146475281.2067731</v>
      </c>
      <c r="D53">
        <v>157346826.62251562</v>
      </c>
      <c r="E53">
        <v>560135.13513513503</v>
      </c>
      <c r="F53">
        <v>143236936.93693691</v>
      </c>
      <c r="G53">
        <v>22</v>
      </c>
      <c r="H53">
        <v>11</v>
      </c>
      <c r="K53">
        <v>24</v>
      </c>
      <c r="L53">
        <v>13</v>
      </c>
      <c r="M53">
        <v>23284954.954954956</v>
      </c>
      <c r="N53">
        <v>44394144.144144148</v>
      </c>
      <c r="O53">
        <v>65078301.801801801</v>
      </c>
      <c r="P53">
        <v>71846989.189189196</v>
      </c>
      <c r="Q53">
        <v>24951441.441441439</v>
      </c>
      <c r="R53">
        <v>31661034.234234236</v>
      </c>
      <c r="S53">
        <v>4441</v>
      </c>
      <c r="T53">
        <v>4496</v>
      </c>
    </row>
    <row r="54" spans="1:20" x14ac:dyDescent="0.35">
      <c r="A54" s="7" t="s">
        <v>125</v>
      </c>
      <c r="B54" s="12" t="s">
        <v>126</v>
      </c>
      <c r="C54">
        <v>193362679.53973874</v>
      </c>
      <c r="D54">
        <v>218698421.05748975</v>
      </c>
      <c r="E54">
        <v>93915490.990990996</v>
      </c>
      <c r="F54">
        <v>75185779.279279277</v>
      </c>
      <c r="G54">
        <v>42</v>
      </c>
      <c r="H54">
        <v>34</v>
      </c>
      <c r="K54">
        <v>47</v>
      </c>
      <c r="L54">
        <v>37</v>
      </c>
      <c r="M54">
        <v>69337342.342342347</v>
      </c>
      <c r="N54">
        <v>40290450.45045045</v>
      </c>
      <c r="O54">
        <v>60501322.522522517</v>
      </c>
      <c r="P54">
        <v>67537852.252252251</v>
      </c>
      <c r="Q54">
        <v>63008738.738738738</v>
      </c>
      <c r="R54">
        <v>32753783.783783782</v>
      </c>
      <c r="S54">
        <v>6767</v>
      </c>
      <c r="T54">
        <v>6492</v>
      </c>
    </row>
    <row r="55" spans="1:20" x14ac:dyDescent="0.35">
      <c r="A55" s="7" t="s">
        <v>127</v>
      </c>
      <c r="B55" s="12" t="s">
        <v>79</v>
      </c>
      <c r="C55">
        <v>125522652.71664988</v>
      </c>
      <c r="D55">
        <v>127301742.29655638</v>
      </c>
      <c r="E55">
        <v>2549549.5495495489</v>
      </c>
      <c r="F55">
        <v>2813513.513513518</v>
      </c>
      <c r="G55">
        <v>33</v>
      </c>
      <c r="H55">
        <v>13</v>
      </c>
      <c r="K55">
        <v>40</v>
      </c>
      <c r="L55">
        <v>17</v>
      </c>
      <c r="M55">
        <v>23382882.882882878</v>
      </c>
      <c r="N55">
        <v>26112612.612612613</v>
      </c>
      <c r="O55">
        <v>50288945.945945941</v>
      </c>
      <c r="P55">
        <v>51435693.693693697</v>
      </c>
      <c r="Q55">
        <v>19930360.360360362</v>
      </c>
      <c r="R55">
        <v>25144864.864864863</v>
      </c>
      <c r="S55">
        <v>5148</v>
      </c>
      <c r="T55">
        <v>5000</v>
      </c>
    </row>
    <row r="56" spans="1:20" x14ac:dyDescent="0.35">
      <c r="A56" s="7" t="s">
        <v>128</v>
      </c>
      <c r="B56" s="12" t="s">
        <v>79</v>
      </c>
      <c r="C56">
        <v>21015132.814444136</v>
      </c>
      <c r="D56">
        <v>21773565.349774007</v>
      </c>
      <c r="E56">
        <v>435135.13513513701</v>
      </c>
      <c r="F56">
        <v>109009.00900900899</v>
      </c>
      <c r="G56">
        <v>7</v>
      </c>
      <c r="H56">
        <v>1</v>
      </c>
      <c r="K56">
        <v>9</v>
      </c>
      <c r="L56">
        <v>1</v>
      </c>
      <c r="M56">
        <v>8047747.7477477482</v>
      </c>
      <c r="N56">
        <v>9883783.7837837841</v>
      </c>
      <c r="O56">
        <v>11989504.504504504</v>
      </c>
      <c r="P56">
        <v>11722423.423423424</v>
      </c>
      <c r="Q56">
        <v>8523423.4234234244</v>
      </c>
      <c r="R56">
        <v>6053513.5135135148</v>
      </c>
      <c r="S56">
        <v>1222</v>
      </c>
      <c r="T56">
        <v>1179</v>
      </c>
    </row>
    <row r="57" spans="1:20" x14ac:dyDescent="0.35">
      <c r="A57" s="7" t="s">
        <v>129</v>
      </c>
      <c r="B57" s="12" t="s">
        <v>79</v>
      </c>
      <c r="C57">
        <v>122399701.86900719</v>
      </c>
      <c r="D57">
        <v>129411650.96623312</v>
      </c>
      <c r="E57">
        <v>1000000.0000000061</v>
      </c>
      <c r="F57">
        <v>1809459.459459469</v>
      </c>
      <c r="G57">
        <v>62</v>
      </c>
      <c r="H57">
        <v>30</v>
      </c>
      <c r="K57">
        <v>83</v>
      </c>
      <c r="L57">
        <v>32</v>
      </c>
      <c r="M57">
        <v>14180180.180180183</v>
      </c>
      <c r="N57">
        <v>21917567.567567568</v>
      </c>
      <c r="O57">
        <v>48915018.018018015</v>
      </c>
      <c r="P57">
        <v>53332603.603603601</v>
      </c>
      <c r="Q57">
        <v>13174234.234234232</v>
      </c>
      <c r="R57">
        <v>21546036.036036037</v>
      </c>
      <c r="S57">
        <v>7174</v>
      </c>
      <c r="T57">
        <v>5861</v>
      </c>
    </row>
    <row r="58" spans="1:20" x14ac:dyDescent="0.35">
      <c r="A58" s="7" t="s">
        <v>130</v>
      </c>
      <c r="B58" s="12" t="s">
        <v>86</v>
      </c>
      <c r="C58">
        <v>34445130.92926988</v>
      </c>
      <c r="D58">
        <v>34407973.005127482</v>
      </c>
      <c r="E58">
        <v>138353153.15315315</v>
      </c>
      <c r="F58">
        <v>151310810.8108108</v>
      </c>
      <c r="G58">
        <v>7</v>
      </c>
      <c r="H58">
        <v>12</v>
      </c>
      <c r="K58">
        <v>9</v>
      </c>
      <c r="L58">
        <v>15</v>
      </c>
      <c r="M58">
        <v>29699189.189189192</v>
      </c>
      <c r="N58">
        <v>13738288.288288288</v>
      </c>
      <c r="O58">
        <v>16641513.513513515</v>
      </c>
      <c r="P58">
        <v>19153873.873873871</v>
      </c>
      <c r="Q58">
        <v>21943693.693693694</v>
      </c>
      <c r="R58">
        <v>7945855.8558558561</v>
      </c>
      <c r="S58">
        <v>1364</v>
      </c>
      <c r="T58">
        <v>2967</v>
      </c>
    </row>
    <row r="59" spans="1:20" x14ac:dyDescent="0.35">
      <c r="A59" s="7" t="s">
        <v>131</v>
      </c>
      <c r="B59" s="12" t="s">
        <v>90</v>
      </c>
      <c r="C59">
        <v>331982949.66939926</v>
      </c>
      <c r="D59">
        <v>351488392.08824509</v>
      </c>
      <c r="E59">
        <v>2229279.2792792912</v>
      </c>
      <c r="F59">
        <v>2845045.0450450489</v>
      </c>
      <c r="G59">
        <v>48</v>
      </c>
      <c r="H59">
        <v>31</v>
      </c>
      <c r="K59">
        <v>74</v>
      </c>
      <c r="L59">
        <v>37</v>
      </c>
      <c r="M59">
        <v>22288918.918918923</v>
      </c>
      <c r="N59">
        <v>28583063.063063063</v>
      </c>
      <c r="O59">
        <v>105175225.22522523</v>
      </c>
      <c r="P59">
        <v>111426648.64864865</v>
      </c>
      <c r="Q59">
        <v>20652972.972972974</v>
      </c>
      <c r="R59">
        <v>28647567.567567572</v>
      </c>
      <c r="S59">
        <v>10960</v>
      </c>
      <c r="T59">
        <v>10761</v>
      </c>
    </row>
    <row r="60" spans="1:20" x14ac:dyDescent="0.35">
      <c r="A60" s="7" t="s">
        <v>132</v>
      </c>
      <c r="B60" s="12" t="s">
        <v>133</v>
      </c>
      <c r="C60">
        <v>173054381.85548058</v>
      </c>
      <c r="D60">
        <v>191771264.85374919</v>
      </c>
      <c r="E60">
        <v>30630700.900900904</v>
      </c>
      <c r="F60">
        <v>41167561.261261262</v>
      </c>
      <c r="G60">
        <v>98</v>
      </c>
      <c r="H60">
        <v>64</v>
      </c>
      <c r="K60">
        <v>107</v>
      </c>
      <c r="L60">
        <v>72</v>
      </c>
      <c r="M60">
        <v>15350450.450450452</v>
      </c>
      <c r="N60">
        <v>40546846.846846849</v>
      </c>
      <c r="O60">
        <v>55037988.738738738</v>
      </c>
      <c r="P60">
        <v>63790504.504504502</v>
      </c>
      <c r="Q60">
        <v>14081891.891891891</v>
      </c>
      <c r="R60">
        <v>32768198.198198199</v>
      </c>
      <c r="S60">
        <v>6978</v>
      </c>
      <c r="T60">
        <v>7433</v>
      </c>
    </row>
    <row r="61" spans="1:20" x14ac:dyDescent="0.35">
      <c r="A61" s="7" t="s">
        <v>134</v>
      </c>
      <c r="B61" s="12" t="s">
        <v>135</v>
      </c>
      <c r="C61">
        <v>14041324.09259798</v>
      </c>
      <c r="D61">
        <v>28741834.230295438</v>
      </c>
      <c r="H61">
        <v>1</v>
      </c>
      <c r="L61">
        <v>1</v>
      </c>
      <c r="O61">
        <v>3135313.5135135138</v>
      </c>
      <c r="P61">
        <v>5203531.5315315314</v>
      </c>
      <c r="S61">
        <v>2155</v>
      </c>
      <c r="T61">
        <v>2274</v>
      </c>
    </row>
    <row r="62" spans="1:20" x14ac:dyDescent="0.35">
      <c r="A62" s="7" t="s">
        <v>136</v>
      </c>
      <c r="B62" s="12" t="s">
        <v>137</v>
      </c>
      <c r="C62">
        <v>151751673.51993692</v>
      </c>
      <c r="D62">
        <v>162493306.66993439</v>
      </c>
      <c r="E62">
        <v>772072.07207207405</v>
      </c>
      <c r="F62">
        <v>1081081.0810810821</v>
      </c>
      <c r="G62">
        <v>47</v>
      </c>
      <c r="H62">
        <v>35</v>
      </c>
      <c r="I62">
        <v>3</v>
      </c>
      <c r="K62">
        <v>51</v>
      </c>
      <c r="L62">
        <v>39</v>
      </c>
      <c r="M62">
        <v>10997297.297297295</v>
      </c>
      <c r="N62">
        <v>15090090.090090092</v>
      </c>
      <c r="O62">
        <v>24495342.342342343</v>
      </c>
      <c r="P62">
        <v>29599198.198198199</v>
      </c>
      <c r="Q62">
        <v>10838738.738738738</v>
      </c>
      <c r="R62">
        <v>13223603.603603603</v>
      </c>
      <c r="S62">
        <v>3921</v>
      </c>
      <c r="T62">
        <v>3597</v>
      </c>
    </row>
    <row r="63" spans="1:20" x14ac:dyDescent="0.35">
      <c r="A63" s="7" t="s">
        <v>138</v>
      </c>
      <c r="B63" s="12" t="s">
        <v>90</v>
      </c>
      <c r="C63">
        <v>160277233.73040527</v>
      </c>
      <c r="D63">
        <v>175561234.1064024</v>
      </c>
      <c r="E63">
        <v>1211486.486486495</v>
      </c>
      <c r="F63">
        <v>1683783.783783786</v>
      </c>
      <c r="G63">
        <v>33</v>
      </c>
      <c r="H63">
        <v>9</v>
      </c>
      <c r="I63">
        <v>2</v>
      </c>
      <c r="K63">
        <v>60</v>
      </c>
      <c r="L63">
        <v>10</v>
      </c>
      <c r="M63">
        <v>19647567.567567565</v>
      </c>
      <c r="N63">
        <v>26693513.513513513</v>
      </c>
      <c r="O63">
        <v>55902124.324324317</v>
      </c>
      <c r="P63">
        <v>65554162.162162162</v>
      </c>
      <c r="Q63">
        <v>18090810.810810816</v>
      </c>
      <c r="R63">
        <v>27304414.414414413</v>
      </c>
      <c r="S63">
        <v>4837</v>
      </c>
      <c r="T63">
        <v>4786</v>
      </c>
    </row>
    <row r="64" spans="1:20" x14ac:dyDescent="0.35">
      <c r="A64" s="7" t="s">
        <v>139</v>
      </c>
      <c r="B64" s="12" t="s">
        <v>79</v>
      </c>
      <c r="C64">
        <v>118924163.15790632</v>
      </c>
      <c r="D64">
        <v>125803679.00693524</v>
      </c>
      <c r="E64">
        <v>67181981.981981978</v>
      </c>
      <c r="F64">
        <v>79966666.666666672</v>
      </c>
      <c r="G64">
        <v>47</v>
      </c>
      <c r="H64">
        <v>29</v>
      </c>
      <c r="I64">
        <v>1</v>
      </c>
      <c r="K64">
        <v>57</v>
      </c>
      <c r="L64">
        <v>32</v>
      </c>
      <c r="M64">
        <v>15319819.819819817</v>
      </c>
      <c r="N64">
        <v>22241441.441441439</v>
      </c>
      <c r="O64">
        <v>51699353.603603601</v>
      </c>
      <c r="P64">
        <v>53552216.216216214</v>
      </c>
      <c r="Q64">
        <v>13569009.009009009</v>
      </c>
      <c r="R64">
        <v>18633513.513513513</v>
      </c>
      <c r="S64">
        <v>5124</v>
      </c>
      <c r="T64">
        <v>5041</v>
      </c>
    </row>
    <row r="65" spans="1:20" x14ac:dyDescent="0.35">
      <c r="A65" s="7" t="s">
        <v>140</v>
      </c>
      <c r="B65" s="12" t="s">
        <v>141</v>
      </c>
      <c r="C65">
        <v>168145591.69421464</v>
      </c>
      <c r="D65">
        <v>188339271.72546905</v>
      </c>
      <c r="E65">
        <v>1406306.306306307</v>
      </c>
      <c r="F65">
        <v>1684684.684684685</v>
      </c>
      <c r="G65">
        <v>16</v>
      </c>
      <c r="H65">
        <v>5</v>
      </c>
      <c r="K65">
        <v>17</v>
      </c>
      <c r="L65">
        <v>9</v>
      </c>
      <c r="M65">
        <v>17237657.657657657</v>
      </c>
      <c r="N65">
        <v>18779279.27927928</v>
      </c>
      <c r="O65">
        <v>32767333.333333332</v>
      </c>
      <c r="P65">
        <v>35711789.189189188</v>
      </c>
      <c r="Q65">
        <v>14731711.711711712</v>
      </c>
      <c r="R65">
        <v>15635405.405405404</v>
      </c>
      <c r="S65">
        <v>4689</v>
      </c>
      <c r="T65">
        <v>4676</v>
      </c>
    </row>
    <row r="66" spans="1:20" x14ac:dyDescent="0.35">
      <c r="A66" s="7" t="s">
        <v>142</v>
      </c>
      <c r="B66" s="12" t="s">
        <v>63</v>
      </c>
      <c r="C66">
        <v>111723419.468633</v>
      </c>
      <c r="D66">
        <v>120784547.87535606</v>
      </c>
      <c r="E66">
        <v>1205405.405405408</v>
      </c>
      <c r="F66">
        <v>4358104.5045045055</v>
      </c>
      <c r="G66">
        <v>48</v>
      </c>
      <c r="H66">
        <v>5</v>
      </c>
      <c r="I66">
        <v>3</v>
      </c>
      <c r="K66">
        <v>58</v>
      </c>
      <c r="L66">
        <v>9</v>
      </c>
      <c r="M66">
        <v>65055855.855855852</v>
      </c>
      <c r="N66">
        <v>128584515.31531531</v>
      </c>
      <c r="O66">
        <v>23822513.513513513</v>
      </c>
      <c r="P66">
        <v>27620828.828828827</v>
      </c>
      <c r="Q66">
        <v>67010360.360360362</v>
      </c>
      <c r="R66">
        <v>126946936.93693694</v>
      </c>
      <c r="S66">
        <v>3846</v>
      </c>
      <c r="T66">
        <v>3727</v>
      </c>
    </row>
    <row r="67" spans="1:20" x14ac:dyDescent="0.35">
      <c r="A67" s="7" t="s">
        <v>143</v>
      </c>
      <c r="B67" s="12" t="s">
        <v>144</v>
      </c>
      <c r="C67">
        <v>1027373.423808363</v>
      </c>
      <c r="D67">
        <v>1238240.0931520001</v>
      </c>
      <c r="G67">
        <v>1</v>
      </c>
      <c r="K67">
        <v>1</v>
      </c>
      <c r="O67">
        <v>108198.19819819801</v>
      </c>
      <c r="P67">
        <v>209414.414414414</v>
      </c>
      <c r="S67">
        <v>162</v>
      </c>
      <c r="T67">
        <v>138</v>
      </c>
    </row>
    <row r="68" spans="1:20" x14ac:dyDescent="0.35">
      <c r="A68" s="7" t="s">
        <v>145</v>
      </c>
      <c r="B68" s="12" t="s">
        <v>141</v>
      </c>
      <c r="C68">
        <v>241623376.95776242</v>
      </c>
      <c r="D68">
        <v>241541027.1665113</v>
      </c>
      <c r="E68">
        <v>1040990.990990993</v>
      </c>
      <c r="F68">
        <v>1395495.495495497</v>
      </c>
      <c r="G68">
        <v>54</v>
      </c>
      <c r="H68">
        <v>19</v>
      </c>
      <c r="K68">
        <v>70</v>
      </c>
      <c r="L68">
        <v>25</v>
      </c>
      <c r="M68">
        <v>27067027.027027026</v>
      </c>
      <c r="N68">
        <v>34145765.765765764</v>
      </c>
      <c r="O68">
        <v>43883279.279279277</v>
      </c>
      <c r="P68">
        <v>49380225.225225225</v>
      </c>
      <c r="Q68">
        <v>24380630.630630627</v>
      </c>
      <c r="R68">
        <v>31596396.396396395</v>
      </c>
      <c r="S68">
        <v>7518</v>
      </c>
      <c r="T68">
        <v>7753</v>
      </c>
    </row>
    <row r="69" spans="1:20" x14ac:dyDescent="0.35">
      <c r="A69" s="7" t="s">
        <v>146</v>
      </c>
      <c r="B69" s="12" t="s">
        <v>79</v>
      </c>
      <c r="C69">
        <v>167480346.95553213</v>
      </c>
      <c r="D69">
        <v>171727851.54796848</v>
      </c>
      <c r="E69">
        <v>2221621.6216216241</v>
      </c>
      <c r="F69">
        <v>2174774.7747747782</v>
      </c>
      <c r="G69">
        <v>56</v>
      </c>
      <c r="H69">
        <v>33</v>
      </c>
      <c r="K69">
        <v>61</v>
      </c>
      <c r="L69">
        <v>38</v>
      </c>
      <c r="M69">
        <v>15023423.423423426</v>
      </c>
      <c r="N69">
        <v>20922522.522522524</v>
      </c>
      <c r="O69">
        <v>48160135.135135137</v>
      </c>
      <c r="P69">
        <v>49318891.891891889</v>
      </c>
      <c r="Q69">
        <v>17414774.774774771</v>
      </c>
      <c r="R69">
        <v>18266216.216216218</v>
      </c>
      <c r="S69">
        <v>6449</v>
      </c>
      <c r="T69">
        <v>6679</v>
      </c>
    </row>
    <row r="70" spans="1:20" x14ac:dyDescent="0.35">
      <c r="A70" s="7" t="s">
        <v>147</v>
      </c>
      <c r="B70" s="12" t="s">
        <v>148</v>
      </c>
      <c r="C70">
        <v>109359215.62264858</v>
      </c>
      <c r="D70">
        <v>108696228.59806368</v>
      </c>
      <c r="E70">
        <v>2569369.3693693718</v>
      </c>
      <c r="F70">
        <v>2132432.4324324308</v>
      </c>
      <c r="G70">
        <v>18</v>
      </c>
      <c r="H70">
        <v>9</v>
      </c>
      <c r="K70">
        <v>21</v>
      </c>
      <c r="L70">
        <v>12</v>
      </c>
      <c r="M70">
        <v>38588642.342342339</v>
      </c>
      <c r="N70">
        <v>34035135.135135137</v>
      </c>
      <c r="O70">
        <v>33363072.072072074</v>
      </c>
      <c r="P70">
        <v>36106486.486486487</v>
      </c>
      <c r="Q70">
        <v>36335765.765765771</v>
      </c>
      <c r="R70">
        <v>31920900.9009009</v>
      </c>
      <c r="S70">
        <v>3667</v>
      </c>
      <c r="T70">
        <v>3955</v>
      </c>
    </row>
    <row r="71" spans="1:20" x14ac:dyDescent="0.35">
      <c r="A71" s="7" t="s">
        <v>149</v>
      </c>
      <c r="B71" s="12" t="s">
        <v>95</v>
      </c>
      <c r="C71">
        <v>17.531949365999999</v>
      </c>
      <c r="D71">
        <v>22.077324659999999</v>
      </c>
      <c r="T71">
        <v>593</v>
      </c>
    </row>
    <row r="72" spans="1:20" x14ac:dyDescent="0.35">
      <c r="A72" s="7" t="s">
        <v>150</v>
      </c>
      <c r="B72" s="12" t="s">
        <v>51</v>
      </c>
      <c r="C72">
        <v>97457480.006817564</v>
      </c>
      <c r="D72">
        <v>101135381.14093107</v>
      </c>
      <c r="E72">
        <v>112457657.65765767</v>
      </c>
      <c r="F72">
        <v>62683783.783783786</v>
      </c>
      <c r="G72">
        <v>18</v>
      </c>
      <c r="H72">
        <v>11</v>
      </c>
      <c r="K72">
        <v>18</v>
      </c>
      <c r="L72">
        <v>11</v>
      </c>
      <c r="M72">
        <v>6410540.5405405397</v>
      </c>
      <c r="N72">
        <v>8809279.2792792767</v>
      </c>
      <c r="O72">
        <v>42631396.396396399</v>
      </c>
      <c r="P72">
        <v>45077801.801801801</v>
      </c>
      <c r="Q72">
        <v>5702522.5225225221</v>
      </c>
      <c r="R72">
        <v>8052252.2522522518</v>
      </c>
      <c r="S72">
        <v>3430</v>
      </c>
      <c r="T72">
        <v>3470</v>
      </c>
    </row>
    <row r="73" spans="1:20" x14ac:dyDescent="0.35">
      <c r="A73" s="7" t="s">
        <v>151</v>
      </c>
      <c r="B73" s="12" t="s">
        <v>152</v>
      </c>
      <c r="C73">
        <v>30366658.396016374</v>
      </c>
      <c r="D73">
        <v>29428565.079582807</v>
      </c>
      <c r="E73">
        <v>97994135.135135129</v>
      </c>
      <c r="F73">
        <v>107080118.91891891</v>
      </c>
      <c r="G73">
        <v>5</v>
      </c>
      <c r="H73">
        <v>1</v>
      </c>
      <c r="K73">
        <v>6</v>
      </c>
      <c r="L73">
        <v>1</v>
      </c>
      <c r="M73">
        <v>38040540.540540546</v>
      </c>
      <c r="N73">
        <v>46896396.396396399</v>
      </c>
      <c r="O73">
        <v>7519045.0450450452</v>
      </c>
      <c r="P73">
        <v>8309135.1351351347</v>
      </c>
      <c r="Q73">
        <v>10364324.324324325</v>
      </c>
      <c r="R73">
        <v>20641801.801801801</v>
      </c>
      <c r="S73">
        <v>704</v>
      </c>
      <c r="T73">
        <v>608</v>
      </c>
    </row>
    <row r="74" spans="1:20" x14ac:dyDescent="0.35">
      <c r="A74" s="7" t="s">
        <v>153</v>
      </c>
      <c r="B74" s="12" t="s">
        <v>152</v>
      </c>
      <c r="C74">
        <v>287093340.27017772</v>
      </c>
      <c r="D74">
        <v>289049147.0284273</v>
      </c>
      <c r="E74">
        <v>141291216.21621624</v>
      </c>
      <c r="F74">
        <v>266786517.11711711</v>
      </c>
      <c r="G74">
        <v>158</v>
      </c>
      <c r="H74">
        <v>9</v>
      </c>
      <c r="K74">
        <v>172</v>
      </c>
      <c r="L74">
        <v>20</v>
      </c>
      <c r="M74">
        <v>212266738.73873872</v>
      </c>
      <c r="N74">
        <v>204447327.92792794</v>
      </c>
      <c r="O74">
        <v>100105792.7927928</v>
      </c>
      <c r="P74">
        <v>103691360.36036035</v>
      </c>
      <c r="Q74">
        <v>167811210.8108108</v>
      </c>
      <c r="R74">
        <v>163864234.23423424</v>
      </c>
      <c r="S74">
        <v>8108</v>
      </c>
      <c r="T74">
        <v>8101</v>
      </c>
    </row>
    <row r="75" spans="1:20" x14ac:dyDescent="0.35">
      <c r="A75" s="7" t="s">
        <v>154</v>
      </c>
      <c r="B75" s="12" t="s">
        <v>155</v>
      </c>
      <c r="C75">
        <v>257735237.52649429</v>
      </c>
      <c r="D75">
        <v>234801478.14119515</v>
      </c>
      <c r="E75">
        <v>64275181.981981985</v>
      </c>
      <c r="F75">
        <v>74103054.054054052</v>
      </c>
      <c r="G75">
        <v>36</v>
      </c>
      <c r="H75">
        <v>11</v>
      </c>
      <c r="K75">
        <v>39</v>
      </c>
      <c r="L75">
        <v>12</v>
      </c>
      <c r="M75">
        <v>52628828.828828834</v>
      </c>
      <c r="N75">
        <v>44926126.126126118</v>
      </c>
      <c r="O75">
        <v>105235716.21621621</v>
      </c>
      <c r="P75">
        <v>106279774.77477477</v>
      </c>
      <c r="Q75">
        <v>32854414.414414417</v>
      </c>
      <c r="R75">
        <v>37609639.639639638</v>
      </c>
      <c r="S75">
        <v>7021</v>
      </c>
      <c r="T75">
        <v>7186</v>
      </c>
    </row>
    <row r="76" spans="1:20" x14ac:dyDescent="0.35">
      <c r="A76" s="7" t="s">
        <v>156</v>
      </c>
      <c r="B76" s="12" t="s">
        <v>155</v>
      </c>
      <c r="C76">
        <v>28348713.094812237</v>
      </c>
      <c r="D76">
        <v>25018878.27414418</v>
      </c>
      <c r="E76">
        <v>115238738.73873873</v>
      </c>
      <c r="F76">
        <v>10730630.630630633</v>
      </c>
      <c r="G76">
        <v>7</v>
      </c>
      <c r="H76">
        <v>4</v>
      </c>
      <c r="K76">
        <v>9</v>
      </c>
      <c r="L76">
        <v>5</v>
      </c>
      <c r="M76">
        <v>5022522.5225225221</v>
      </c>
      <c r="N76">
        <v>4993468.4684684696</v>
      </c>
      <c r="O76">
        <v>6774765.7657657657</v>
      </c>
      <c r="P76">
        <v>8604981.9819819815</v>
      </c>
      <c r="Q76">
        <v>2700900.9009008999</v>
      </c>
      <c r="R76">
        <v>3672342.3423423432</v>
      </c>
      <c r="S76">
        <v>1994</v>
      </c>
      <c r="T76">
        <v>2172</v>
      </c>
    </row>
    <row r="77" spans="1:20" x14ac:dyDescent="0.35">
      <c r="A77" s="7" t="s">
        <v>157</v>
      </c>
      <c r="B77" s="12" t="s">
        <v>155</v>
      </c>
      <c r="C77">
        <v>277211871.88487566</v>
      </c>
      <c r="D77">
        <v>278249428.03231353</v>
      </c>
      <c r="E77">
        <v>1703828.8288288319</v>
      </c>
      <c r="F77">
        <v>3937837.8378378381</v>
      </c>
      <c r="G77">
        <v>14</v>
      </c>
      <c r="H77">
        <v>9</v>
      </c>
      <c r="K77">
        <v>17</v>
      </c>
      <c r="L77">
        <v>9</v>
      </c>
      <c r="M77">
        <v>54109909.909909911</v>
      </c>
      <c r="N77">
        <v>56331531.531531535</v>
      </c>
      <c r="O77">
        <v>107711288.2882883</v>
      </c>
      <c r="P77">
        <v>116031396.3963964</v>
      </c>
      <c r="Q77">
        <v>55047657.657657653</v>
      </c>
      <c r="R77">
        <v>52411351.351351351</v>
      </c>
      <c r="S77">
        <v>8057</v>
      </c>
      <c r="T77">
        <v>7835</v>
      </c>
    </row>
    <row r="78" spans="1:20" x14ac:dyDescent="0.35">
      <c r="A78" s="7" t="s">
        <v>158</v>
      </c>
      <c r="B78" s="12" t="s">
        <v>135</v>
      </c>
      <c r="C78">
        <v>131872076.09138729</v>
      </c>
      <c r="D78">
        <v>130303667.64397827</v>
      </c>
      <c r="E78">
        <v>504504.504504507</v>
      </c>
      <c r="F78">
        <v>950450.450450451</v>
      </c>
      <c r="G78">
        <v>27</v>
      </c>
      <c r="H78">
        <v>20</v>
      </c>
      <c r="K78">
        <v>32</v>
      </c>
      <c r="L78">
        <v>40</v>
      </c>
      <c r="M78">
        <v>13995503.603603603</v>
      </c>
      <c r="N78">
        <v>12707207.207207205</v>
      </c>
      <c r="O78">
        <v>14435333.333333332</v>
      </c>
      <c r="P78">
        <v>12870738.738738736</v>
      </c>
      <c r="Q78">
        <v>4644144.1441441467</v>
      </c>
      <c r="R78">
        <v>7294864.8648648644</v>
      </c>
      <c r="S78">
        <v>4428</v>
      </c>
      <c r="T78">
        <v>4550</v>
      </c>
    </row>
    <row r="79" spans="1:20" x14ac:dyDescent="0.35">
      <c r="A79" s="7" t="s">
        <v>1</v>
      </c>
      <c r="B79" s="12" t="s">
        <v>159</v>
      </c>
      <c r="C79">
        <v>233463851.88739571</v>
      </c>
      <c r="D79">
        <v>244307916.64230105</v>
      </c>
      <c r="E79">
        <v>1300000.000000003</v>
      </c>
      <c r="F79">
        <v>1167567.567567569</v>
      </c>
      <c r="G79">
        <v>22</v>
      </c>
      <c r="H79">
        <v>43</v>
      </c>
      <c r="K79">
        <v>137</v>
      </c>
      <c r="L79">
        <v>55</v>
      </c>
      <c r="M79">
        <v>33653063.063063063</v>
      </c>
      <c r="N79">
        <v>30669594.59459459</v>
      </c>
      <c r="O79">
        <v>110735531.53153154</v>
      </c>
      <c r="P79">
        <v>114817135.13513513</v>
      </c>
      <c r="Q79">
        <v>30789639.639639635</v>
      </c>
      <c r="R79">
        <v>30401846.846846849</v>
      </c>
      <c r="S79">
        <v>7812</v>
      </c>
      <c r="T79">
        <v>8150</v>
      </c>
    </row>
    <row r="80" spans="1:20" x14ac:dyDescent="0.35">
      <c r="A80" s="7" t="s">
        <v>160</v>
      </c>
      <c r="B80" s="12" t="s">
        <v>122</v>
      </c>
      <c r="C80">
        <v>8978299.6448080912</v>
      </c>
      <c r="D80">
        <v>7229371.4384814808</v>
      </c>
      <c r="G80">
        <v>2</v>
      </c>
      <c r="H80">
        <v>5</v>
      </c>
      <c r="K80">
        <v>5</v>
      </c>
      <c r="L80">
        <v>5</v>
      </c>
      <c r="O80">
        <v>845765.76576576603</v>
      </c>
      <c r="P80">
        <v>951576.57657657703</v>
      </c>
      <c r="Q80">
        <v>29729.729729729999</v>
      </c>
      <c r="R80">
        <v>15765.765765766</v>
      </c>
      <c r="S80">
        <v>547</v>
      </c>
      <c r="T80">
        <v>414</v>
      </c>
    </row>
    <row r="81" spans="1:20" x14ac:dyDescent="0.35">
      <c r="A81" s="7" t="s">
        <v>161</v>
      </c>
      <c r="B81" s="12" t="s">
        <v>162</v>
      </c>
      <c r="C81">
        <v>122749767.08825736</v>
      </c>
      <c r="D81">
        <v>135868078.93355575</v>
      </c>
      <c r="E81">
        <v>44655411.711711727</v>
      </c>
      <c r="F81">
        <v>41087339.639639638</v>
      </c>
      <c r="G81">
        <v>72</v>
      </c>
      <c r="H81">
        <v>229</v>
      </c>
      <c r="K81">
        <v>142</v>
      </c>
      <c r="L81">
        <v>341</v>
      </c>
      <c r="M81">
        <v>31344045.045045052</v>
      </c>
      <c r="N81">
        <v>39064694.59459459</v>
      </c>
      <c r="O81">
        <v>53222558.558558561</v>
      </c>
      <c r="P81">
        <v>59622126.126126125</v>
      </c>
      <c r="Q81">
        <v>25745495.495495506</v>
      </c>
      <c r="R81">
        <v>28141756.756756756</v>
      </c>
      <c r="S81">
        <v>5929</v>
      </c>
      <c r="T81">
        <v>6016</v>
      </c>
    </row>
    <row r="82" spans="1:20" x14ac:dyDescent="0.35">
      <c r="A82" s="7" t="s">
        <v>163</v>
      </c>
      <c r="B82" s="12" t="s">
        <v>77</v>
      </c>
      <c r="C82">
        <v>55476844.878783919</v>
      </c>
      <c r="D82">
        <v>57642867.217706852</v>
      </c>
      <c r="E82">
        <v>271171.17117117101</v>
      </c>
      <c r="F82">
        <v>200900.900900901</v>
      </c>
      <c r="G82">
        <v>11</v>
      </c>
      <c r="H82">
        <v>10</v>
      </c>
      <c r="K82">
        <v>12</v>
      </c>
      <c r="L82">
        <v>13</v>
      </c>
      <c r="M82">
        <v>1054954.954954955</v>
      </c>
      <c r="N82">
        <v>894594.59459459397</v>
      </c>
      <c r="O82">
        <v>2578783.7837837841</v>
      </c>
      <c r="P82">
        <v>3244612.612612613</v>
      </c>
      <c r="Q82">
        <v>942792.79279279301</v>
      </c>
      <c r="R82">
        <v>996756.75675675704</v>
      </c>
      <c r="S82">
        <v>920</v>
      </c>
      <c r="T82">
        <v>934</v>
      </c>
    </row>
    <row r="83" spans="1:20" x14ac:dyDescent="0.35">
      <c r="A83" s="7" t="s">
        <v>164</v>
      </c>
      <c r="B83" s="12" t="s">
        <v>53</v>
      </c>
      <c r="C83">
        <v>43099940.310683958</v>
      </c>
      <c r="D83">
        <v>40594693.529509559</v>
      </c>
      <c r="E83">
        <v>652252.25225225196</v>
      </c>
      <c r="F83">
        <v>734234.234234237</v>
      </c>
      <c r="G83">
        <v>11</v>
      </c>
      <c r="H83">
        <v>2</v>
      </c>
      <c r="K83">
        <v>12</v>
      </c>
      <c r="L83">
        <v>4</v>
      </c>
      <c r="M83">
        <v>814414.41441441397</v>
      </c>
      <c r="N83">
        <v>1337837.83783784</v>
      </c>
      <c r="O83">
        <v>20920414.414414417</v>
      </c>
      <c r="P83">
        <v>18965009.009009007</v>
      </c>
      <c r="Q83">
        <v>831081.08108108095</v>
      </c>
      <c r="R83">
        <v>1285315.315315315</v>
      </c>
      <c r="S83">
        <v>1703</v>
      </c>
      <c r="T83">
        <v>1244</v>
      </c>
    </row>
    <row r="84" spans="1:20" x14ac:dyDescent="0.35">
      <c r="A84" s="7" t="s">
        <v>165</v>
      </c>
      <c r="B84" s="12" t="s">
        <v>88</v>
      </c>
      <c r="C84">
        <v>21531946.785315607</v>
      </c>
      <c r="D84">
        <v>31309240.599867366</v>
      </c>
      <c r="E84">
        <v>27027.027027027001</v>
      </c>
      <c r="F84">
        <v>18018.018018018</v>
      </c>
      <c r="G84">
        <v>8</v>
      </c>
      <c r="H84">
        <v>10</v>
      </c>
      <c r="K84">
        <v>10</v>
      </c>
      <c r="L84">
        <v>10</v>
      </c>
      <c r="M84">
        <v>237837.837837837</v>
      </c>
      <c r="N84">
        <v>851351.35135135194</v>
      </c>
      <c r="O84">
        <v>1975540.5405405411</v>
      </c>
      <c r="P84">
        <v>4960765.7657657657</v>
      </c>
      <c r="Q84">
        <v>258918.918918918</v>
      </c>
      <c r="R84">
        <v>883783.78378378402</v>
      </c>
      <c r="S84">
        <v>1118</v>
      </c>
      <c r="T84">
        <v>1251</v>
      </c>
    </row>
    <row r="85" spans="1:20" x14ac:dyDescent="0.35">
      <c r="A85" s="7" t="s">
        <v>166</v>
      </c>
      <c r="B85" s="12" t="s">
        <v>144</v>
      </c>
      <c r="C85">
        <v>7928115.5826565167</v>
      </c>
      <c r="D85">
        <v>7327512.7272581803</v>
      </c>
      <c r="E85">
        <v>54054.054054054002</v>
      </c>
      <c r="F85">
        <v>283783.78378378402</v>
      </c>
      <c r="G85">
        <v>5</v>
      </c>
      <c r="K85">
        <v>5</v>
      </c>
      <c r="M85">
        <v>54054.054054054002</v>
      </c>
      <c r="N85">
        <v>734234.23423423502</v>
      </c>
      <c r="O85">
        <v>816549.54954955005</v>
      </c>
      <c r="P85">
        <v>841396.39639639598</v>
      </c>
      <c r="Q85">
        <v>52972.972972973002</v>
      </c>
      <c r="R85">
        <v>814594.59459459502</v>
      </c>
      <c r="S85">
        <v>326</v>
      </c>
      <c r="T85">
        <v>339</v>
      </c>
    </row>
    <row r="86" spans="1:20" x14ac:dyDescent="0.35">
      <c r="A86" s="7" t="s">
        <v>167</v>
      </c>
      <c r="B86" s="12" t="s">
        <v>168</v>
      </c>
      <c r="C86">
        <v>31162513.25110643</v>
      </c>
      <c r="D86">
        <v>28696359.231145315</v>
      </c>
      <c r="E86">
        <v>6166666.666666667</v>
      </c>
      <c r="F86">
        <v>57567567.567567565</v>
      </c>
      <c r="G86">
        <v>7</v>
      </c>
      <c r="H86">
        <v>2</v>
      </c>
      <c r="K86">
        <v>7</v>
      </c>
      <c r="L86">
        <v>2</v>
      </c>
      <c r="M86">
        <v>3384234.2342342348</v>
      </c>
      <c r="N86">
        <v>1786486.4864864859</v>
      </c>
      <c r="O86">
        <v>14534781.981981982</v>
      </c>
      <c r="P86">
        <v>14976531.531531531</v>
      </c>
      <c r="Q86">
        <v>2577837.8378378381</v>
      </c>
      <c r="R86">
        <v>1555765.7657657659</v>
      </c>
      <c r="S86">
        <v>1369</v>
      </c>
      <c r="T86">
        <v>1361</v>
      </c>
    </row>
    <row r="87" spans="1:20" x14ac:dyDescent="0.35">
      <c r="A87" s="7" t="s">
        <v>169</v>
      </c>
      <c r="B87" s="12" t="s">
        <v>170</v>
      </c>
      <c r="C87">
        <v>137557205.8959122</v>
      </c>
      <c r="D87">
        <v>153871872.31908822</v>
      </c>
      <c r="E87">
        <v>1182882.882882884</v>
      </c>
      <c r="F87">
        <v>1157657.6576576601</v>
      </c>
      <c r="G87">
        <v>24</v>
      </c>
      <c r="H87">
        <v>15</v>
      </c>
      <c r="K87">
        <v>30</v>
      </c>
      <c r="L87">
        <v>19</v>
      </c>
      <c r="M87">
        <v>24417366.666666664</v>
      </c>
      <c r="N87">
        <v>31887387.387387387</v>
      </c>
      <c r="O87">
        <v>43240146.396396391</v>
      </c>
      <c r="P87">
        <v>49966639.639639638</v>
      </c>
      <c r="Q87">
        <v>23818648.648648649</v>
      </c>
      <c r="R87">
        <v>29096936.936936937</v>
      </c>
      <c r="S87">
        <v>6692</v>
      </c>
      <c r="T87">
        <v>6631</v>
      </c>
    </row>
    <row r="88" spans="1:20" x14ac:dyDescent="0.35">
      <c r="A88" s="7" t="s">
        <v>171</v>
      </c>
      <c r="B88" s="12" t="s">
        <v>55</v>
      </c>
      <c r="C88">
        <v>21134182.945787393</v>
      </c>
      <c r="D88">
        <v>26280583.42161056</v>
      </c>
      <c r="E88">
        <v>338738.73873873899</v>
      </c>
      <c r="F88">
        <v>86486.486486485999</v>
      </c>
      <c r="G88">
        <v>1</v>
      </c>
      <c r="H88">
        <v>3</v>
      </c>
      <c r="K88">
        <v>1</v>
      </c>
      <c r="L88">
        <v>3</v>
      </c>
      <c r="M88">
        <v>1690090.0900900911</v>
      </c>
      <c r="N88">
        <v>3726126.1261261259</v>
      </c>
      <c r="O88">
        <v>3242882.8828828828</v>
      </c>
      <c r="P88">
        <v>3959684.684684685</v>
      </c>
      <c r="Q88">
        <v>2134864.8648648649</v>
      </c>
      <c r="R88">
        <v>3286846.8468468469</v>
      </c>
      <c r="S88">
        <v>695</v>
      </c>
      <c r="T88">
        <v>750</v>
      </c>
    </row>
    <row r="89" spans="1:20" x14ac:dyDescent="0.35">
      <c r="A89" s="7" t="s">
        <v>172</v>
      </c>
      <c r="B89" s="12" t="s">
        <v>61</v>
      </c>
      <c r="C89">
        <v>440438601.33681417</v>
      </c>
      <c r="D89">
        <v>447806728.88423419</v>
      </c>
      <c r="E89">
        <v>5497297.2972972989</v>
      </c>
      <c r="F89">
        <v>3736036.0360360388</v>
      </c>
      <c r="G89">
        <v>102</v>
      </c>
      <c r="H89">
        <v>20</v>
      </c>
      <c r="K89">
        <v>122</v>
      </c>
      <c r="L89">
        <v>29</v>
      </c>
      <c r="M89">
        <v>22691891.891891893</v>
      </c>
      <c r="N89">
        <v>27686486.486486487</v>
      </c>
      <c r="O89">
        <v>162807333.33333334</v>
      </c>
      <c r="P89">
        <v>162609135.13513514</v>
      </c>
      <c r="Q89">
        <v>22285855.855855856</v>
      </c>
      <c r="R89">
        <v>23772522.522522524</v>
      </c>
      <c r="S89">
        <v>11903</v>
      </c>
      <c r="T89">
        <v>12190</v>
      </c>
    </row>
    <row r="90" spans="1:20" x14ac:dyDescent="0.35">
      <c r="A90" s="7" t="s">
        <v>173</v>
      </c>
      <c r="B90" s="12" t="s">
        <v>122</v>
      </c>
      <c r="C90">
        <v>183851245.03601137</v>
      </c>
      <c r="D90">
        <v>177168846.84999314</v>
      </c>
      <c r="E90">
        <v>1354054.0540540561</v>
      </c>
      <c r="F90">
        <v>801801.80180180201</v>
      </c>
      <c r="G90">
        <v>75</v>
      </c>
      <c r="H90">
        <v>53</v>
      </c>
      <c r="K90">
        <v>84</v>
      </c>
      <c r="L90">
        <v>62</v>
      </c>
      <c r="M90">
        <v>11459459.459459459</v>
      </c>
      <c r="N90">
        <v>10936936.936936935</v>
      </c>
      <c r="O90">
        <v>25013659.909909911</v>
      </c>
      <c r="P90">
        <v>28696027.027027026</v>
      </c>
      <c r="Q90">
        <v>7316126.1261261282</v>
      </c>
      <c r="R90">
        <v>7905405.405405404</v>
      </c>
      <c r="S90">
        <v>5658</v>
      </c>
      <c r="T90">
        <v>5659</v>
      </c>
    </row>
    <row r="91" spans="1:20" x14ac:dyDescent="0.35">
      <c r="A91" s="7" t="s">
        <v>174</v>
      </c>
      <c r="B91" s="12" t="s">
        <v>175</v>
      </c>
      <c r="C91">
        <v>131227678.25963791</v>
      </c>
      <c r="D91">
        <v>139496575.5336771</v>
      </c>
      <c r="E91">
        <v>73329891.891891882</v>
      </c>
      <c r="F91">
        <v>85719651.351351365</v>
      </c>
      <c r="G91">
        <v>69</v>
      </c>
      <c r="H91">
        <v>18</v>
      </c>
      <c r="K91">
        <v>134</v>
      </c>
      <c r="L91">
        <v>29</v>
      </c>
      <c r="M91">
        <v>31595045.045045041</v>
      </c>
      <c r="N91">
        <v>26287069.369369373</v>
      </c>
      <c r="O91">
        <v>17250513.513513513</v>
      </c>
      <c r="P91">
        <v>18307279.27927928</v>
      </c>
      <c r="Q91">
        <v>16555045.045045044</v>
      </c>
      <c r="R91">
        <v>16497387.387387387</v>
      </c>
      <c r="S91">
        <v>4414</v>
      </c>
      <c r="T91">
        <v>4703</v>
      </c>
    </row>
    <row r="92" spans="1:20" x14ac:dyDescent="0.35">
      <c r="A92" s="7" t="s">
        <v>176</v>
      </c>
      <c r="B92" s="12" t="s">
        <v>175</v>
      </c>
      <c r="C92">
        <v>206212312.46971303</v>
      </c>
      <c r="D92">
        <v>220135604.63324305</v>
      </c>
      <c r="E92">
        <v>1312387.3873873891</v>
      </c>
      <c r="F92">
        <v>787387.38738739397</v>
      </c>
      <c r="G92">
        <v>79</v>
      </c>
      <c r="H92">
        <v>95</v>
      </c>
      <c r="I92">
        <v>1</v>
      </c>
      <c r="K92">
        <v>120</v>
      </c>
      <c r="L92">
        <v>117</v>
      </c>
      <c r="M92">
        <v>23753603.603603601</v>
      </c>
      <c r="N92">
        <v>25013063.063063059</v>
      </c>
      <c r="O92">
        <v>35299702.702702701</v>
      </c>
      <c r="P92">
        <v>35631558.558558561</v>
      </c>
      <c r="Q92">
        <v>20180180.180180181</v>
      </c>
      <c r="R92">
        <v>19389009.009009007</v>
      </c>
      <c r="S92">
        <v>8516</v>
      </c>
      <c r="T92">
        <v>8636</v>
      </c>
    </row>
    <row r="93" spans="1:20" x14ac:dyDescent="0.35">
      <c r="A93" s="7" t="s">
        <v>177</v>
      </c>
      <c r="B93" s="12" t="s">
        <v>175</v>
      </c>
      <c r="C93">
        <v>277860326.63026434</v>
      </c>
      <c r="D93">
        <v>291231835.86724436</v>
      </c>
      <c r="E93">
        <v>1261486.486486491</v>
      </c>
      <c r="F93">
        <v>510810.81081081199</v>
      </c>
      <c r="G93">
        <v>77</v>
      </c>
      <c r="H93">
        <v>139</v>
      </c>
      <c r="K93">
        <v>122</v>
      </c>
      <c r="L93">
        <v>179</v>
      </c>
      <c r="M93">
        <v>29833333.333333336</v>
      </c>
      <c r="N93">
        <v>31208108.108108103</v>
      </c>
      <c r="O93">
        <v>42077382.882882878</v>
      </c>
      <c r="P93">
        <v>47711963.963963971</v>
      </c>
      <c r="Q93">
        <v>23141891.891891889</v>
      </c>
      <c r="R93">
        <v>27183243.24324324</v>
      </c>
      <c r="S93">
        <v>12082</v>
      </c>
      <c r="T93">
        <v>12247</v>
      </c>
    </row>
    <row r="94" spans="1:20" x14ac:dyDescent="0.35">
      <c r="A94" s="7" t="s">
        <v>178</v>
      </c>
      <c r="B94" s="12" t="s">
        <v>179</v>
      </c>
      <c r="C94">
        <v>88617124.177208513</v>
      </c>
      <c r="D94">
        <v>87695767.370069116</v>
      </c>
      <c r="E94">
        <v>5315315.3153153164</v>
      </c>
      <c r="F94">
        <v>80500900.9009009</v>
      </c>
      <c r="G94">
        <v>7</v>
      </c>
      <c r="H94">
        <v>3</v>
      </c>
      <c r="K94">
        <v>10</v>
      </c>
      <c r="L94">
        <v>19</v>
      </c>
      <c r="M94">
        <v>12857207.207207207</v>
      </c>
      <c r="N94">
        <v>8690540.5405405387</v>
      </c>
      <c r="O94">
        <v>34313917.117117114</v>
      </c>
      <c r="P94">
        <v>34242162.162162162</v>
      </c>
      <c r="Q94">
        <v>8137837.8378378367</v>
      </c>
      <c r="R94">
        <v>6230720.7207207195</v>
      </c>
      <c r="S94">
        <v>3631</v>
      </c>
      <c r="T94">
        <v>3513</v>
      </c>
    </row>
    <row r="95" spans="1:20" x14ac:dyDescent="0.35">
      <c r="A95" s="7" t="s">
        <v>180</v>
      </c>
      <c r="B95" s="12" t="s">
        <v>168</v>
      </c>
      <c r="C95">
        <v>107872488.19690555</v>
      </c>
      <c r="D95">
        <v>125832217.87834403</v>
      </c>
      <c r="E95">
        <v>828603.60360360402</v>
      </c>
      <c r="F95">
        <v>1192342.3423423441</v>
      </c>
      <c r="G95">
        <v>20</v>
      </c>
      <c r="H95">
        <v>9</v>
      </c>
      <c r="K95">
        <v>30</v>
      </c>
      <c r="L95">
        <v>11</v>
      </c>
      <c r="M95">
        <v>2155855.8558558561</v>
      </c>
      <c r="N95">
        <v>4548198.1981982002</v>
      </c>
      <c r="O95">
        <v>27679936.936936937</v>
      </c>
      <c r="P95">
        <v>41700873.873873875</v>
      </c>
      <c r="Q95">
        <v>1087387.3873873879</v>
      </c>
      <c r="R95">
        <v>3849189.1891891891</v>
      </c>
      <c r="S95">
        <v>4341</v>
      </c>
      <c r="T95">
        <v>4520</v>
      </c>
    </row>
    <row r="96" spans="1:20" x14ac:dyDescent="0.35">
      <c r="A96" s="7" t="s">
        <v>181</v>
      </c>
      <c r="B96" s="12" t="s">
        <v>182</v>
      </c>
      <c r="C96">
        <v>88966188.213496834</v>
      </c>
      <c r="D96">
        <v>96991014.817309141</v>
      </c>
      <c r="E96">
        <v>283783.78378378501</v>
      </c>
      <c r="F96">
        <v>973873.87387387501</v>
      </c>
      <c r="G96">
        <v>17</v>
      </c>
      <c r="H96">
        <v>17</v>
      </c>
      <c r="K96">
        <v>18</v>
      </c>
      <c r="L96">
        <v>21</v>
      </c>
      <c r="M96">
        <v>3995495.4954954949</v>
      </c>
      <c r="N96">
        <v>12147297.297297295</v>
      </c>
      <c r="O96">
        <v>22620353.603603605</v>
      </c>
      <c r="P96">
        <v>22450693.693693697</v>
      </c>
      <c r="Q96">
        <v>6771981.9819819834</v>
      </c>
      <c r="R96">
        <v>11118468.468468467</v>
      </c>
      <c r="S96">
        <v>2930</v>
      </c>
      <c r="T96">
        <v>3146</v>
      </c>
    </row>
    <row r="97" spans="1:20" x14ac:dyDescent="0.35">
      <c r="A97" s="7" t="s">
        <v>183</v>
      </c>
      <c r="B97" s="12" t="s">
        <v>69</v>
      </c>
      <c r="E97">
        <v>83338659.459459454</v>
      </c>
      <c r="F97">
        <v>60704308.108108111</v>
      </c>
      <c r="M97">
        <v>1544594.594594595</v>
      </c>
      <c r="N97">
        <v>27034684.684684683</v>
      </c>
      <c r="S97">
        <v>61</v>
      </c>
      <c r="T97">
        <v>1</v>
      </c>
    </row>
    <row r="98" spans="1:20" x14ac:dyDescent="0.35">
      <c r="A98" s="7" t="s">
        <v>184</v>
      </c>
      <c r="B98" s="12" t="s">
        <v>95</v>
      </c>
      <c r="C98">
        <v>91177119.407144427</v>
      </c>
      <c r="D98">
        <v>101751302.93508992</v>
      </c>
      <c r="E98">
        <v>35396396.396396399</v>
      </c>
      <c r="F98">
        <v>13603603.603603603</v>
      </c>
      <c r="G98">
        <v>26</v>
      </c>
      <c r="H98">
        <v>14</v>
      </c>
      <c r="I98">
        <v>1</v>
      </c>
      <c r="K98">
        <v>32</v>
      </c>
      <c r="L98">
        <v>22</v>
      </c>
      <c r="M98">
        <v>8673423.4234234225</v>
      </c>
      <c r="N98">
        <v>4422972.9729729732</v>
      </c>
      <c r="O98">
        <v>10077063.063063063</v>
      </c>
      <c r="P98">
        <v>15121243.243243244</v>
      </c>
      <c r="Q98">
        <v>1081711.711711711</v>
      </c>
      <c r="R98">
        <v>452252.25225225301</v>
      </c>
      <c r="S98">
        <v>3560</v>
      </c>
      <c r="T98">
        <v>3839</v>
      </c>
    </row>
    <row r="99" spans="1:20" x14ac:dyDescent="0.35">
      <c r="A99" s="7" t="s">
        <v>185</v>
      </c>
      <c r="B99" s="12" t="s">
        <v>95</v>
      </c>
      <c r="C99">
        <v>543530694.57297385</v>
      </c>
      <c r="D99">
        <v>610087997.7036767</v>
      </c>
      <c r="E99">
        <v>959504710.81081092</v>
      </c>
      <c r="F99">
        <v>156945360.36036035</v>
      </c>
      <c r="G99">
        <v>111</v>
      </c>
      <c r="H99">
        <v>149</v>
      </c>
      <c r="K99">
        <v>143</v>
      </c>
      <c r="L99">
        <v>245</v>
      </c>
      <c r="M99">
        <v>36660810.810810804</v>
      </c>
      <c r="N99">
        <v>40169369.369369365</v>
      </c>
      <c r="O99">
        <v>65918754.504504502</v>
      </c>
      <c r="P99">
        <v>92985594.594594598</v>
      </c>
      <c r="Q99">
        <v>32174774.774774775</v>
      </c>
      <c r="R99">
        <v>31893243.243243244</v>
      </c>
      <c r="S99">
        <v>15998</v>
      </c>
      <c r="T99">
        <v>18168</v>
      </c>
    </row>
    <row r="100" spans="1:20" x14ac:dyDescent="0.35">
      <c r="A100" s="7" t="s">
        <v>186</v>
      </c>
      <c r="B100" s="12" t="s">
        <v>90</v>
      </c>
      <c r="C100">
        <v>48328321.643406615</v>
      </c>
      <c r="D100">
        <v>43023668.173271514</v>
      </c>
      <c r="E100">
        <v>339414.41441441601</v>
      </c>
      <c r="F100">
        <v>890990.99099099298</v>
      </c>
      <c r="G100">
        <v>11</v>
      </c>
      <c r="H100">
        <v>4</v>
      </c>
      <c r="K100">
        <v>11</v>
      </c>
      <c r="L100">
        <v>4</v>
      </c>
      <c r="M100">
        <v>1773873.8738738741</v>
      </c>
      <c r="N100">
        <v>2862522.5225225212</v>
      </c>
      <c r="O100">
        <v>16179666.666666668</v>
      </c>
      <c r="P100">
        <v>17163765.765765768</v>
      </c>
      <c r="Q100">
        <v>1640720.7207207209</v>
      </c>
      <c r="R100">
        <v>2753963.9639639659</v>
      </c>
      <c r="S100">
        <v>1633</v>
      </c>
      <c r="T100">
        <v>1291</v>
      </c>
    </row>
    <row r="101" spans="1:20" x14ac:dyDescent="0.35">
      <c r="A101" s="7" t="s">
        <v>187</v>
      </c>
      <c r="B101" s="12" t="s">
        <v>61</v>
      </c>
      <c r="C101">
        <v>28791648.182551887</v>
      </c>
      <c r="D101">
        <v>33100905.630486459</v>
      </c>
      <c r="E101">
        <v>221621.621621623</v>
      </c>
      <c r="F101">
        <v>175675.67567567699</v>
      </c>
      <c r="G101">
        <v>9</v>
      </c>
      <c r="H101">
        <v>5</v>
      </c>
      <c r="K101">
        <v>9</v>
      </c>
      <c r="L101">
        <v>5</v>
      </c>
      <c r="M101">
        <v>897297.29729729902</v>
      </c>
      <c r="N101">
        <v>527027.02702702803</v>
      </c>
      <c r="O101">
        <v>9985200.4504504502</v>
      </c>
      <c r="P101">
        <v>11188639.63963964</v>
      </c>
      <c r="Q101">
        <v>508108.10810810898</v>
      </c>
      <c r="R101">
        <v>1243693.693693694</v>
      </c>
      <c r="S101">
        <v>775</v>
      </c>
      <c r="T101">
        <v>809</v>
      </c>
    </row>
    <row r="102" spans="1:20" x14ac:dyDescent="0.35">
      <c r="A102" s="7" t="s">
        <v>188</v>
      </c>
      <c r="B102" s="12" t="s">
        <v>168</v>
      </c>
      <c r="C102">
        <v>71919749.870352462</v>
      </c>
      <c r="D102">
        <v>70351505.750489041</v>
      </c>
      <c r="E102">
        <v>256531.531531532</v>
      </c>
      <c r="F102">
        <v>130630.630630631</v>
      </c>
      <c r="G102">
        <v>1</v>
      </c>
      <c r="H102">
        <v>2</v>
      </c>
      <c r="K102">
        <v>3</v>
      </c>
      <c r="L102">
        <v>4</v>
      </c>
      <c r="M102">
        <v>297297.29729729798</v>
      </c>
      <c r="N102">
        <v>157657.65765765801</v>
      </c>
      <c r="O102">
        <v>18730747.747747749</v>
      </c>
      <c r="P102">
        <v>20876322.522522524</v>
      </c>
      <c r="R102">
        <v>1549009.009009009</v>
      </c>
      <c r="S102">
        <v>2823</v>
      </c>
      <c r="T102">
        <v>2923</v>
      </c>
    </row>
    <row r="103" spans="1:20" x14ac:dyDescent="0.35">
      <c r="A103" s="7" t="s">
        <v>189</v>
      </c>
      <c r="B103" s="12" t="s">
        <v>168</v>
      </c>
      <c r="C103">
        <v>190563381.28914958</v>
      </c>
      <c r="D103">
        <v>211543535.22112504</v>
      </c>
      <c r="E103">
        <v>27927.927927928999</v>
      </c>
      <c r="F103">
        <v>261261.261261262</v>
      </c>
      <c r="G103">
        <v>16</v>
      </c>
      <c r="H103">
        <v>7</v>
      </c>
      <c r="K103">
        <v>17</v>
      </c>
      <c r="L103">
        <v>10</v>
      </c>
      <c r="M103">
        <v>7026608.1081081117</v>
      </c>
      <c r="N103">
        <v>8017117.117117119</v>
      </c>
      <c r="O103">
        <v>39107036.036036029</v>
      </c>
      <c r="P103">
        <v>50816682.882882878</v>
      </c>
      <c r="Q103">
        <v>5591981.9819819881</v>
      </c>
      <c r="R103">
        <v>7143513.5135135129</v>
      </c>
      <c r="S103">
        <v>5042</v>
      </c>
      <c r="T103">
        <v>5641</v>
      </c>
    </row>
    <row r="104" spans="1:20" x14ac:dyDescent="0.35">
      <c r="A104" s="7" t="s">
        <v>190</v>
      </c>
      <c r="B104" s="12" t="s">
        <v>191</v>
      </c>
      <c r="C104">
        <v>84774394.73316744</v>
      </c>
      <c r="D104">
        <v>91204227.895998508</v>
      </c>
      <c r="E104">
        <v>270270.27027027</v>
      </c>
      <c r="F104">
        <v>270270.27027027</v>
      </c>
      <c r="G104">
        <v>18</v>
      </c>
      <c r="H104">
        <v>28</v>
      </c>
      <c r="I104">
        <v>1</v>
      </c>
      <c r="K104">
        <v>19</v>
      </c>
      <c r="L104">
        <v>29</v>
      </c>
      <c r="M104">
        <v>1171171.1711711709</v>
      </c>
      <c r="N104">
        <v>1621621.621621622</v>
      </c>
      <c r="O104">
        <v>5907477.4774774779</v>
      </c>
      <c r="P104">
        <v>7437459.4594594603</v>
      </c>
      <c r="Q104">
        <v>1069819.8198198201</v>
      </c>
      <c r="R104">
        <v>1274774.7747747749</v>
      </c>
      <c r="S104">
        <v>1685</v>
      </c>
      <c r="T104">
        <v>1723</v>
      </c>
    </row>
    <row r="105" spans="1:20" x14ac:dyDescent="0.35">
      <c r="A105" s="7" t="s">
        <v>192</v>
      </c>
      <c r="B105" s="12" t="s">
        <v>135</v>
      </c>
      <c r="C105">
        <v>20541999.692575514</v>
      </c>
      <c r="D105">
        <v>17907414.344433978</v>
      </c>
      <c r="E105">
        <v>13513.513513514001</v>
      </c>
      <c r="G105">
        <v>11</v>
      </c>
      <c r="H105">
        <v>12</v>
      </c>
      <c r="K105">
        <v>14</v>
      </c>
      <c r="L105">
        <v>22</v>
      </c>
      <c r="M105">
        <v>13513.513513514001</v>
      </c>
      <c r="O105">
        <v>1738063.063063063</v>
      </c>
      <c r="P105">
        <v>1399090.0900900899</v>
      </c>
      <c r="Q105">
        <v>121621.62162162201</v>
      </c>
      <c r="S105">
        <v>919</v>
      </c>
      <c r="T105">
        <v>951</v>
      </c>
    </row>
    <row r="106" spans="1:20" x14ac:dyDescent="0.35">
      <c r="A106" s="7" t="s">
        <v>193</v>
      </c>
      <c r="B106" s="12" t="s">
        <v>61</v>
      </c>
      <c r="C106">
        <v>120717039.54697198</v>
      </c>
      <c r="D106">
        <v>124755918.59763521</v>
      </c>
      <c r="E106">
        <v>1135810.81081081</v>
      </c>
      <c r="F106">
        <v>919819.81981982</v>
      </c>
      <c r="G106">
        <v>12</v>
      </c>
      <c r="H106">
        <v>10</v>
      </c>
      <c r="K106">
        <v>37</v>
      </c>
      <c r="L106">
        <v>33</v>
      </c>
      <c r="M106">
        <v>11127027.027027028</v>
      </c>
      <c r="N106">
        <v>14118018.018018017</v>
      </c>
      <c r="O106">
        <v>39183171.171171166</v>
      </c>
      <c r="P106">
        <v>43501603.603603601</v>
      </c>
      <c r="Q106">
        <v>9893963.9639639631</v>
      </c>
      <c r="R106">
        <v>13034684.684684685</v>
      </c>
      <c r="S106">
        <v>3435</v>
      </c>
      <c r="T106">
        <v>3865</v>
      </c>
    </row>
    <row r="107" spans="1:20" x14ac:dyDescent="0.35">
      <c r="A107" s="7" t="s">
        <v>194</v>
      </c>
      <c r="B107" s="12" t="s">
        <v>61</v>
      </c>
      <c r="C107">
        <v>207891738.94010884</v>
      </c>
      <c r="D107">
        <v>223852644.42973307</v>
      </c>
      <c r="E107">
        <v>1443243.2432432431</v>
      </c>
      <c r="F107">
        <v>1306306.306306307</v>
      </c>
      <c r="G107">
        <v>16</v>
      </c>
      <c r="H107">
        <v>24</v>
      </c>
      <c r="I107">
        <v>1</v>
      </c>
      <c r="K107">
        <v>24</v>
      </c>
      <c r="L107">
        <v>30</v>
      </c>
      <c r="M107">
        <v>13713513.513513513</v>
      </c>
      <c r="N107">
        <v>15657657.657657657</v>
      </c>
      <c r="O107">
        <v>52200351.351351351</v>
      </c>
      <c r="P107">
        <v>55961763.963963971</v>
      </c>
      <c r="Q107">
        <v>11058558.558558563</v>
      </c>
      <c r="R107">
        <v>15349232.432432432</v>
      </c>
      <c r="S107">
        <v>6644</v>
      </c>
      <c r="T107">
        <v>6595</v>
      </c>
    </row>
    <row r="108" spans="1:20" x14ac:dyDescent="0.35">
      <c r="A108" s="7" t="s">
        <v>2</v>
      </c>
      <c r="B108" s="12" t="s">
        <v>195</v>
      </c>
      <c r="C108">
        <v>19523999.849815324</v>
      </c>
      <c r="D108">
        <v>8173457.9071941637</v>
      </c>
      <c r="E108">
        <v>22653153.153153155</v>
      </c>
      <c r="F108">
        <v>62657657.657657653</v>
      </c>
      <c r="G108">
        <v>3</v>
      </c>
      <c r="K108">
        <v>3</v>
      </c>
      <c r="M108">
        <v>1621846.846846848</v>
      </c>
      <c r="N108">
        <v>308108.10810810799</v>
      </c>
      <c r="O108">
        <v>11659369.369369367</v>
      </c>
      <c r="P108">
        <v>5276117.1171171172</v>
      </c>
      <c r="Q108">
        <v>157657.65765765801</v>
      </c>
      <c r="R108">
        <v>212162.16216216201</v>
      </c>
      <c r="S108">
        <v>1223</v>
      </c>
      <c r="T108">
        <v>999</v>
      </c>
    </row>
    <row r="109" spans="1:20" x14ac:dyDescent="0.35">
      <c r="A109" s="7" t="s">
        <v>196</v>
      </c>
      <c r="B109" s="12" t="s">
        <v>197</v>
      </c>
      <c r="C109">
        <v>747718366.50408387</v>
      </c>
      <c r="D109">
        <v>792625030.48737025</v>
      </c>
      <c r="E109">
        <v>2259234.2342342362</v>
      </c>
      <c r="F109">
        <v>1731531.531531536</v>
      </c>
      <c r="G109">
        <v>168</v>
      </c>
      <c r="H109">
        <v>56</v>
      </c>
      <c r="I109">
        <v>2</v>
      </c>
      <c r="K109">
        <v>199</v>
      </c>
      <c r="L109">
        <v>95</v>
      </c>
      <c r="M109">
        <v>34793693.69369369</v>
      </c>
      <c r="N109">
        <v>32344144.144144144</v>
      </c>
      <c r="O109">
        <v>143389945.94594595</v>
      </c>
      <c r="P109">
        <v>158066918.91891891</v>
      </c>
      <c r="Q109">
        <v>34933063.063063063</v>
      </c>
      <c r="R109">
        <v>27346756.756756753</v>
      </c>
      <c r="S109">
        <v>18239</v>
      </c>
      <c r="T109">
        <v>18155</v>
      </c>
    </row>
    <row r="110" spans="1:20" x14ac:dyDescent="0.35">
      <c r="A110" s="7" t="s">
        <v>198</v>
      </c>
      <c r="B110" s="12" t="s">
        <v>81</v>
      </c>
      <c r="C110">
        <v>227249499.61838344</v>
      </c>
      <c r="D110">
        <v>226268793.03071901</v>
      </c>
      <c r="E110">
        <v>1224324.324324324</v>
      </c>
      <c r="F110">
        <v>1589189.1891891919</v>
      </c>
      <c r="G110">
        <v>54</v>
      </c>
      <c r="H110">
        <v>33</v>
      </c>
      <c r="K110">
        <v>61</v>
      </c>
      <c r="L110">
        <v>54</v>
      </c>
      <c r="M110">
        <v>33251351.351351351</v>
      </c>
      <c r="N110">
        <v>30758558.558558561</v>
      </c>
      <c r="O110">
        <v>62670144.144144148</v>
      </c>
      <c r="P110">
        <v>61192711.711711712</v>
      </c>
      <c r="Q110">
        <v>32051351.351351351</v>
      </c>
      <c r="R110">
        <v>32528828.828828827</v>
      </c>
      <c r="S110">
        <v>6708</v>
      </c>
      <c r="T110">
        <v>8830</v>
      </c>
    </row>
    <row r="111" spans="1:20" x14ac:dyDescent="0.35">
      <c r="A111" s="7" t="s">
        <v>199</v>
      </c>
      <c r="B111" s="12" t="s">
        <v>109</v>
      </c>
      <c r="C111">
        <v>181433383.96715498</v>
      </c>
      <c r="D111">
        <v>185514086.90689638</v>
      </c>
      <c r="E111">
        <v>1609009.0090090081</v>
      </c>
      <c r="F111">
        <v>1635135.1351351349</v>
      </c>
      <c r="G111">
        <v>57</v>
      </c>
      <c r="H111">
        <v>32</v>
      </c>
      <c r="I111">
        <v>1</v>
      </c>
      <c r="K111">
        <v>69</v>
      </c>
      <c r="L111">
        <v>38</v>
      </c>
      <c r="M111">
        <v>11042342.342342338</v>
      </c>
      <c r="N111">
        <v>13570270.270270268</v>
      </c>
      <c r="O111">
        <v>55920828.828828834</v>
      </c>
      <c r="P111">
        <v>56337063.063063063</v>
      </c>
      <c r="Q111">
        <v>9494144.1441441439</v>
      </c>
      <c r="R111">
        <v>13350000</v>
      </c>
      <c r="S111">
        <v>7809</v>
      </c>
      <c r="T111">
        <v>7329</v>
      </c>
    </row>
    <row r="112" spans="1:20" x14ac:dyDescent="0.35">
      <c r="A112" s="7" t="s">
        <v>200</v>
      </c>
      <c r="B112" s="12" t="s">
        <v>93</v>
      </c>
      <c r="C112">
        <v>96221241.119083762</v>
      </c>
      <c r="D112">
        <v>103419962.52944431</v>
      </c>
      <c r="E112">
        <v>3548648.6486486509</v>
      </c>
      <c r="F112">
        <v>1929729.7297297299</v>
      </c>
      <c r="G112">
        <v>129</v>
      </c>
      <c r="H112">
        <v>13</v>
      </c>
      <c r="K112">
        <v>231</v>
      </c>
      <c r="L112">
        <v>16</v>
      </c>
      <c r="M112">
        <v>26039189.189189192</v>
      </c>
      <c r="N112">
        <v>14995045.045045044</v>
      </c>
      <c r="O112">
        <v>26381576.576576576</v>
      </c>
      <c r="P112">
        <v>26844198.198198199</v>
      </c>
      <c r="Q112">
        <v>25319009.009009007</v>
      </c>
      <c r="R112">
        <v>15316756.756756756</v>
      </c>
      <c r="S112">
        <v>2769</v>
      </c>
      <c r="T112">
        <v>2868</v>
      </c>
    </row>
    <row r="113" spans="1:20" x14ac:dyDescent="0.35">
      <c r="A113" s="7" t="s">
        <v>201</v>
      </c>
      <c r="B113" s="12" t="s">
        <v>124</v>
      </c>
      <c r="C113">
        <v>85764065.422744423</v>
      </c>
      <c r="D113">
        <v>72460997.216647089</v>
      </c>
      <c r="E113">
        <v>54054.054054054999</v>
      </c>
      <c r="F113">
        <v>1291891.8918918921</v>
      </c>
      <c r="G113">
        <v>12</v>
      </c>
      <c r="H113">
        <v>13</v>
      </c>
      <c r="K113">
        <v>13</v>
      </c>
      <c r="L113">
        <v>16</v>
      </c>
      <c r="M113">
        <v>2281261.2612612611</v>
      </c>
      <c r="N113">
        <v>3967567.5675675669</v>
      </c>
      <c r="O113">
        <v>14495972.972972972</v>
      </c>
      <c r="P113">
        <v>18042207.207207207</v>
      </c>
      <c r="Q113">
        <v>2796846.8468468469</v>
      </c>
      <c r="R113">
        <v>3190810.81081081</v>
      </c>
      <c r="S113">
        <v>2474</v>
      </c>
      <c r="T113">
        <v>2637</v>
      </c>
    </row>
    <row r="114" spans="1:20" x14ac:dyDescent="0.35">
      <c r="A114" s="7" t="s">
        <v>202</v>
      </c>
      <c r="B114" s="12" t="s">
        <v>61</v>
      </c>
      <c r="C114">
        <v>62230029.939353473</v>
      </c>
      <c r="D114">
        <v>68479199.591961116</v>
      </c>
      <c r="E114">
        <v>466666.66666666802</v>
      </c>
      <c r="F114">
        <v>472522.52252252598</v>
      </c>
      <c r="G114">
        <v>14</v>
      </c>
      <c r="H114">
        <v>6</v>
      </c>
      <c r="I114">
        <v>1</v>
      </c>
      <c r="K114">
        <v>15</v>
      </c>
      <c r="L114">
        <v>13</v>
      </c>
      <c r="M114">
        <v>9349549.5495495498</v>
      </c>
      <c r="N114">
        <v>8986036.0360360369</v>
      </c>
      <c r="O114">
        <v>11425148.648648648</v>
      </c>
      <c r="P114">
        <v>12439918.918918921</v>
      </c>
      <c r="Q114">
        <v>4746936.9369369373</v>
      </c>
      <c r="R114">
        <v>4567297.297297298</v>
      </c>
      <c r="S114">
        <v>3672</v>
      </c>
      <c r="T114">
        <v>4214</v>
      </c>
    </row>
    <row r="115" spans="1:20" x14ac:dyDescent="0.35">
      <c r="A115" s="7" t="s">
        <v>203</v>
      </c>
      <c r="B115" s="12" t="s">
        <v>61</v>
      </c>
      <c r="C115">
        <v>21015064.052914817</v>
      </c>
      <c r="D115">
        <v>21907844.143851995</v>
      </c>
      <c r="E115">
        <v>5405.4054054050002</v>
      </c>
      <c r="F115">
        <v>90090.090090091006</v>
      </c>
      <c r="G115">
        <v>7</v>
      </c>
      <c r="H115">
        <v>5</v>
      </c>
      <c r="K115">
        <v>8</v>
      </c>
      <c r="L115">
        <v>6</v>
      </c>
      <c r="M115">
        <v>1527927.9279279271</v>
      </c>
      <c r="N115">
        <v>1270270.2702702701</v>
      </c>
      <c r="O115">
        <v>4277279.2792792805</v>
      </c>
      <c r="P115">
        <v>5111864.8648648653</v>
      </c>
      <c r="Q115">
        <v>443243.24324324302</v>
      </c>
      <c r="R115">
        <v>420720.720720721</v>
      </c>
      <c r="S115">
        <v>1134</v>
      </c>
      <c r="T115">
        <v>1097</v>
      </c>
    </row>
    <row r="116" spans="1:20" x14ac:dyDescent="0.35">
      <c r="A116" s="7" t="s">
        <v>204</v>
      </c>
      <c r="B116" s="12" t="s">
        <v>122</v>
      </c>
      <c r="C116">
        <v>42091881.609526947</v>
      </c>
      <c r="D116">
        <v>40294757.563010328</v>
      </c>
      <c r="E116">
        <v>193693.69369369399</v>
      </c>
      <c r="F116">
        <v>324324.32432432502</v>
      </c>
      <c r="G116">
        <v>26</v>
      </c>
      <c r="H116">
        <v>8</v>
      </c>
      <c r="K116">
        <v>31</v>
      </c>
      <c r="L116">
        <v>9</v>
      </c>
      <c r="M116">
        <v>198198.19819819901</v>
      </c>
      <c r="N116">
        <v>504504.50450450502</v>
      </c>
      <c r="O116">
        <v>4229171.1711711707</v>
      </c>
      <c r="P116">
        <v>3855810.8108108109</v>
      </c>
      <c r="R116">
        <v>247747.74774774801</v>
      </c>
      <c r="S116">
        <v>1381</v>
      </c>
      <c r="T116">
        <v>1392</v>
      </c>
    </row>
    <row r="117" spans="1:20" x14ac:dyDescent="0.35">
      <c r="A117" s="7" t="s">
        <v>205</v>
      </c>
      <c r="B117" s="12" t="s">
        <v>55</v>
      </c>
      <c r="C117">
        <v>65526012.308030009</v>
      </c>
      <c r="D117">
        <v>73424595.296924949</v>
      </c>
      <c r="E117">
        <v>260360.360360361</v>
      </c>
      <c r="F117">
        <v>446846.84684684698</v>
      </c>
      <c r="G117">
        <v>12</v>
      </c>
      <c r="H117">
        <v>9</v>
      </c>
      <c r="K117">
        <v>13</v>
      </c>
      <c r="L117">
        <v>11</v>
      </c>
      <c r="M117">
        <v>3291891.8918918921</v>
      </c>
      <c r="N117">
        <v>4924324.3243243257</v>
      </c>
      <c r="O117">
        <v>17100855.855855856</v>
      </c>
      <c r="P117">
        <v>19786000</v>
      </c>
      <c r="Q117">
        <v>3524414.4144144128</v>
      </c>
      <c r="R117">
        <v>4160720.72072072</v>
      </c>
      <c r="S117">
        <v>3856</v>
      </c>
      <c r="T117">
        <v>3767</v>
      </c>
    </row>
    <row r="118" spans="1:20" x14ac:dyDescent="0.35">
      <c r="A118" s="7" t="s">
        <v>206</v>
      </c>
      <c r="B118" s="12" t="s">
        <v>137</v>
      </c>
      <c r="C118">
        <v>234776726.98268247</v>
      </c>
      <c r="D118">
        <v>246677429.41595662</v>
      </c>
      <c r="E118">
        <v>253153.15315315401</v>
      </c>
      <c r="F118">
        <v>597297.29729729705</v>
      </c>
      <c r="G118">
        <v>26</v>
      </c>
      <c r="H118">
        <v>34</v>
      </c>
      <c r="I118">
        <v>2</v>
      </c>
      <c r="K118">
        <v>30</v>
      </c>
      <c r="L118">
        <v>37</v>
      </c>
      <c r="M118">
        <v>19559459.459459458</v>
      </c>
      <c r="N118">
        <v>17101801.801801801</v>
      </c>
      <c r="O118">
        <v>42979279.279279277</v>
      </c>
      <c r="P118">
        <v>47691531.531531528</v>
      </c>
      <c r="Q118">
        <v>16643243.243243244</v>
      </c>
      <c r="R118">
        <v>16462972.972972972</v>
      </c>
      <c r="S118">
        <v>5881</v>
      </c>
      <c r="T118">
        <v>5735</v>
      </c>
    </row>
    <row r="119" spans="1:20" x14ac:dyDescent="0.35">
      <c r="A119" s="7" t="s">
        <v>207</v>
      </c>
      <c r="B119" s="12" t="s">
        <v>137</v>
      </c>
      <c r="C119">
        <v>123418871.6769525</v>
      </c>
      <c r="D119">
        <v>129200117.7173162</v>
      </c>
      <c r="E119">
        <v>339639.63963963999</v>
      </c>
      <c r="F119">
        <v>52252.252252252998</v>
      </c>
      <c r="G119">
        <v>17</v>
      </c>
      <c r="H119">
        <v>14</v>
      </c>
      <c r="K119">
        <v>22</v>
      </c>
      <c r="L119">
        <v>15</v>
      </c>
      <c r="M119">
        <v>4105405.405405404</v>
      </c>
      <c r="N119">
        <v>3385585.5855855839</v>
      </c>
      <c r="O119">
        <v>23603187.387387387</v>
      </c>
      <c r="P119">
        <v>27555684.684684683</v>
      </c>
      <c r="Q119">
        <v>2455855.8558558561</v>
      </c>
      <c r="R119">
        <v>1922882.8828828819</v>
      </c>
      <c r="S119">
        <v>3183</v>
      </c>
      <c r="T119">
        <v>3178</v>
      </c>
    </row>
    <row r="120" spans="1:20" x14ac:dyDescent="0.35">
      <c r="A120" s="7" t="s">
        <v>208</v>
      </c>
      <c r="B120" s="12" t="s">
        <v>170</v>
      </c>
      <c r="C120">
        <v>277370811.80821693</v>
      </c>
      <c r="D120">
        <v>297081654.06735212</v>
      </c>
      <c r="E120">
        <v>1270270.2702702719</v>
      </c>
      <c r="F120">
        <v>8786756.7567567583</v>
      </c>
      <c r="G120">
        <v>9</v>
      </c>
      <c r="H120">
        <v>12</v>
      </c>
      <c r="K120">
        <v>11</v>
      </c>
      <c r="L120">
        <v>13</v>
      </c>
      <c r="M120">
        <v>2092305247.7477479</v>
      </c>
      <c r="N120">
        <v>664492792.7927928</v>
      </c>
      <c r="O120">
        <v>129674252.25225225</v>
      </c>
      <c r="P120">
        <v>144380459.45945945</v>
      </c>
      <c r="Q120">
        <v>224551427.02702704</v>
      </c>
      <c r="R120">
        <v>21370000</v>
      </c>
      <c r="S120">
        <v>7851</v>
      </c>
      <c r="T120">
        <v>8197</v>
      </c>
    </row>
    <row r="121" spans="1:20" x14ac:dyDescent="0.35">
      <c r="A121" s="7" t="s">
        <v>209</v>
      </c>
      <c r="B121" s="12" t="s">
        <v>162</v>
      </c>
      <c r="C121">
        <v>312453700.82630986</v>
      </c>
      <c r="D121">
        <v>329124998.76864779</v>
      </c>
      <c r="E121">
        <v>31070270.270270281</v>
      </c>
      <c r="F121">
        <v>83819369.369369373</v>
      </c>
      <c r="G121">
        <v>220</v>
      </c>
      <c r="H121">
        <v>76</v>
      </c>
      <c r="K121">
        <v>336</v>
      </c>
      <c r="L121">
        <v>127</v>
      </c>
      <c r="M121">
        <v>33586216.216216221</v>
      </c>
      <c r="N121">
        <v>44015945.945945948</v>
      </c>
      <c r="O121">
        <v>90460885.135135129</v>
      </c>
      <c r="P121">
        <v>104107108.10810812</v>
      </c>
      <c r="Q121">
        <v>31127070.270270281</v>
      </c>
      <c r="R121">
        <v>38253870.270270273</v>
      </c>
      <c r="S121">
        <v>12086</v>
      </c>
      <c r="T121">
        <v>12294</v>
      </c>
    </row>
    <row r="122" spans="1:20" x14ac:dyDescent="0.35">
      <c r="A122" s="7" t="s">
        <v>210</v>
      </c>
      <c r="B122" s="12" t="s">
        <v>77</v>
      </c>
      <c r="C122">
        <v>9595970.7541965973</v>
      </c>
      <c r="D122">
        <v>10098248.370928377</v>
      </c>
      <c r="E122">
        <v>66013513.513513513</v>
      </c>
      <c r="F122">
        <v>52635135.135135137</v>
      </c>
      <c r="H122">
        <v>2</v>
      </c>
      <c r="L122">
        <v>2</v>
      </c>
      <c r="M122">
        <v>329729.72972973</v>
      </c>
      <c r="N122">
        <v>1027027.027027027</v>
      </c>
      <c r="O122">
        <v>767477.47747747798</v>
      </c>
      <c r="P122">
        <v>951306.30630630604</v>
      </c>
      <c r="S122">
        <v>518</v>
      </c>
      <c r="T122">
        <v>552</v>
      </c>
    </row>
    <row r="123" spans="1:20" x14ac:dyDescent="0.35">
      <c r="A123" s="7" t="s">
        <v>211</v>
      </c>
      <c r="B123" s="12" t="s">
        <v>77</v>
      </c>
      <c r="C123">
        <v>135093120.97599986</v>
      </c>
      <c r="D123">
        <v>135677169.37701344</v>
      </c>
      <c r="E123">
        <v>32438153.153153155</v>
      </c>
      <c r="F123">
        <v>85327354.954954967</v>
      </c>
      <c r="G123">
        <v>59</v>
      </c>
      <c r="H123">
        <v>56</v>
      </c>
      <c r="I123">
        <v>2</v>
      </c>
      <c r="K123">
        <v>65</v>
      </c>
      <c r="L123">
        <v>68</v>
      </c>
      <c r="M123">
        <v>17351351.351351351</v>
      </c>
      <c r="N123">
        <v>10584692.792792792</v>
      </c>
      <c r="O123">
        <v>21021099.0990991</v>
      </c>
      <c r="P123">
        <v>23093315.315315317</v>
      </c>
      <c r="Q123">
        <v>16333513.513513515</v>
      </c>
      <c r="R123">
        <v>10422432.432432432</v>
      </c>
      <c r="S123">
        <v>4448</v>
      </c>
      <c r="T123">
        <v>4480</v>
      </c>
    </row>
    <row r="124" spans="1:20" x14ac:dyDescent="0.35">
      <c r="A124" s="7" t="s">
        <v>212</v>
      </c>
      <c r="B124" s="12" t="s">
        <v>77</v>
      </c>
      <c r="C124">
        <v>174365277.65835622</v>
      </c>
      <c r="D124">
        <v>192937127.02269456</v>
      </c>
      <c r="E124">
        <v>1857657.6576576631</v>
      </c>
      <c r="F124">
        <v>3527027.0270270319</v>
      </c>
      <c r="G124">
        <v>83</v>
      </c>
      <c r="H124">
        <v>200</v>
      </c>
      <c r="I124">
        <v>1</v>
      </c>
      <c r="K124">
        <v>110</v>
      </c>
      <c r="L124">
        <v>219</v>
      </c>
      <c r="M124">
        <v>60960360.360360362</v>
      </c>
      <c r="N124">
        <v>62363063.063063063</v>
      </c>
      <c r="O124">
        <v>53099297.297297299</v>
      </c>
      <c r="P124">
        <v>65448720.720720723</v>
      </c>
      <c r="Q124">
        <v>45097747.747747749</v>
      </c>
      <c r="R124">
        <v>49086756.756756753</v>
      </c>
      <c r="S124">
        <v>6963</v>
      </c>
      <c r="T124">
        <v>6823</v>
      </c>
    </row>
    <row r="125" spans="1:20" x14ac:dyDescent="0.35">
      <c r="A125" s="7" t="s">
        <v>213</v>
      </c>
      <c r="B125" s="12" t="s">
        <v>77</v>
      </c>
      <c r="C125">
        <v>127915266.90950671</v>
      </c>
      <c r="D125">
        <v>123201741.57314117</v>
      </c>
      <c r="E125">
        <v>1153828.8288288331</v>
      </c>
      <c r="F125">
        <v>1471171.1711711739</v>
      </c>
      <c r="G125">
        <v>62</v>
      </c>
      <c r="H125">
        <v>107</v>
      </c>
      <c r="K125">
        <v>69</v>
      </c>
      <c r="L125">
        <v>115</v>
      </c>
      <c r="M125">
        <v>10863423.423423426</v>
      </c>
      <c r="N125">
        <v>13340548.648648648</v>
      </c>
      <c r="O125">
        <v>19544740.990990993</v>
      </c>
      <c r="P125">
        <v>21001000</v>
      </c>
      <c r="Q125">
        <v>10175855.855855856</v>
      </c>
      <c r="R125">
        <v>12364864.864864863</v>
      </c>
      <c r="S125">
        <v>4250</v>
      </c>
      <c r="T125">
        <v>4037</v>
      </c>
    </row>
    <row r="126" spans="1:20" x14ac:dyDescent="0.35">
      <c r="A126" s="7" t="s">
        <v>214</v>
      </c>
      <c r="B126" s="12" t="s">
        <v>77</v>
      </c>
      <c r="C126">
        <v>46275549.911825858</v>
      </c>
      <c r="D126">
        <v>53526636.467099629</v>
      </c>
      <c r="E126">
        <v>900.900900901</v>
      </c>
      <c r="F126">
        <v>61261.261261261003</v>
      </c>
      <c r="G126">
        <v>5</v>
      </c>
      <c r="H126">
        <v>6</v>
      </c>
      <c r="K126">
        <v>5</v>
      </c>
      <c r="L126">
        <v>8</v>
      </c>
      <c r="M126">
        <v>1205585.5855855839</v>
      </c>
      <c r="N126">
        <v>2421621.6216216208</v>
      </c>
      <c r="O126">
        <v>6857135.1351351347</v>
      </c>
      <c r="P126">
        <v>8341612.6126126144</v>
      </c>
      <c r="Q126">
        <v>1150720.7207207209</v>
      </c>
      <c r="R126">
        <v>1385585.585585587</v>
      </c>
      <c r="S126">
        <v>2114</v>
      </c>
      <c r="T126">
        <v>2224</v>
      </c>
    </row>
    <row r="127" spans="1:20" x14ac:dyDescent="0.35">
      <c r="A127" s="7" t="s">
        <v>215</v>
      </c>
      <c r="B127" s="12" t="s">
        <v>216</v>
      </c>
      <c r="C127">
        <v>66416012.904700093</v>
      </c>
      <c r="D127">
        <v>69053930.198666677</v>
      </c>
      <c r="E127">
        <v>308108.10810810799</v>
      </c>
      <c r="F127">
        <v>813513.513513515</v>
      </c>
      <c r="G127">
        <v>26</v>
      </c>
      <c r="I127">
        <v>1</v>
      </c>
      <c r="K127">
        <v>27</v>
      </c>
      <c r="M127">
        <v>8460828.8288288284</v>
      </c>
      <c r="N127">
        <v>15858558.558558561</v>
      </c>
      <c r="O127">
        <v>29750351.351351351</v>
      </c>
      <c r="P127">
        <v>35033729.729729727</v>
      </c>
      <c r="Q127">
        <v>6767657.6576576577</v>
      </c>
      <c r="R127">
        <v>17826576.576576576</v>
      </c>
      <c r="S127">
        <v>2276</v>
      </c>
      <c r="T127">
        <v>2300</v>
      </c>
    </row>
    <row r="128" spans="1:20" x14ac:dyDescent="0.35">
      <c r="A128" s="7" t="s">
        <v>217</v>
      </c>
      <c r="B128" s="12" t="s">
        <v>168</v>
      </c>
      <c r="C128">
        <v>72809568.29367584</v>
      </c>
      <c r="D128">
        <v>70079339.39565745</v>
      </c>
      <c r="G128">
        <v>4</v>
      </c>
      <c r="H128">
        <v>1</v>
      </c>
      <c r="K128">
        <v>4</v>
      </c>
      <c r="L128">
        <v>1</v>
      </c>
      <c r="M128">
        <v>450450.45045045001</v>
      </c>
      <c r="O128">
        <v>12675459.459459459</v>
      </c>
      <c r="P128">
        <v>18817504.504504506</v>
      </c>
      <c r="R128">
        <v>62612.612612612997</v>
      </c>
      <c r="S128">
        <v>1906</v>
      </c>
      <c r="T128">
        <v>1794</v>
      </c>
    </row>
    <row r="129" spans="1:20" x14ac:dyDescent="0.35">
      <c r="A129" s="7" t="s">
        <v>218</v>
      </c>
      <c r="B129" s="12" t="s">
        <v>86</v>
      </c>
      <c r="C129">
        <v>16922944.397793315</v>
      </c>
      <c r="D129">
        <v>18710382.450550832</v>
      </c>
      <c r="E129">
        <v>112612.612612613</v>
      </c>
      <c r="F129">
        <v>1517117.1171171181</v>
      </c>
      <c r="G129">
        <v>6</v>
      </c>
      <c r="H129">
        <v>1</v>
      </c>
      <c r="K129">
        <v>8</v>
      </c>
      <c r="L129">
        <v>1</v>
      </c>
      <c r="M129">
        <v>25007207.207207207</v>
      </c>
      <c r="N129">
        <v>26749549.549549554</v>
      </c>
      <c r="O129">
        <v>5102792.7927927934</v>
      </c>
      <c r="P129">
        <v>6864980.1801801799</v>
      </c>
      <c r="Q129">
        <v>19370090.090090089</v>
      </c>
      <c r="R129">
        <v>23758738.738738734</v>
      </c>
      <c r="S129">
        <v>691</v>
      </c>
      <c r="T129">
        <v>651</v>
      </c>
    </row>
    <row r="130" spans="1:20" x14ac:dyDescent="0.35">
      <c r="A130" s="7" t="s">
        <v>219</v>
      </c>
      <c r="B130" s="12" t="s">
        <v>86</v>
      </c>
      <c r="C130">
        <v>64938898.068332434</v>
      </c>
      <c r="D130">
        <v>67662252.969475195</v>
      </c>
      <c r="E130">
        <v>218918.91891892001</v>
      </c>
      <c r="F130">
        <v>582882.88288288296</v>
      </c>
      <c r="G130">
        <v>22</v>
      </c>
      <c r="H130">
        <v>5</v>
      </c>
      <c r="K130">
        <v>25</v>
      </c>
      <c r="L130">
        <v>8</v>
      </c>
      <c r="M130">
        <v>12449729.729729731</v>
      </c>
      <c r="N130">
        <v>17078386.486486487</v>
      </c>
      <c r="O130">
        <v>12876342.342342341</v>
      </c>
      <c r="P130">
        <v>15673729.729729731</v>
      </c>
      <c r="Q130">
        <v>11892792.792792792</v>
      </c>
      <c r="R130">
        <v>13287207.207207208</v>
      </c>
      <c r="S130">
        <v>2436</v>
      </c>
      <c r="T130">
        <v>2446</v>
      </c>
    </row>
    <row r="131" spans="1:20" x14ac:dyDescent="0.35">
      <c r="A131" s="7" t="s">
        <v>220</v>
      </c>
      <c r="B131" s="12" t="s">
        <v>148</v>
      </c>
      <c r="C131">
        <v>62256536.397104964</v>
      </c>
      <c r="D131">
        <v>54511945.044596411</v>
      </c>
      <c r="E131">
        <v>4022522.5225225231</v>
      </c>
      <c r="F131">
        <v>2994594.594594595</v>
      </c>
      <c r="G131">
        <v>54</v>
      </c>
      <c r="H131">
        <v>10</v>
      </c>
      <c r="K131">
        <v>69</v>
      </c>
      <c r="L131">
        <v>12</v>
      </c>
      <c r="M131">
        <v>34951107.20720721</v>
      </c>
      <c r="N131">
        <v>41253840.540540546</v>
      </c>
      <c r="O131">
        <v>20542549.54954955</v>
      </c>
      <c r="P131">
        <v>17158333.333333332</v>
      </c>
      <c r="Q131">
        <v>36341171.171171166</v>
      </c>
      <c r="R131">
        <v>42071171.171171166</v>
      </c>
      <c r="S131">
        <v>5560</v>
      </c>
      <c r="T131">
        <v>2518</v>
      </c>
    </row>
    <row r="132" spans="1:20" x14ac:dyDescent="0.35">
      <c r="A132" s="7" t="s">
        <v>221</v>
      </c>
      <c r="B132" s="12" t="s">
        <v>222</v>
      </c>
      <c r="C132">
        <v>121887321.52483654</v>
      </c>
      <c r="D132">
        <v>123952388.87313838</v>
      </c>
      <c r="E132">
        <v>1336036.0360360369</v>
      </c>
      <c r="F132">
        <v>2702049.5495495498</v>
      </c>
      <c r="G132">
        <v>30</v>
      </c>
      <c r="H132">
        <v>46</v>
      </c>
      <c r="K132">
        <v>37</v>
      </c>
      <c r="L132">
        <v>56</v>
      </c>
      <c r="M132">
        <v>110122612.61261261</v>
      </c>
      <c r="N132">
        <v>209932229.72972974</v>
      </c>
      <c r="O132">
        <v>30660677.927927926</v>
      </c>
      <c r="P132">
        <v>36091054.054054059</v>
      </c>
      <c r="Q132">
        <v>166606756.75675678</v>
      </c>
      <c r="R132">
        <v>174237297.2972973</v>
      </c>
      <c r="S132">
        <v>6279</v>
      </c>
      <c r="T132">
        <v>6845</v>
      </c>
    </row>
    <row r="133" spans="1:20" x14ac:dyDescent="0.35">
      <c r="A133" s="7" t="s">
        <v>223</v>
      </c>
      <c r="B133" s="12" t="s">
        <v>53</v>
      </c>
      <c r="C133">
        <v>286048490.92246413</v>
      </c>
      <c r="D133">
        <v>312525413.96328646</v>
      </c>
      <c r="E133">
        <v>2112612.6126126139</v>
      </c>
      <c r="F133">
        <v>2631981.9819819881</v>
      </c>
      <c r="G133">
        <v>66</v>
      </c>
      <c r="H133">
        <v>36</v>
      </c>
      <c r="K133">
        <v>89</v>
      </c>
      <c r="L133">
        <v>70</v>
      </c>
      <c r="M133">
        <v>10337837.837837839</v>
      </c>
      <c r="N133">
        <v>26319819.819819819</v>
      </c>
      <c r="O133">
        <v>93039315.315315306</v>
      </c>
      <c r="P133">
        <v>98742954.954954967</v>
      </c>
      <c r="Q133">
        <v>21893603.603603601</v>
      </c>
      <c r="R133">
        <v>21991711.711711712</v>
      </c>
      <c r="S133">
        <v>10065</v>
      </c>
      <c r="T133">
        <v>10928</v>
      </c>
    </row>
    <row r="134" spans="1:20" x14ac:dyDescent="0.35">
      <c r="A134" s="7" t="s">
        <v>224</v>
      </c>
      <c r="B134" s="12" t="s">
        <v>77</v>
      </c>
      <c r="C134">
        <v>222484271.76178798</v>
      </c>
      <c r="D134">
        <v>234573378.12915343</v>
      </c>
      <c r="E134">
        <v>646846.84684685199</v>
      </c>
      <c r="F134">
        <v>778378.37837838102</v>
      </c>
      <c r="G134">
        <v>51</v>
      </c>
      <c r="H134">
        <v>56</v>
      </c>
      <c r="K134">
        <v>58</v>
      </c>
      <c r="L134">
        <v>63</v>
      </c>
      <c r="M134">
        <v>16593153.153153151</v>
      </c>
      <c r="N134">
        <v>22165765.765765768</v>
      </c>
      <c r="O134">
        <v>41614815.315315314</v>
      </c>
      <c r="P134">
        <v>52184792.79279279</v>
      </c>
      <c r="Q134">
        <v>12979369.369369365</v>
      </c>
      <c r="R134">
        <v>17963243.243243244</v>
      </c>
      <c r="S134">
        <v>7119</v>
      </c>
      <c r="T134">
        <v>7610</v>
      </c>
    </row>
    <row r="135" spans="1:20" x14ac:dyDescent="0.35">
      <c r="A135" s="7" t="s">
        <v>225</v>
      </c>
      <c r="B135" s="12" t="s">
        <v>226</v>
      </c>
      <c r="C135">
        <v>20212901.561401367</v>
      </c>
      <c r="D135">
        <v>20352822.061615866</v>
      </c>
      <c r="F135">
        <v>13513.513513514001</v>
      </c>
      <c r="G135">
        <v>1</v>
      </c>
      <c r="H135">
        <v>2</v>
      </c>
      <c r="K135">
        <v>1</v>
      </c>
      <c r="L135">
        <v>2</v>
      </c>
      <c r="N135">
        <v>13513.513513514001</v>
      </c>
      <c r="O135">
        <v>5015297.297297297</v>
      </c>
      <c r="P135">
        <v>4949855.8558558561</v>
      </c>
      <c r="Q135">
        <v>455855.85585585597</v>
      </c>
      <c r="R135">
        <v>149369.369369369</v>
      </c>
      <c r="S135">
        <v>844</v>
      </c>
      <c r="T135">
        <v>798</v>
      </c>
    </row>
    <row r="136" spans="1:20" x14ac:dyDescent="0.35">
      <c r="A136" s="7" t="s">
        <v>227</v>
      </c>
      <c r="B136" s="12" t="s">
        <v>144</v>
      </c>
      <c r="C136">
        <v>185113805.94147611</v>
      </c>
      <c r="D136">
        <v>201236087.86988926</v>
      </c>
      <c r="E136">
        <v>2428828.8288288321</v>
      </c>
      <c r="F136">
        <v>1013513.5135135161</v>
      </c>
      <c r="G136">
        <v>65</v>
      </c>
      <c r="H136">
        <v>11</v>
      </c>
      <c r="K136">
        <v>74</v>
      </c>
      <c r="L136">
        <v>15</v>
      </c>
      <c r="M136">
        <v>10621621.621621624</v>
      </c>
      <c r="N136">
        <v>9256756.7567567565</v>
      </c>
      <c r="O136">
        <v>25012724.324324325</v>
      </c>
      <c r="P136">
        <v>29971297.297297295</v>
      </c>
      <c r="Q136">
        <v>6611891.8918918893</v>
      </c>
      <c r="R136">
        <v>6248018.0180180166</v>
      </c>
      <c r="S136">
        <v>6092</v>
      </c>
      <c r="T136">
        <v>5954</v>
      </c>
    </row>
    <row r="137" spans="1:20" x14ac:dyDescent="0.35">
      <c r="A137" s="7" t="s">
        <v>228</v>
      </c>
      <c r="B137" s="12" t="s">
        <v>226</v>
      </c>
      <c r="C137">
        <v>20037788.565293361</v>
      </c>
      <c r="D137">
        <v>21626946.785006095</v>
      </c>
      <c r="E137">
        <v>94594.594594595997</v>
      </c>
      <c r="F137">
        <v>36036.036036035999</v>
      </c>
      <c r="G137">
        <v>7</v>
      </c>
      <c r="H137">
        <v>3</v>
      </c>
      <c r="K137">
        <v>9</v>
      </c>
      <c r="L137">
        <v>4</v>
      </c>
      <c r="M137">
        <v>3512612.6126126121</v>
      </c>
      <c r="N137">
        <v>1571621.621621619</v>
      </c>
      <c r="O137">
        <v>5992689.1891891891</v>
      </c>
      <c r="P137">
        <v>5594378.3783783782</v>
      </c>
      <c r="Q137">
        <v>2615135.1351351351</v>
      </c>
      <c r="R137">
        <v>1162522.522522521</v>
      </c>
      <c r="S137">
        <v>819</v>
      </c>
      <c r="T137">
        <v>748</v>
      </c>
    </row>
    <row r="138" spans="1:20" x14ac:dyDescent="0.35">
      <c r="A138" s="7" t="s">
        <v>229</v>
      </c>
      <c r="B138" s="12" t="s">
        <v>79</v>
      </c>
      <c r="C138">
        <v>169942229.90942416</v>
      </c>
      <c r="D138">
        <v>189096009.64619258</v>
      </c>
      <c r="E138">
        <v>2117117.1171171181</v>
      </c>
      <c r="F138">
        <v>1468468.4684684691</v>
      </c>
      <c r="G138">
        <v>29</v>
      </c>
      <c r="H138">
        <v>12</v>
      </c>
      <c r="K138">
        <v>31</v>
      </c>
      <c r="L138">
        <v>15</v>
      </c>
      <c r="M138">
        <v>19415765.765765768</v>
      </c>
      <c r="N138">
        <v>20336846.846846849</v>
      </c>
      <c r="O138">
        <v>67208117.117117122</v>
      </c>
      <c r="P138">
        <v>77054549.54954955</v>
      </c>
      <c r="Q138">
        <v>13962162.162162161</v>
      </c>
      <c r="R138">
        <v>13943783.783783786</v>
      </c>
      <c r="S138">
        <v>5048</v>
      </c>
      <c r="T138">
        <v>4825</v>
      </c>
    </row>
    <row r="139" spans="1:20" x14ac:dyDescent="0.35">
      <c r="A139" s="7" t="s">
        <v>230</v>
      </c>
      <c r="B139" s="12" t="s">
        <v>137</v>
      </c>
      <c r="C139">
        <v>228798518.42773736</v>
      </c>
      <c r="D139">
        <v>252810758.71265888</v>
      </c>
      <c r="E139">
        <v>1345495.4954955</v>
      </c>
      <c r="F139">
        <v>1815315.3153153211</v>
      </c>
      <c r="G139">
        <v>48</v>
      </c>
      <c r="H139">
        <v>39</v>
      </c>
      <c r="I139">
        <v>1</v>
      </c>
      <c r="K139">
        <v>63</v>
      </c>
      <c r="L139">
        <v>43</v>
      </c>
      <c r="M139">
        <v>27342342.342342339</v>
      </c>
      <c r="N139">
        <v>34076576.576576583</v>
      </c>
      <c r="O139">
        <v>54835968.468468472</v>
      </c>
      <c r="P139">
        <v>61004783.783783786</v>
      </c>
      <c r="Q139">
        <v>21651801.801801801</v>
      </c>
      <c r="R139">
        <v>29861531.531531531</v>
      </c>
      <c r="S139">
        <v>7438</v>
      </c>
      <c r="T139">
        <v>9178</v>
      </c>
    </row>
    <row r="140" spans="1:20" x14ac:dyDescent="0.35">
      <c r="A140" s="7" t="s">
        <v>231</v>
      </c>
      <c r="B140" s="12" t="s">
        <v>79</v>
      </c>
      <c r="C140">
        <v>67161856.449955165</v>
      </c>
      <c r="D140">
        <v>72688475.847891763</v>
      </c>
      <c r="E140">
        <v>1946846.8468468471</v>
      </c>
      <c r="F140">
        <v>3709009.0090090092</v>
      </c>
      <c r="G140">
        <v>21</v>
      </c>
      <c r="H140">
        <v>13</v>
      </c>
      <c r="I140">
        <v>2</v>
      </c>
      <c r="K140">
        <v>25</v>
      </c>
      <c r="L140">
        <v>15</v>
      </c>
      <c r="M140">
        <v>14868918.918918919</v>
      </c>
      <c r="N140">
        <v>15709009.009009007</v>
      </c>
      <c r="O140">
        <v>31979936.936936937</v>
      </c>
      <c r="P140">
        <v>34559944.144144148</v>
      </c>
      <c r="Q140">
        <v>12750540.540540544</v>
      </c>
      <c r="R140">
        <v>14677610.810810812</v>
      </c>
      <c r="S140">
        <v>2544</v>
      </c>
      <c r="T140">
        <v>2663</v>
      </c>
    </row>
    <row r="141" spans="1:20" x14ac:dyDescent="0.35">
      <c r="A141" s="7" t="s">
        <v>232</v>
      </c>
      <c r="B141" s="12" t="s">
        <v>55</v>
      </c>
      <c r="C141">
        <v>187181883.0474143</v>
      </c>
      <c r="D141">
        <v>199256507.0386031</v>
      </c>
      <c r="E141">
        <v>845045.04504504602</v>
      </c>
      <c r="F141">
        <v>66216.216216215005</v>
      </c>
      <c r="G141">
        <v>19</v>
      </c>
      <c r="H141">
        <v>25</v>
      </c>
      <c r="K141">
        <v>22</v>
      </c>
      <c r="L141">
        <v>32</v>
      </c>
      <c r="M141">
        <v>17372072.072072074</v>
      </c>
      <c r="N141">
        <v>14138288.288288288</v>
      </c>
      <c r="O141">
        <v>47268232.432432435</v>
      </c>
      <c r="P141">
        <v>50456972.972972974</v>
      </c>
      <c r="Q141">
        <v>21023153.153153151</v>
      </c>
      <c r="R141">
        <v>3875765.7657657671</v>
      </c>
      <c r="S141">
        <v>6750</v>
      </c>
      <c r="T141">
        <v>6818</v>
      </c>
    </row>
    <row r="142" spans="1:20" x14ac:dyDescent="0.35">
      <c r="A142" s="7" t="s">
        <v>233</v>
      </c>
      <c r="B142" s="12" t="s">
        <v>79</v>
      </c>
      <c r="C142">
        <v>69740596.073526129</v>
      </c>
      <c r="D142">
        <v>76953717.356207713</v>
      </c>
      <c r="E142">
        <v>1437837.837837843</v>
      </c>
      <c r="F142">
        <v>4425675.6756756771</v>
      </c>
      <c r="G142">
        <v>25</v>
      </c>
      <c r="H142">
        <v>14</v>
      </c>
      <c r="I142">
        <v>1</v>
      </c>
      <c r="K142">
        <v>55</v>
      </c>
      <c r="L142">
        <v>17</v>
      </c>
      <c r="M142">
        <v>17143243.24324324</v>
      </c>
      <c r="N142">
        <v>21569819.819819819</v>
      </c>
      <c r="O142">
        <v>33128189.189189188</v>
      </c>
      <c r="P142">
        <v>36264036.036036029</v>
      </c>
      <c r="Q142">
        <v>15625315.315315314</v>
      </c>
      <c r="R142">
        <v>21529819.819819819</v>
      </c>
      <c r="S142">
        <v>3895</v>
      </c>
      <c r="T142">
        <v>4002</v>
      </c>
    </row>
    <row r="143" spans="1:20" x14ac:dyDescent="0.35">
      <c r="A143" s="7" t="s">
        <v>234</v>
      </c>
      <c r="B143" s="12" t="s">
        <v>61</v>
      </c>
      <c r="C143">
        <v>65797452.992585383</v>
      </c>
      <c r="D143">
        <v>66773108.906817511</v>
      </c>
      <c r="G143">
        <v>14</v>
      </c>
      <c r="H143">
        <v>1</v>
      </c>
      <c r="K143">
        <v>17</v>
      </c>
      <c r="L143">
        <v>2</v>
      </c>
      <c r="O143">
        <v>27647702.702702705</v>
      </c>
      <c r="P143">
        <v>28618180.180180181</v>
      </c>
      <c r="S143">
        <v>1907</v>
      </c>
      <c r="T143">
        <v>1896</v>
      </c>
    </row>
    <row r="144" spans="1:20" x14ac:dyDescent="0.35">
      <c r="A144" s="7" t="s">
        <v>235</v>
      </c>
      <c r="B144" s="12" t="s">
        <v>55</v>
      </c>
      <c r="C144">
        <v>31307776.703428678</v>
      </c>
      <c r="D144">
        <v>32255443.564422149</v>
      </c>
      <c r="E144">
        <v>57657.657657657997</v>
      </c>
      <c r="F144">
        <v>695495.49549549504</v>
      </c>
      <c r="G144">
        <v>9</v>
      </c>
      <c r="H144">
        <v>2</v>
      </c>
      <c r="K144">
        <v>56</v>
      </c>
      <c r="L144">
        <v>3</v>
      </c>
      <c r="M144">
        <v>1421621.6216216211</v>
      </c>
      <c r="N144">
        <v>3425945.945945946</v>
      </c>
      <c r="O144">
        <v>6287162.1621621624</v>
      </c>
      <c r="P144">
        <v>8019153.1531531541</v>
      </c>
      <c r="Q144">
        <v>1413063.063063063</v>
      </c>
      <c r="R144">
        <v>3466846.8468468469</v>
      </c>
      <c r="S144">
        <v>1086</v>
      </c>
      <c r="T144">
        <v>1080</v>
      </c>
    </row>
    <row r="145" spans="1:20" x14ac:dyDescent="0.35">
      <c r="A145" s="7" t="s">
        <v>236</v>
      </c>
      <c r="B145" s="12" t="s">
        <v>168</v>
      </c>
      <c r="C145">
        <v>143009314.67239994</v>
      </c>
      <c r="D145">
        <v>142687575.66509327</v>
      </c>
      <c r="E145">
        <v>310810.810810811</v>
      </c>
      <c r="F145">
        <v>180180.18018018</v>
      </c>
      <c r="G145">
        <v>11</v>
      </c>
      <c r="H145">
        <v>9</v>
      </c>
      <c r="K145">
        <v>11</v>
      </c>
      <c r="L145">
        <v>10</v>
      </c>
      <c r="M145">
        <v>9255303.6036036015</v>
      </c>
      <c r="N145">
        <v>22237837.837837841</v>
      </c>
      <c r="O145">
        <v>40894563.063063063</v>
      </c>
      <c r="P145">
        <v>49700810.810810804</v>
      </c>
      <c r="Q145">
        <v>7194774.7747747749</v>
      </c>
      <c r="R145">
        <v>10962252.252252253</v>
      </c>
      <c r="S145">
        <v>5298</v>
      </c>
      <c r="T145">
        <v>4999</v>
      </c>
    </row>
    <row r="146" spans="1:20" x14ac:dyDescent="0.35">
      <c r="A146" s="7" t="s">
        <v>237</v>
      </c>
      <c r="B146" s="12" t="s">
        <v>238</v>
      </c>
      <c r="C146">
        <v>83.335121864000001</v>
      </c>
      <c r="D146">
        <v>942.34148868299997</v>
      </c>
      <c r="S146">
        <v>5</v>
      </c>
      <c r="T146">
        <v>61</v>
      </c>
    </row>
    <row r="147" spans="1:20" x14ac:dyDescent="0.35">
      <c r="A147" s="7" t="s">
        <v>239</v>
      </c>
      <c r="B147" s="12" t="s">
        <v>106</v>
      </c>
      <c r="C147">
        <v>85963863.7824727</v>
      </c>
      <c r="D147">
        <v>89602698.371392384</v>
      </c>
      <c r="E147">
        <v>225225.225225225</v>
      </c>
      <c r="F147">
        <v>216216.21621621601</v>
      </c>
      <c r="G147">
        <v>12</v>
      </c>
      <c r="H147">
        <v>13</v>
      </c>
      <c r="K147">
        <v>13</v>
      </c>
      <c r="L147">
        <v>16</v>
      </c>
      <c r="M147">
        <v>13724324.324324325</v>
      </c>
      <c r="N147">
        <v>12775675.675675675</v>
      </c>
      <c r="O147">
        <v>25059882.882882886</v>
      </c>
      <c r="P147">
        <v>27345927.927927926</v>
      </c>
      <c r="Q147">
        <v>13410450.45045045</v>
      </c>
      <c r="R147">
        <v>9665675.6756756753</v>
      </c>
      <c r="S147">
        <v>2558</v>
      </c>
      <c r="T147">
        <v>1947</v>
      </c>
    </row>
    <row r="148" spans="1:20" x14ac:dyDescent="0.35">
      <c r="A148" s="7" t="s">
        <v>3</v>
      </c>
      <c r="B148" s="12" t="s">
        <v>159</v>
      </c>
      <c r="C148">
        <v>173692552.303758</v>
      </c>
      <c r="D148">
        <v>158083056.7705043</v>
      </c>
      <c r="E148">
        <v>618760454.95495498</v>
      </c>
      <c r="F148">
        <v>380124311.71171176</v>
      </c>
      <c r="G148">
        <v>27</v>
      </c>
      <c r="H148">
        <v>26</v>
      </c>
      <c r="K148">
        <v>30</v>
      </c>
      <c r="L148">
        <v>29</v>
      </c>
      <c r="M148">
        <v>77209009.009009004</v>
      </c>
      <c r="N148">
        <v>92934684.684684694</v>
      </c>
      <c r="O148">
        <v>49687522.522522517</v>
      </c>
      <c r="P148">
        <v>46405063.063063063</v>
      </c>
      <c r="Q148">
        <v>34237297.297297299</v>
      </c>
      <c r="R148">
        <v>58415135.135135137</v>
      </c>
      <c r="S148">
        <v>3695</v>
      </c>
      <c r="T148">
        <v>3642</v>
      </c>
    </row>
    <row r="149" spans="1:20" x14ac:dyDescent="0.35">
      <c r="A149" s="7" t="s">
        <v>240</v>
      </c>
      <c r="B149" s="12" t="s">
        <v>179</v>
      </c>
      <c r="C149">
        <v>136650561.99520868</v>
      </c>
      <c r="D149">
        <v>147429245.42490482</v>
      </c>
      <c r="E149">
        <v>420720.72072072199</v>
      </c>
      <c r="F149">
        <v>1581081.0810810821</v>
      </c>
      <c r="G149">
        <v>29</v>
      </c>
      <c r="H149">
        <v>28</v>
      </c>
      <c r="K149">
        <v>37</v>
      </c>
      <c r="L149">
        <v>29</v>
      </c>
      <c r="M149">
        <v>23258558.558558561</v>
      </c>
      <c r="N149">
        <v>22183783.783783782</v>
      </c>
      <c r="O149">
        <v>41375009.009009011</v>
      </c>
      <c r="P149">
        <v>45467936.936936937</v>
      </c>
      <c r="Q149">
        <v>17581981.981981985</v>
      </c>
      <c r="R149">
        <v>20833423.423423424</v>
      </c>
      <c r="S149">
        <v>5167</v>
      </c>
      <c r="T149">
        <v>5183</v>
      </c>
    </row>
    <row r="150" spans="1:20" x14ac:dyDescent="0.35">
      <c r="A150" s="7" t="s">
        <v>241</v>
      </c>
      <c r="B150" s="12" t="s">
        <v>55</v>
      </c>
      <c r="C150">
        <v>96040040.564405248</v>
      </c>
      <c r="D150">
        <v>108378806.85347223</v>
      </c>
      <c r="E150">
        <v>1618918.9189189209</v>
      </c>
      <c r="F150">
        <v>924324.32432432496</v>
      </c>
      <c r="G150">
        <v>21</v>
      </c>
      <c r="H150">
        <v>26</v>
      </c>
      <c r="K150">
        <v>21</v>
      </c>
      <c r="L150">
        <v>43</v>
      </c>
      <c r="M150">
        <v>14258918.918918921</v>
      </c>
      <c r="N150">
        <v>15654054.054054052</v>
      </c>
      <c r="O150">
        <v>26409935.135135137</v>
      </c>
      <c r="P150">
        <v>32443762.162162159</v>
      </c>
      <c r="Q150">
        <v>11781935.135135137</v>
      </c>
      <c r="R150">
        <v>13921981.981981983</v>
      </c>
      <c r="S150">
        <v>3452</v>
      </c>
      <c r="T150">
        <v>3485</v>
      </c>
    </row>
    <row r="151" spans="1:20" x14ac:dyDescent="0.35">
      <c r="A151" s="7" t="s">
        <v>242</v>
      </c>
      <c r="B151" s="12" t="s">
        <v>243</v>
      </c>
      <c r="C151">
        <v>82476198.652281627</v>
      </c>
      <c r="D151">
        <v>81580525.185267642</v>
      </c>
      <c r="E151">
        <v>541441.44144144305</v>
      </c>
      <c r="F151">
        <v>202702.70270270301</v>
      </c>
      <c r="G151">
        <v>38</v>
      </c>
      <c r="H151">
        <v>22</v>
      </c>
      <c r="K151">
        <v>45</v>
      </c>
      <c r="L151">
        <v>24</v>
      </c>
      <c r="M151">
        <v>6065945.9459459493</v>
      </c>
      <c r="N151">
        <v>10663963.963963959</v>
      </c>
      <c r="O151">
        <v>18923331.531531531</v>
      </c>
      <c r="P151">
        <v>23455036.036036037</v>
      </c>
      <c r="Q151">
        <v>4946666.6666666688</v>
      </c>
      <c r="R151">
        <v>9559819.8198198155</v>
      </c>
      <c r="S151">
        <v>2781</v>
      </c>
      <c r="T151">
        <v>2894</v>
      </c>
    </row>
    <row r="152" spans="1:20" x14ac:dyDescent="0.35">
      <c r="A152" s="7" t="s">
        <v>244</v>
      </c>
      <c r="B152" s="12" t="s">
        <v>243</v>
      </c>
      <c r="C152">
        <v>216942557.16997015</v>
      </c>
      <c r="D152">
        <v>186221520.15800744</v>
      </c>
      <c r="E152">
        <v>2025225.225225227</v>
      </c>
      <c r="F152">
        <v>1470270.2702702731</v>
      </c>
      <c r="G152">
        <v>86</v>
      </c>
      <c r="H152">
        <v>65</v>
      </c>
      <c r="K152">
        <v>98</v>
      </c>
      <c r="L152">
        <v>76</v>
      </c>
      <c r="M152">
        <v>49986756.75675676</v>
      </c>
      <c r="N152">
        <v>44059009.009009011</v>
      </c>
      <c r="O152">
        <v>63584198.198198199</v>
      </c>
      <c r="P152">
        <v>62674108.108108111</v>
      </c>
      <c r="Q152">
        <v>46796216.216216214</v>
      </c>
      <c r="R152">
        <v>41450990.990990989</v>
      </c>
      <c r="S152">
        <v>6732</v>
      </c>
      <c r="T152">
        <v>6892</v>
      </c>
    </row>
    <row r="153" spans="1:20" x14ac:dyDescent="0.35">
      <c r="A153" s="7" t="s">
        <v>245</v>
      </c>
      <c r="B153" s="12" t="s">
        <v>51</v>
      </c>
      <c r="C153">
        <v>37086958.01757057</v>
      </c>
      <c r="D153">
        <v>34470631.225174151</v>
      </c>
      <c r="E153">
        <v>184060616.21621624</v>
      </c>
      <c r="F153">
        <v>99724953.153153151</v>
      </c>
      <c r="G153">
        <v>4</v>
      </c>
      <c r="H153">
        <v>3</v>
      </c>
      <c r="K153">
        <v>4</v>
      </c>
      <c r="L153">
        <v>3</v>
      </c>
      <c r="M153">
        <v>89929909.909909904</v>
      </c>
      <c r="N153">
        <v>108584009.009009</v>
      </c>
      <c r="O153">
        <v>11877549.54954955</v>
      </c>
      <c r="P153">
        <v>12794630.630630633</v>
      </c>
      <c r="Q153">
        <v>3138828.8288288312</v>
      </c>
      <c r="R153">
        <v>2941666.6666666679</v>
      </c>
      <c r="S153">
        <v>1147</v>
      </c>
      <c r="T153">
        <v>1143</v>
      </c>
    </row>
    <row r="154" spans="1:20" x14ac:dyDescent="0.35">
      <c r="A154" s="7" t="s">
        <v>246</v>
      </c>
      <c r="B154" s="12" t="s">
        <v>182</v>
      </c>
      <c r="C154">
        <v>1164350643.8286092</v>
      </c>
      <c r="D154">
        <v>1188493160.2832284</v>
      </c>
      <c r="E154">
        <v>84603185.585585594</v>
      </c>
      <c r="F154">
        <v>96354036.936936945</v>
      </c>
      <c r="G154">
        <v>426</v>
      </c>
      <c r="H154">
        <v>473</v>
      </c>
      <c r="I154">
        <v>9</v>
      </c>
      <c r="K154">
        <v>1064</v>
      </c>
      <c r="L154">
        <v>631</v>
      </c>
      <c r="M154">
        <v>138458918.91891891</v>
      </c>
      <c r="N154">
        <v>294377537.83783782</v>
      </c>
      <c r="O154">
        <v>263591561.26126125</v>
      </c>
      <c r="P154">
        <v>272614899.0990991</v>
      </c>
      <c r="Q154">
        <v>132932162.16216214</v>
      </c>
      <c r="R154">
        <v>284302837.83783782</v>
      </c>
      <c r="S154">
        <v>44240</v>
      </c>
      <c r="T154">
        <v>39308</v>
      </c>
    </row>
    <row r="155" spans="1:20" x14ac:dyDescent="0.35">
      <c r="A155" s="7" t="s">
        <v>247</v>
      </c>
      <c r="B155" s="12" t="s">
        <v>49</v>
      </c>
      <c r="C155">
        <v>51819878.55857069</v>
      </c>
      <c r="D155">
        <v>57507745.20922491</v>
      </c>
      <c r="E155">
        <v>169015890.99099097</v>
      </c>
      <c r="F155">
        <v>88849929.729729727</v>
      </c>
      <c r="H155">
        <v>3</v>
      </c>
      <c r="K155">
        <v>1</v>
      </c>
      <c r="L155">
        <v>3</v>
      </c>
      <c r="M155">
        <v>31802432.432432432</v>
      </c>
      <c r="N155">
        <v>17146846.846846849</v>
      </c>
      <c r="O155">
        <v>11079054.054054054</v>
      </c>
      <c r="P155">
        <v>13518099.099099098</v>
      </c>
      <c r="Q155">
        <v>17693243.243243244</v>
      </c>
      <c r="R155">
        <v>5803513.5135135148</v>
      </c>
      <c r="S155">
        <v>1776</v>
      </c>
      <c r="T155">
        <v>1803</v>
      </c>
    </row>
    <row r="156" spans="1:20" x14ac:dyDescent="0.35">
      <c r="A156" s="7" t="s">
        <v>248</v>
      </c>
      <c r="B156" s="12" t="s">
        <v>95</v>
      </c>
      <c r="C156">
        <v>13919787.427628232</v>
      </c>
      <c r="D156">
        <v>13662362.393909167</v>
      </c>
      <c r="O156">
        <v>2349054.054054054</v>
      </c>
      <c r="P156">
        <v>2568801.8018018021</v>
      </c>
      <c r="S156">
        <v>646</v>
      </c>
      <c r="T156">
        <v>701</v>
      </c>
    </row>
    <row r="157" spans="1:20" x14ac:dyDescent="0.35">
      <c r="A157" s="7" t="s">
        <v>249</v>
      </c>
      <c r="B157" s="12" t="s">
        <v>118</v>
      </c>
      <c r="C157">
        <v>47812211.478420697</v>
      </c>
      <c r="D157">
        <v>46393349.026909374</v>
      </c>
      <c r="E157">
        <v>726563.96396396495</v>
      </c>
      <c r="F157">
        <v>1040348.648648649</v>
      </c>
      <c r="G157">
        <v>4</v>
      </c>
      <c r="H157">
        <v>9</v>
      </c>
      <c r="K157">
        <v>8</v>
      </c>
      <c r="L157">
        <v>11</v>
      </c>
      <c r="M157">
        <v>5070810.8108108127</v>
      </c>
      <c r="N157">
        <v>10052653.153153151</v>
      </c>
      <c r="O157">
        <v>23727873.873873871</v>
      </c>
      <c r="P157">
        <v>24512774.774774775</v>
      </c>
      <c r="Q157">
        <v>6920990.9909909908</v>
      </c>
      <c r="R157">
        <v>7705315.3153153136</v>
      </c>
      <c r="S157">
        <v>1795</v>
      </c>
      <c r="T157">
        <v>5218</v>
      </c>
    </row>
    <row r="158" spans="1:20" x14ac:dyDescent="0.35">
      <c r="A158" s="7" t="s">
        <v>250</v>
      </c>
      <c r="B158" s="12" t="s">
        <v>122</v>
      </c>
      <c r="C158">
        <v>82558047.452407181</v>
      </c>
      <c r="D158">
        <v>74949527.865026757</v>
      </c>
      <c r="E158">
        <v>670270.27027027099</v>
      </c>
      <c r="F158">
        <v>31531.531531532</v>
      </c>
      <c r="G158">
        <v>53</v>
      </c>
      <c r="H158">
        <v>30</v>
      </c>
      <c r="K158">
        <v>57</v>
      </c>
      <c r="L158">
        <v>33</v>
      </c>
      <c r="M158">
        <v>3878378.3783783782</v>
      </c>
      <c r="N158">
        <v>6419819.8198198192</v>
      </c>
      <c r="O158">
        <v>9480153.1531531513</v>
      </c>
      <c r="P158">
        <v>7285441.4414414428</v>
      </c>
      <c r="Q158">
        <v>2580270.2702702712</v>
      </c>
      <c r="R158">
        <v>2307477.4774774769</v>
      </c>
      <c r="S158">
        <v>2276</v>
      </c>
      <c r="T158">
        <v>2300</v>
      </c>
    </row>
    <row r="159" spans="1:20" x14ac:dyDescent="0.35">
      <c r="A159" s="7" t="s">
        <v>251</v>
      </c>
      <c r="B159" s="12" t="s">
        <v>77</v>
      </c>
      <c r="C159">
        <v>34170394.853656173</v>
      </c>
      <c r="D159">
        <v>30886677.320253097</v>
      </c>
      <c r="G159">
        <v>3</v>
      </c>
      <c r="K159">
        <v>3</v>
      </c>
      <c r="O159">
        <v>3097657.6576576582</v>
      </c>
      <c r="P159">
        <v>3721333.333333333</v>
      </c>
      <c r="S159">
        <v>1594</v>
      </c>
      <c r="T159">
        <v>1630</v>
      </c>
    </row>
    <row r="160" spans="1:20" x14ac:dyDescent="0.35">
      <c r="A160" s="7" t="s">
        <v>252</v>
      </c>
      <c r="B160" s="12" t="s">
        <v>168</v>
      </c>
      <c r="C160">
        <v>111637492.26934904</v>
      </c>
      <c r="D160">
        <v>117438970.23669188</v>
      </c>
      <c r="G160">
        <v>24</v>
      </c>
      <c r="H160">
        <v>2</v>
      </c>
      <c r="K160">
        <v>30</v>
      </c>
      <c r="L160">
        <v>3</v>
      </c>
      <c r="M160">
        <v>27027.027027028002</v>
      </c>
      <c r="N160">
        <v>2309009.0090090092</v>
      </c>
      <c r="O160">
        <v>22357162.162162159</v>
      </c>
      <c r="P160">
        <v>29819117.117117114</v>
      </c>
      <c r="Q160">
        <v>989639.63963964104</v>
      </c>
      <c r="R160">
        <v>1380000</v>
      </c>
      <c r="S160">
        <v>3796</v>
      </c>
      <c r="T160">
        <v>3677</v>
      </c>
    </row>
    <row r="161" spans="1:20" x14ac:dyDescent="0.35">
      <c r="A161" s="7" t="s">
        <v>253</v>
      </c>
      <c r="B161" s="12" t="s">
        <v>90</v>
      </c>
      <c r="C161">
        <v>336109012.48323393</v>
      </c>
      <c r="D161">
        <v>354437311.84232497</v>
      </c>
      <c r="E161">
        <v>1390990.990990995</v>
      </c>
      <c r="F161">
        <v>2369369.369369376</v>
      </c>
      <c r="G161">
        <v>43</v>
      </c>
      <c r="H161">
        <v>19</v>
      </c>
      <c r="I161">
        <v>1</v>
      </c>
      <c r="K161">
        <v>54</v>
      </c>
      <c r="L161">
        <v>22</v>
      </c>
      <c r="M161">
        <v>25753333.333333332</v>
      </c>
      <c r="N161">
        <v>24074414.414414417</v>
      </c>
      <c r="O161">
        <v>81776711.711711705</v>
      </c>
      <c r="P161">
        <v>92403522.522522524</v>
      </c>
      <c r="Q161">
        <v>23747477.477477476</v>
      </c>
      <c r="R161">
        <v>23714594.59459459</v>
      </c>
      <c r="S161">
        <v>10388</v>
      </c>
      <c r="T161">
        <v>10534</v>
      </c>
    </row>
    <row r="162" spans="1:20" x14ac:dyDescent="0.35">
      <c r="A162" s="7" t="s">
        <v>254</v>
      </c>
      <c r="B162" s="12" t="s">
        <v>79</v>
      </c>
      <c r="C162">
        <v>96913616.945644304</v>
      </c>
      <c r="D162">
        <v>101861100.72188152</v>
      </c>
      <c r="E162">
        <v>1204504.5045045081</v>
      </c>
      <c r="F162">
        <v>1079279.27927928</v>
      </c>
      <c r="G162">
        <v>14</v>
      </c>
      <c r="H162">
        <v>2</v>
      </c>
      <c r="K162">
        <v>14</v>
      </c>
      <c r="L162">
        <v>3</v>
      </c>
      <c r="M162">
        <v>19876036.036036037</v>
      </c>
      <c r="N162">
        <v>15203153.153153153</v>
      </c>
      <c r="O162">
        <v>28118648.648648649</v>
      </c>
      <c r="P162">
        <v>29048801.801801801</v>
      </c>
      <c r="Q162">
        <v>18832162.162162162</v>
      </c>
      <c r="R162">
        <v>12812972.972972972</v>
      </c>
      <c r="S162">
        <v>2858</v>
      </c>
      <c r="T162">
        <v>2860</v>
      </c>
    </row>
    <row r="163" spans="1:20" x14ac:dyDescent="0.35">
      <c r="A163" s="7" t="s">
        <v>255</v>
      </c>
      <c r="B163" s="12" t="s">
        <v>106</v>
      </c>
      <c r="C163">
        <v>192570454.25744209</v>
      </c>
      <c r="D163">
        <v>206575143.21490866</v>
      </c>
      <c r="E163">
        <v>32435942.342342347</v>
      </c>
      <c r="F163">
        <v>178940183.78378376</v>
      </c>
      <c r="G163">
        <v>44</v>
      </c>
      <c r="H163">
        <v>32</v>
      </c>
      <c r="K163">
        <v>77</v>
      </c>
      <c r="L163">
        <v>61</v>
      </c>
      <c r="M163">
        <v>35402342.342342347</v>
      </c>
      <c r="N163">
        <v>24465405.405405402</v>
      </c>
      <c r="O163">
        <v>55163180.180180185</v>
      </c>
      <c r="P163">
        <v>60836594.59459459</v>
      </c>
      <c r="Q163">
        <v>33588558.558558561</v>
      </c>
      <c r="R163">
        <v>24100450.450450446</v>
      </c>
      <c r="S163">
        <v>5315</v>
      </c>
      <c r="T163">
        <v>5370</v>
      </c>
    </row>
    <row r="164" spans="1:20" x14ac:dyDescent="0.35">
      <c r="A164" s="7" t="s">
        <v>256</v>
      </c>
      <c r="B164" s="12" t="s">
        <v>106</v>
      </c>
      <c r="C164">
        <v>115277685.68675514</v>
      </c>
      <c r="D164">
        <v>112863643.52074303</v>
      </c>
      <c r="E164">
        <v>927027.02702702803</v>
      </c>
      <c r="F164">
        <v>867567.56756756897</v>
      </c>
      <c r="G164">
        <v>8</v>
      </c>
      <c r="H164">
        <v>14</v>
      </c>
      <c r="K164">
        <v>10</v>
      </c>
      <c r="L164">
        <v>18</v>
      </c>
      <c r="M164">
        <v>10094954.954954954</v>
      </c>
      <c r="N164">
        <v>6422522.5225225221</v>
      </c>
      <c r="O164">
        <v>35229297.297297299</v>
      </c>
      <c r="P164">
        <v>38248801.801801801</v>
      </c>
      <c r="Q164">
        <v>7694684.6846846836</v>
      </c>
      <c r="R164">
        <v>6664954.9549549548</v>
      </c>
      <c r="S164">
        <v>3648</v>
      </c>
      <c r="T164">
        <v>3871</v>
      </c>
    </row>
    <row r="165" spans="1:20" x14ac:dyDescent="0.35">
      <c r="A165" s="7" t="s">
        <v>257</v>
      </c>
      <c r="B165" s="12" t="s">
        <v>106</v>
      </c>
      <c r="C165">
        <v>106673198.93722057</v>
      </c>
      <c r="D165">
        <v>120200444.10481019</v>
      </c>
      <c r="E165">
        <v>13513.513513514001</v>
      </c>
      <c r="F165">
        <v>54054.054054054002</v>
      </c>
      <c r="G165">
        <v>13</v>
      </c>
      <c r="H165">
        <v>14</v>
      </c>
      <c r="I165">
        <v>4</v>
      </c>
      <c r="K165">
        <v>14</v>
      </c>
      <c r="L165">
        <v>15</v>
      </c>
      <c r="M165">
        <v>1364864.8648648651</v>
      </c>
      <c r="N165">
        <v>1180180.1801801799</v>
      </c>
      <c r="O165">
        <v>23778268.468468469</v>
      </c>
      <c r="P165">
        <v>27734792.792792793</v>
      </c>
      <c r="Q165">
        <v>954054.05405405397</v>
      </c>
      <c r="R165">
        <v>499099.099099099</v>
      </c>
      <c r="S165">
        <v>2068</v>
      </c>
      <c r="T165">
        <v>2186</v>
      </c>
    </row>
    <row r="166" spans="1:20" x14ac:dyDescent="0.35">
      <c r="A166" s="7" t="s">
        <v>258</v>
      </c>
      <c r="B166" s="12" t="s">
        <v>135</v>
      </c>
      <c r="C166">
        <v>162607720.00434631</v>
      </c>
      <c r="D166">
        <v>179614080.3761045</v>
      </c>
      <c r="E166">
        <v>612612.61261261301</v>
      </c>
      <c r="F166">
        <v>518018.01801801799</v>
      </c>
      <c r="G166">
        <v>15</v>
      </c>
      <c r="H166">
        <v>8</v>
      </c>
      <c r="K166">
        <v>15</v>
      </c>
      <c r="L166">
        <v>10</v>
      </c>
      <c r="M166">
        <v>3234234.2342342339</v>
      </c>
      <c r="N166">
        <v>4436936.9369369373</v>
      </c>
      <c r="O166">
        <v>11125036.036036037</v>
      </c>
      <c r="P166">
        <v>17329981.981981982</v>
      </c>
      <c r="Q166">
        <v>3737837.8378378381</v>
      </c>
      <c r="R166">
        <v>3716396.3963963962</v>
      </c>
      <c r="S166">
        <v>4115</v>
      </c>
      <c r="T166">
        <v>4117</v>
      </c>
    </row>
    <row r="167" spans="1:20" x14ac:dyDescent="0.35">
      <c r="A167" s="7" t="s">
        <v>259</v>
      </c>
      <c r="B167" s="12" t="s">
        <v>168</v>
      </c>
      <c r="C167">
        <v>52687698.346018732</v>
      </c>
      <c r="D167">
        <v>67267076.811396301</v>
      </c>
      <c r="E167">
        <v>900900.90090090095</v>
      </c>
      <c r="G167">
        <v>9</v>
      </c>
      <c r="H167">
        <v>2</v>
      </c>
      <c r="K167">
        <v>13</v>
      </c>
      <c r="L167">
        <v>2</v>
      </c>
      <c r="M167">
        <v>2852945.0450450452</v>
      </c>
      <c r="N167">
        <v>3298198.1981982002</v>
      </c>
      <c r="O167">
        <v>17392671.171171173</v>
      </c>
      <c r="P167">
        <v>25250576.576576576</v>
      </c>
      <c r="Q167">
        <v>2102792.7927927929</v>
      </c>
      <c r="R167">
        <v>3543693.6936936951</v>
      </c>
      <c r="S167">
        <v>2467</v>
      </c>
      <c r="T167">
        <v>2482</v>
      </c>
    </row>
    <row r="168" spans="1:20" x14ac:dyDescent="0.35">
      <c r="A168" s="7" t="s">
        <v>260</v>
      </c>
      <c r="B168" s="12" t="s">
        <v>61</v>
      </c>
      <c r="C168">
        <v>22003644.564146549</v>
      </c>
      <c r="D168">
        <v>23754178.362793699</v>
      </c>
      <c r="E168">
        <v>29509909.909909911</v>
      </c>
      <c r="F168">
        <v>136642342.34234235</v>
      </c>
      <c r="G168">
        <v>9</v>
      </c>
      <c r="H168">
        <v>2</v>
      </c>
      <c r="I168">
        <v>3</v>
      </c>
      <c r="K168">
        <v>15</v>
      </c>
      <c r="L168">
        <v>3</v>
      </c>
      <c r="M168">
        <v>4906306.3063063063</v>
      </c>
      <c r="N168">
        <v>5651351.3513513505</v>
      </c>
      <c r="O168">
        <v>7473054.0540540544</v>
      </c>
      <c r="P168">
        <v>8282162.1621621633</v>
      </c>
      <c r="Q168">
        <v>5079369.3693693699</v>
      </c>
      <c r="R168">
        <v>4410000</v>
      </c>
      <c r="S168">
        <v>687</v>
      </c>
      <c r="T168">
        <v>669</v>
      </c>
    </row>
    <row r="169" spans="1:20" x14ac:dyDescent="0.35">
      <c r="A169" s="7" t="s">
        <v>261</v>
      </c>
      <c r="B169" s="12" t="s">
        <v>262</v>
      </c>
      <c r="C169">
        <v>13792885.486061502</v>
      </c>
      <c r="D169">
        <v>14584561.443575447</v>
      </c>
      <c r="E169">
        <v>10810.810810810999</v>
      </c>
      <c r="F169">
        <v>16216.216216216</v>
      </c>
      <c r="G169">
        <v>4</v>
      </c>
      <c r="H169">
        <v>1</v>
      </c>
      <c r="K169">
        <v>5</v>
      </c>
      <c r="L169">
        <v>1</v>
      </c>
      <c r="M169">
        <v>3197747.7477477482</v>
      </c>
      <c r="N169">
        <v>917117.11711711704</v>
      </c>
      <c r="O169">
        <v>2318450.4504504511</v>
      </c>
      <c r="P169">
        <v>3451801.8018018021</v>
      </c>
      <c r="Q169">
        <v>1730450.4504504499</v>
      </c>
      <c r="R169">
        <v>557117.11711711704</v>
      </c>
      <c r="S169">
        <v>528</v>
      </c>
      <c r="T169">
        <v>521</v>
      </c>
    </row>
    <row r="170" spans="1:20" x14ac:dyDescent="0.35">
      <c r="A170" s="7" t="s">
        <v>263</v>
      </c>
      <c r="B170" s="12" t="s">
        <v>61</v>
      </c>
      <c r="C170">
        <v>211565231.22258413</v>
      </c>
      <c r="D170">
        <v>214638457.69065988</v>
      </c>
      <c r="E170">
        <v>232147403.6036036</v>
      </c>
      <c r="F170">
        <v>474116282.88288289</v>
      </c>
      <c r="G170">
        <v>194</v>
      </c>
      <c r="H170">
        <v>100</v>
      </c>
      <c r="K170">
        <v>279</v>
      </c>
      <c r="L170">
        <v>227</v>
      </c>
      <c r="M170">
        <v>48378828.828828827</v>
      </c>
      <c r="N170">
        <v>59596890.990990989</v>
      </c>
      <c r="O170">
        <v>76644407.657657668</v>
      </c>
      <c r="P170">
        <v>75860099.0990991</v>
      </c>
      <c r="Q170">
        <v>55137477.477477469</v>
      </c>
      <c r="R170">
        <v>50783963.963963963</v>
      </c>
      <c r="S170">
        <v>6380</v>
      </c>
      <c r="T170">
        <v>6007</v>
      </c>
    </row>
    <row r="171" spans="1:20" x14ac:dyDescent="0.35">
      <c r="A171" s="7" t="s">
        <v>264</v>
      </c>
      <c r="B171" s="12" t="s">
        <v>124</v>
      </c>
      <c r="C171">
        <v>158672941.99242982</v>
      </c>
      <c r="D171">
        <v>151944906.66408554</v>
      </c>
      <c r="E171">
        <v>246846.84684684701</v>
      </c>
      <c r="F171">
        <v>332432.432432434</v>
      </c>
      <c r="G171">
        <v>28</v>
      </c>
      <c r="H171">
        <v>22</v>
      </c>
      <c r="K171">
        <v>30</v>
      </c>
      <c r="L171">
        <v>25</v>
      </c>
      <c r="M171">
        <v>11098918.918918921</v>
      </c>
      <c r="N171">
        <v>9483333.3333333321</v>
      </c>
      <c r="O171">
        <v>62708774.774774775</v>
      </c>
      <c r="P171">
        <v>59805864.864864863</v>
      </c>
      <c r="Q171">
        <v>8249639.6396396402</v>
      </c>
      <c r="R171">
        <v>9409819.8198198192</v>
      </c>
      <c r="S171">
        <v>5503</v>
      </c>
      <c r="T171">
        <v>5404</v>
      </c>
    </row>
    <row r="172" spans="1:20" x14ac:dyDescent="0.35">
      <c r="A172" s="7" t="s">
        <v>265</v>
      </c>
      <c r="B172" s="12" t="s">
        <v>124</v>
      </c>
      <c r="C172">
        <v>69216580.361967102</v>
      </c>
      <c r="D172">
        <v>75054048.530601531</v>
      </c>
      <c r="E172">
        <v>452477.47747747903</v>
      </c>
      <c r="F172">
        <v>192342.34234234301</v>
      </c>
      <c r="G172">
        <v>24</v>
      </c>
      <c r="H172">
        <v>49</v>
      </c>
      <c r="I172">
        <v>1</v>
      </c>
      <c r="K172">
        <v>27</v>
      </c>
      <c r="L172">
        <v>54</v>
      </c>
      <c r="M172">
        <v>19470180.180180181</v>
      </c>
      <c r="N172">
        <v>13812162.162162164</v>
      </c>
      <c r="O172">
        <v>28163279.27927928</v>
      </c>
      <c r="P172">
        <v>32763855.855855856</v>
      </c>
      <c r="Q172">
        <v>18588738.738738734</v>
      </c>
      <c r="R172">
        <v>11349909.909909911</v>
      </c>
      <c r="S172">
        <v>2281</v>
      </c>
      <c r="T172">
        <v>2331</v>
      </c>
    </row>
    <row r="173" spans="1:20" x14ac:dyDescent="0.35">
      <c r="A173" s="7" t="s">
        <v>266</v>
      </c>
      <c r="B173" s="12" t="s">
        <v>126</v>
      </c>
      <c r="C173">
        <v>169842703.69283807</v>
      </c>
      <c r="D173">
        <v>182313000.22596347</v>
      </c>
      <c r="E173">
        <v>2081531.5315315321</v>
      </c>
      <c r="F173">
        <v>1490540.5405405411</v>
      </c>
      <c r="G173">
        <v>46</v>
      </c>
      <c r="H173">
        <v>20</v>
      </c>
      <c r="K173">
        <v>48</v>
      </c>
      <c r="L173">
        <v>21</v>
      </c>
      <c r="M173">
        <v>18312612.612612613</v>
      </c>
      <c r="N173">
        <v>12797747.747747744</v>
      </c>
      <c r="O173">
        <v>59866007.20720721</v>
      </c>
      <c r="P173">
        <v>60754747.747747742</v>
      </c>
      <c r="Q173">
        <v>16644277.477477478</v>
      </c>
      <c r="R173">
        <v>10267657.657657657</v>
      </c>
      <c r="S173">
        <v>4186</v>
      </c>
      <c r="T173">
        <v>4509</v>
      </c>
    </row>
    <row r="174" spans="1:20" x14ac:dyDescent="0.35">
      <c r="A174" s="7" t="s">
        <v>267</v>
      </c>
      <c r="B174" s="12" t="s">
        <v>124</v>
      </c>
      <c r="C174">
        <v>164148649.11802566</v>
      </c>
      <c r="D174">
        <v>170214510.95377672</v>
      </c>
      <c r="E174">
        <v>828828.82882883004</v>
      </c>
      <c r="F174">
        <v>1536036.0360360369</v>
      </c>
      <c r="G174">
        <v>14</v>
      </c>
      <c r="H174">
        <v>28</v>
      </c>
      <c r="K174">
        <v>16</v>
      </c>
      <c r="L174">
        <v>30</v>
      </c>
      <c r="M174">
        <v>16490270.270270268</v>
      </c>
      <c r="N174">
        <v>19983423.423423424</v>
      </c>
      <c r="O174">
        <v>57085610.810810804</v>
      </c>
      <c r="P174">
        <v>65606430.630630635</v>
      </c>
      <c r="Q174">
        <v>15530450.450450452</v>
      </c>
      <c r="R174">
        <v>20544594.59459459</v>
      </c>
      <c r="S174">
        <v>4999</v>
      </c>
      <c r="T174">
        <v>4534</v>
      </c>
    </row>
    <row r="175" spans="1:20" x14ac:dyDescent="0.35">
      <c r="A175" s="7" t="s">
        <v>268</v>
      </c>
      <c r="B175" s="12" t="s">
        <v>124</v>
      </c>
      <c r="C175">
        <v>171882022.59537411</v>
      </c>
      <c r="D175">
        <v>184268744.84258935</v>
      </c>
      <c r="E175">
        <v>2196846.8468468492</v>
      </c>
      <c r="F175">
        <v>1725675.675675682</v>
      </c>
      <c r="G175">
        <v>34</v>
      </c>
      <c r="H175">
        <v>34</v>
      </c>
      <c r="K175">
        <v>39</v>
      </c>
      <c r="L175">
        <v>38</v>
      </c>
      <c r="M175">
        <v>22173693.693693697</v>
      </c>
      <c r="N175">
        <v>23706666.666666664</v>
      </c>
      <c r="O175">
        <v>70981774.774774775</v>
      </c>
      <c r="P175">
        <v>72526881.081081092</v>
      </c>
      <c r="Q175">
        <v>20725855.855855856</v>
      </c>
      <c r="R175">
        <v>22427117.117117114</v>
      </c>
      <c r="S175">
        <v>5587</v>
      </c>
      <c r="T175">
        <v>5430</v>
      </c>
    </row>
    <row r="176" spans="1:20" x14ac:dyDescent="0.35">
      <c r="A176" s="7" t="s">
        <v>269</v>
      </c>
      <c r="B176" s="12" t="s">
        <v>179</v>
      </c>
      <c r="C176">
        <v>873481138.55231452</v>
      </c>
      <c r="D176">
        <v>899029632.28674281</v>
      </c>
      <c r="E176">
        <v>389499434.23423421</v>
      </c>
      <c r="F176">
        <v>461218076.57657659</v>
      </c>
      <c r="G176">
        <v>301</v>
      </c>
      <c r="H176">
        <v>169</v>
      </c>
      <c r="K176">
        <v>582</v>
      </c>
      <c r="L176">
        <v>306</v>
      </c>
      <c r="M176">
        <v>120225879.27927929</v>
      </c>
      <c r="N176">
        <v>125557432.43243243</v>
      </c>
      <c r="O176">
        <v>262042651.35135135</v>
      </c>
      <c r="P176">
        <v>290980906.3063063</v>
      </c>
      <c r="Q176">
        <v>110605765.76576577</v>
      </c>
      <c r="R176">
        <v>115827432.43243243</v>
      </c>
      <c r="S176">
        <v>31790</v>
      </c>
      <c r="T176">
        <v>33278</v>
      </c>
    </row>
    <row r="177" spans="1:20" x14ac:dyDescent="0.35">
      <c r="A177" s="7" t="s">
        <v>270</v>
      </c>
      <c r="B177" s="12" t="s">
        <v>63</v>
      </c>
      <c r="C177">
        <v>145128137.09269136</v>
      </c>
      <c r="D177">
        <v>156879821.50272349</v>
      </c>
      <c r="E177">
        <v>292855714.41441441</v>
      </c>
      <c r="F177">
        <v>274764951.35135138</v>
      </c>
      <c r="G177">
        <v>42</v>
      </c>
      <c r="H177">
        <v>67</v>
      </c>
      <c r="K177">
        <v>46</v>
      </c>
      <c r="L177">
        <v>228</v>
      </c>
      <c r="M177">
        <v>97723368.468468457</v>
      </c>
      <c r="N177">
        <v>53697620.720720723</v>
      </c>
      <c r="O177">
        <v>45667927.927927926</v>
      </c>
      <c r="P177">
        <v>57368333.333333336</v>
      </c>
      <c r="Q177">
        <v>37581891.891891889</v>
      </c>
      <c r="R177">
        <v>28659729.729729727</v>
      </c>
      <c r="S177">
        <v>4722</v>
      </c>
      <c r="T177">
        <v>4905</v>
      </c>
    </row>
    <row r="178" spans="1:20" x14ac:dyDescent="0.35">
      <c r="A178" s="7" t="s">
        <v>271</v>
      </c>
      <c r="B178" s="12" t="s">
        <v>71</v>
      </c>
      <c r="C178">
        <v>187223774.37607306</v>
      </c>
      <c r="D178">
        <v>182684792.53761289</v>
      </c>
      <c r="E178">
        <v>1609909.9099099131</v>
      </c>
      <c r="F178">
        <v>1212162.1621621631</v>
      </c>
      <c r="G178">
        <v>53</v>
      </c>
      <c r="H178">
        <v>24</v>
      </c>
      <c r="K178">
        <v>95</v>
      </c>
      <c r="L178">
        <v>52</v>
      </c>
      <c r="M178">
        <v>13300900.900900904</v>
      </c>
      <c r="N178">
        <v>20376793.693693697</v>
      </c>
      <c r="O178">
        <v>85008918.918918908</v>
      </c>
      <c r="P178">
        <v>87509135.135135129</v>
      </c>
      <c r="Q178">
        <v>13196306.30630631</v>
      </c>
      <c r="R178">
        <v>18970810.810810816</v>
      </c>
      <c r="S178">
        <v>6895</v>
      </c>
      <c r="T178">
        <v>6856</v>
      </c>
    </row>
    <row r="179" spans="1:20" x14ac:dyDescent="0.35">
      <c r="A179" s="7" t="s">
        <v>272</v>
      </c>
      <c r="B179" s="12" t="s">
        <v>135</v>
      </c>
      <c r="C179">
        <v>2509571.2629985558</v>
      </c>
      <c r="D179">
        <v>3659262.8723237198</v>
      </c>
      <c r="O179">
        <v>145135.135135135</v>
      </c>
      <c r="P179">
        <v>162252.25225225301</v>
      </c>
      <c r="S179">
        <v>241</v>
      </c>
      <c r="T179">
        <v>274</v>
      </c>
    </row>
    <row r="180" spans="1:20" x14ac:dyDescent="0.35">
      <c r="A180" s="7" t="s">
        <v>273</v>
      </c>
      <c r="B180" s="12" t="s">
        <v>77</v>
      </c>
      <c r="C180">
        <v>87632620.752290219</v>
      </c>
      <c r="D180">
        <v>78737360.15683867</v>
      </c>
      <c r="E180">
        <v>54054.054054054002</v>
      </c>
      <c r="F180">
        <v>464864.86486486503</v>
      </c>
      <c r="G180">
        <v>13</v>
      </c>
      <c r="H180">
        <v>14</v>
      </c>
      <c r="K180">
        <v>14</v>
      </c>
      <c r="L180">
        <v>15</v>
      </c>
      <c r="M180">
        <v>144144.144144144</v>
      </c>
      <c r="N180">
        <v>663063.06306306296</v>
      </c>
      <c r="O180">
        <v>5819382.8828828828</v>
      </c>
      <c r="P180">
        <v>6458225.2252252251</v>
      </c>
      <c r="Q180">
        <v>128828.82882882901</v>
      </c>
      <c r="R180">
        <v>398288.28828828799</v>
      </c>
      <c r="S180">
        <v>2457</v>
      </c>
      <c r="T180">
        <v>2525</v>
      </c>
    </row>
    <row r="181" spans="1:20" x14ac:dyDescent="0.35">
      <c r="A181" s="7" t="s">
        <v>274</v>
      </c>
      <c r="B181" s="12" t="s">
        <v>77</v>
      </c>
      <c r="C181">
        <v>29872201.058810677</v>
      </c>
      <c r="D181">
        <v>35678025.470362589</v>
      </c>
      <c r="E181">
        <v>101801.80180180199</v>
      </c>
      <c r="F181">
        <v>155855.855855856</v>
      </c>
      <c r="G181">
        <v>2</v>
      </c>
      <c r="H181">
        <v>8</v>
      </c>
      <c r="K181">
        <v>3</v>
      </c>
      <c r="L181">
        <v>9</v>
      </c>
      <c r="M181">
        <v>8732612.6126126125</v>
      </c>
      <c r="N181">
        <v>9813513.5135135129</v>
      </c>
      <c r="O181">
        <v>8401450.4504504502</v>
      </c>
      <c r="P181">
        <v>11023917.117117116</v>
      </c>
      <c r="Q181">
        <v>6527837.8378378376</v>
      </c>
      <c r="R181">
        <v>8681981.9819819834</v>
      </c>
      <c r="S181">
        <v>790</v>
      </c>
      <c r="T181">
        <v>1716</v>
      </c>
    </row>
    <row r="182" spans="1:20" x14ac:dyDescent="0.35">
      <c r="A182" s="7" t="s">
        <v>275</v>
      </c>
      <c r="B182" s="12" t="s">
        <v>262</v>
      </c>
      <c r="C182">
        <v>627252856.53102434</v>
      </c>
      <c r="D182">
        <v>678890620.69995332</v>
      </c>
      <c r="E182">
        <v>7469369.3693693699</v>
      </c>
      <c r="F182">
        <v>7522522.5225225287</v>
      </c>
      <c r="G182">
        <v>171</v>
      </c>
      <c r="H182">
        <v>216</v>
      </c>
      <c r="K182">
        <v>260</v>
      </c>
      <c r="L182">
        <v>506</v>
      </c>
      <c r="M182">
        <v>126643243.24324325</v>
      </c>
      <c r="N182">
        <v>152597477.47747746</v>
      </c>
      <c r="O182">
        <v>193811614.86486486</v>
      </c>
      <c r="P182">
        <v>229680612.61261261</v>
      </c>
      <c r="Q182">
        <v>110337477.47747748</v>
      </c>
      <c r="R182">
        <v>135015405.4054054</v>
      </c>
      <c r="S182">
        <v>18265</v>
      </c>
      <c r="T182">
        <v>20694</v>
      </c>
    </row>
    <row r="183" spans="1:20" x14ac:dyDescent="0.35">
      <c r="A183" s="7" t="s">
        <v>276</v>
      </c>
      <c r="B183" s="12" t="s">
        <v>262</v>
      </c>
      <c r="C183">
        <v>134079924.70700735</v>
      </c>
      <c r="D183">
        <v>135020338.38303089</v>
      </c>
      <c r="E183">
        <v>1224549.5495495519</v>
      </c>
      <c r="F183">
        <v>318918.91891891899</v>
      </c>
      <c r="G183">
        <v>8</v>
      </c>
      <c r="H183">
        <v>22</v>
      </c>
      <c r="K183">
        <v>10</v>
      </c>
      <c r="L183">
        <v>27</v>
      </c>
      <c r="M183">
        <v>11372522.522522524</v>
      </c>
      <c r="N183">
        <v>11341441.441441439</v>
      </c>
      <c r="O183">
        <v>26401990.990990993</v>
      </c>
      <c r="P183">
        <v>31139000</v>
      </c>
      <c r="Q183">
        <v>7782522.5225225221</v>
      </c>
      <c r="R183">
        <v>8787747.7477477454</v>
      </c>
      <c r="S183">
        <v>3843</v>
      </c>
      <c r="T183">
        <v>6218</v>
      </c>
    </row>
    <row r="184" spans="1:20" x14ac:dyDescent="0.35">
      <c r="A184" s="7" t="s">
        <v>277</v>
      </c>
      <c r="B184" s="12" t="s">
        <v>262</v>
      </c>
      <c r="C184">
        <v>148908676.95554408</v>
      </c>
      <c r="D184">
        <v>192590888.33059537</v>
      </c>
      <c r="E184">
        <v>4319369.369369369</v>
      </c>
      <c r="F184">
        <v>7636895.4954954963</v>
      </c>
      <c r="G184">
        <v>15</v>
      </c>
      <c r="H184">
        <v>39</v>
      </c>
      <c r="K184">
        <v>18</v>
      </c>
      <c r="L184">
        <v>43</v>
      </c>
      <c r="M184">
        <v>34786486.486486487</v>
      </c>
      <c r="N184">
        <v>21438553.153153151</v>
      </c>
      <c r="O184">
        <v>32642873.873873871</v>
      </c>
      <c r="P184">
        <v>51773259.459459454</v>
      </c>
      <c r="Q184">
        <v>32368918.918918919</v>
      </c>
      <c r="R184">
        <v>15741261.261261262</v>
      </c>
      <c r="S184">
        <v>5752</v>
      </c>
      <c r="T184">
        <v>6012</v>
      </c>
    </row>
    <row r="185" spans="1:20" x14ac:dyDescent="0.35">
      <c r="A185" s="7" t="s">
        <v>278</v>
      </c>
      <c r="B185" s="12" t="s">
        <v>135</v>
      </c>
      <c r="C185">
        <v>193904410.71291488</v>
      </c>
      <c r="D185">
        <v>213240230.09368181</v>
      </c>
      <c r="E185">
        <v>202702.70270270301</v>
      </c>
      <c r="F185">
        <v>328828.82882882899</v>
      </c>
      <c r="G185">
        <v>36</v>
      </c>
      <c r="H185">
        <v>15</v>
      </c>
      <c r="K185">
        <v>40</v>
      </c>
      <c r="L185">
        <v>16</v>
      </c>
      <c r="M185">
        <v>11013513.513513513</v>
      </c>
      <c r="N185">
        <v>11590090.09009009</v>
      </c>
      <c r="O185">
        <v>16247635.135135137</v>
      </c>
      <c r="P185">
        <v>22363736.936936937</v>
      </c>
      <c r="Q185">
        <v>4517657.6576576577</v>
      </c>
      <c r="R185">
        <v>5277837.8378378367</v>
      </c>
      <c r="S185">
        <v>5434</v>
      </c>
      <c r="T185">
        <v>5928</v>
      </c>
    </row>
    <row r="186" spans="1:20" x14ac:dyDescent="0.35">
      <c r="A186" s="7" t="s">
        <v>279</v>
      </c>
      <c r="B186" s="12" t="s">
        <v>170</v>
      </c>
      <c r="C186">
        <v>113406241.851546</v>
      </c>
      <c r="D186">
        <v>104366386.88443838</v>
      </c>
      <c r="E186">
        <v>107207.207207208</v>
      </c>
      <c r="F186">
        <v>2634234.2342342362</v>
      </c>
      <c r="G186">
        <v>16</v>
      </c>
      <c r="H186">
        <v>9</v>
      </c>
      <c r="K186">
        <v>18</v>
      </c>
      <c r="L186">
        <v>10</v>
      </c>
      <c r="M186">
        <v>9154504.5045045037</v>
      </c>
      <c r="N186">
        <v>9318918.9189189207</v>
      </c>
      <c r="O186">
        <v>49164925.675675683</v>
      </c>
      <c r="P186">
        <v>47897180.180180185</v>
      </c>
      <c r="Q186">
        <v>5262072.072072072</v>
      </c>
      <c r="R186">
        <v>6593333.333333333</v>
      </c>
      <c r="S186">
        <v>3304</v>
      </c>
      <c r="T186">
        <v>3318</v>
      </c>
    </row>
    <row r="187" spans="1:20" x14ac:dyDescent="0.35">
      <c r="A187" s="7" t="s">
        <v>280</v>
      </c>
      <c r="B187" s="12" t="s">
        <v>170</v>
      </c>
      <c r="C187">
        <v>60157176.391646728</v>
      </c>
      <c r="D187">
        <v>61707061.139560007</v>
      </c>
      <c r="E187">
        <v>30630.630630631</v>
      </c>
      <c r="F187">
        <v>3603.603603604</v>
      </c>
      <c r="G187">
        <v>8</v>
      </c>
      <c r="H187">
        <v>36</v>
      </c>
      <c r="K187">
        <v>9</v>
      </c>
      <c r="L187">
        <v>36</v>
      </c>
      <c r="M187">
        <v>3126689.1891891891</v>
      </c>
      <c r="N187">
        <v>1985585.5855855851</v>
      </c>
      <c r="O187">
        <v>26732445.945945945</v>
      </c>
      <c r="P187">
        <v>32922963.963963963</v>
      </c>
      <c r="Q187">
        <v>3470270.2702702698</v>
      </c>
      <c r="R187">
        <v>3100540.5405405401</v>
      </c>
      <c r="S187">
        <v>2065</v>
      </c>
      <c r="T187">
        <v>2123</v>
      </c>
    </row>
    <row r="188" spans="1:20" x14ac:dyDescent="0.35">
      <c r="A188" s="7" t="s">
        <v>281</v>
      </c>
      <c r="B188" s="12" t="s">
        <v>88</v>
      </c>
      <c r="C188">
        <v>1610773.694225925</v>
      </c>
      <c r="D188">
        <v>1764686.4722850721</v>
      </c>
      <c r="G188">
        <v>3</v>
      </c>
      <c r="K188">
        <v>3</v>
      </c>
      <c r="O188">
        <v>570414.41441441397</v>
      </c>
      <c r="P188">
        <v>758558.55855855905</v>
      </c>
      <c r="S188">
        <v>108</v>
      </c>
      <c r="T188">
        <v>141</v>
      </c>
    </row>
    <row r="189" spans="1:20" x14ac:dyDescent="0.35">
      <c r="A189" s="7" t="s">
        <v>282</v>
      </c>
      <c r="B189" s="12" t="s">
        <v>170</v>
      </c>
      <c r="C189">
        <v>113778763.94898154</v>
      </c>
      <c r="D189">
        <v>130749735.40679984</v>
      </c>
      <c r="E189">
        <v>445945.94594594702</v>
      </c>
      <c r="F189">
        <v>1046396.396396397</v>
      </c>
      <c r="G189">
        <v>29</v>
      </c>
      <c r="H189">
        <v>15</v>
      </c>
      <c r="K189">
        <v>30</v>
      </c>
      <c r="L189">
        <v>29</v>
      </c>
      <c r="M189">
        <v>15160180.180180181</v>
      </c>
      <c r="N189">
        <v>11826576.576576576</v>
      </c>
      <c r="O189">
        <v>46096207.20720721</v>
      </c>
      <c r="P189">
        <v>55300450.45045045</v>
      </c>
      <c r="Q189">
        <v>13515495.495495493</v>
      </c>
      <c r="R189">
        <v>12211081.081081081</v>
      </c>
      <c r="S189">
        <v>4235</v>
      </c>
      <c r="T189">
        <v>4106</v>
      </c>
    </row>
    <row r="190" spans="1:20" x14ac:dyDescent="0.35">
      <c r="A190" s="7" t="s">
        <v>283</v>
      </c>
      <c r="B190" s="12" t="s">
        <v>55</v>
      </c>
      <c r="C190">
        <v>84200824.636939839</v>
      </c>
      <c r="D190">
        <v>90247921.482639685</v>
      </c>
      <c r="E190">
        <v>951351.35135135404</v>
      </c>
      <c r="F190">
        <v>746846.84684684803</v>
      </c>
      <c r="G190">
        <v>28</v>
      </c>
      <c r="H190">
        <v>35</v>
      </c>
      <c r="K190">
        <v>33</v>
      </c>
      <c r="L190">
        <v>43</v>
      </c>
      <c r="M190">
        <v>8972072.0720720738</v>
      </c>
      <c r="N190">
        <v>13776576.576576576</v>
      </c>
      <c r="O190">
        <v>18578180.180180181</v>
      </c>
      <c r="P190">
        <v>21274207.207207207</v>
      </c>
      <c r="Q190">
        <v>8762612.6126126125</v>
      </c>
      <c r="R190">
        <v>11197207.207207208</v>
      </c>
      <c r="S190">
        <v>3618</v>
      </c>
      <c r="T190">
        <v>3762</v>
      </c>
    </row>
    <row r="191" spans="1:20" x14ac:dyDescent="0.35">
      <c r="A191" s="7" t="s">
        <v>284</v>
      </c>
      <c r="B191" s="12" t="s">
        <v>285</v>
      </c>
      <c r="C191">
        <v>104212478.49006563</v>
      </c>
      <c r="D191">
        <v>142411293.03232229</v>
      </c>
      <c r="E191">
        <v>299099.09909909999</v>
      </c>
      <c r="F191">
        <v>194594.594594597</v>
      </c>
      <c r="G191">
        <v>36</v>
      </c>
      <c r="H191">
        <v>17</v>
      </c>
      <c r="K191">
        <v>43</v>
      </c>
      <c r="L191">
        <v>18</v>
      </c>
      <c r="M191">
        <v>6794594.5945945969</v>
      </c>
      <c r="N191">
        <v>3401801.801801804</v>
      </c>
      <c r="O191">
        <v>18266882.882882878</v>
      </c>
      <c r="P191">
        <v>21127018.018018015</v>
      </c>
      <c r="Q191">
        <v>6557207.2072072076</v>
      </c>
      <c r="R191">
        <v>4385945.9459459456</v>
      </c>
      <c r="S191">
        <v>3197</v>
      </c>
      <c r="T191">
        <v>3159</v>
      </c>
    </row>
    <row r="192" spans="1:20" x14ac:dyDescent="0.35">
      <c r="A192" s="7" t="s">
        <v>286</v>
      </c>
      <c r="B192" s="12" t="s">
        <v>285</v>
      </c>
      <c r="C192">
        <v>243771425.14272714</v>
      </c>
      <c r="D192">
        <v>248541023.25557852</v>
      </c>
      <c r="E192">
        <v>128232217.11711712</v>
      </c>
      <c r="F192">
        <v>70863963.06306307</v>
      </c>
      <c r="G192">
        <v>44</v>
      </c>
      <c r="H192">
        <v>114</v>
      </c>
      <c r="K192">
        <v>59</v>
      </c>
      <c r="L192">
        <v>247</v>
      </c>
      <c r="M192">
        <v>44119253.153153151</v>
      </c>
      <c r="N192">
        <v>47068614.414414413</v>
      </c>
      <c r="O192">
        <v>49890545.045045048</v>
      </c>
      <c r="P192">
        <v>55534468.468468472</v>
      </c>
      <c r="Q192">
        <v>24232612.612612613</v>
      </c>
      <c r="R192">
        <v>26215495.495495494</v>
      </c>
      <c r="S192">
        <v>8148</v>
      </c>
      <c r="T192">
        <v>8154</v>
      </c>
    </row>
    <row r="193" spans="1:20" x14ac:dyDescent="0.35">
      <c r="A193" s="7" t="s">
        <v>287</v>
      </c>
      <c r="B193" s="12" t="s">
        <v>285</v>
      </c>
      <c r="C193">
        <v>129581054.94030109</v>
      </c>
      <c r="D193">
        <v>140381302.63620955</v>
      </c>
      <c r="E193">
        <v>801801.80180180201</v>
      </c>
      <c r="F193">
        <v>1480180.180180182</v>
      </c>
      <c r="G193">
        <v>19</v>
      </c>
      <c r="H193">
        <v>8</v>
      </c>
      <c r="K193">
        <v>31</v>
      </c>
      <c r="L193">
        <v>34</v>
      </c>
      <c r="M193">
        <v>33261261.261261258</v>
      </c>
      <c r="N193">
        <v>37377477.477477483</v>
      </c>
      <c r="O193">
        <v>40335738.738738738</v>
      </c>
      <c r="P193">
        <v>44401081.081081077</v>
      </c>
      <c r="Q193">
        <v>29262522.52252252</v>
      </c>
      <c r="R193">
        <v>30409279.27927928</v>
      </c>
      <c r="S193">
        <v>4672</v>
      </c>
      <c r="T193">
        <v>4812</v>
      </c>
    </row>
    <row r="194" spans="1:20" x14ac:dyDescent="0.35">
      <c r="A194" s="7" t="s">
        <v>288</v>
      </c>
      <c r="B194" s="12" t="s">
        <v>285</v>
      </c>
      <c r="C194">
        <v>95142658.461279228</v>
      </c>
      <c r="D194">
        <v>104506606.53172743</v>
      </c>
      <c r="E194">
        <v>290090.09009009198</v>
      </c>
      <c r="F194">
        <v>389189.18918918999</v>
      </c>
      <c r="G194">
        <v>7</v>
      </c>
      <c r="H194">
        <v>4</v>
      </c>
      <c r="K194">
        <v>8</v>
      </c>
      <c r="L194">
        <v>5</v>
      </c>
      <c r="M194">
        <v>8064864.8648648662</v>
      </c>
      <c r="N194">
        <v>7416216.2162162159</v>
      </c>
      <c r="O194">
        <v>18739054.054054055</v>
      </c>
      <c r="P194">
        <v>21374189.189189188</v>
      </c>
      <c r="Q194">
        <v>9036756.7567567565</v>
      </c>
      <c r="R194">
        <v>6217657.6576576568</v>
      </c>
      <c r="S194">
        <v>2540</v>
      </c>
      <c r="T194">
        <v>2592</v>
      </c>
    </row>
    <row r="195" spans="1:20" x14ac:dyDescent="0.35">
      <c r="A195" s="7" t="s">
        <v>289</v>
      </c>
      <c r="B195" s="12" t="s">
        <v>285</v>
      </c>
      <c r="C195">
        <v>47983163.230737135</v>
      </c>
      <c r="D195">
        <v>49853154.53180597</v>
      </c>
      <c r="E195">
        <v>73325225.225225225</v>
      </c>
      <c r="F195">
        <v>54163963.963963971</v>
      </c>
      <c r="H195">
        <v>1</v>
      </c>
      <c r="K195">
        <v>1</v>
      </c>
      <c r="L195">
        <v>1</v>
      </c>
      <c r="M195">
        <v>12343243.243243244</v>
      </c>
      <c r="N195">
        <v>7627927.927927928</v>
      </c>
      <c r="O195">
        <v>8881459.4594594594</v>
      </c>
      <c r="P195">
        <v>10572504.504504504</v>
      </c>
      <c r="Q195">
        <v>11916666.666666668</v>
      </c>
      <c r="R195">
        <v>6811801.8018018017</v>
      </c>
      <c r="S195">
        <v>1384</v>
      </c>
      <c r="T195">
        <v>1451</v>
      </c>
    </row>
    <row r="196" spans="1:20" x14ac:dyDescent="0.35">
      <c r="A196" s="7" t="s">
        <v>290</v>
      </c>
      <c r="B196" s="12" t="s">
        <v>285</v>
      </c>
      <c r="C196">
        <v>7898551.0688110031</v>
      </c>
      <c r="D196">
        <v>7972561.8382169111</v>
      </c>
      <c r="E196">
        <v>193693.69369369399</v>
      </c>
      <c r="F196">
        <v>387387.38738738699</v>
      </c>
      <c r="M196">
        <v>5436936.9369369373</v>
      </c>
      <c r="N196">
        <v>4549549.5495495489</v>
      </c>
      <c r="O196">
        <v>1119243.2432432431</v>
      </c>
      <c r="P196">
        <v>1610261.2612612611</v>
      </c>
      <c r="Q196">
        <v>5243243.2432432435</v>
      </c>
      <c r="R196">
        <v>4157657.6576576568</v>
      </c>
      <c r="S196">
        <v>346</v>
      </c>
      <c r="T196">
        <v>317</v>
      </c>
    </row>
    <row r="197" spans="1:20" x14ac:dyDescent="0.35">
      <c r="A197" s="7" t="s">
        <v>291</v>
      </c>
      <c r="B197" s="12" t="s">
        <v>292</v>
      </c>
      <c r="C197">
        <v>99723181.028785169</v>
      </c>
      <c r="D197">
        <v>105076088.82107593</v>
      </c>
      <c r="E197">
        <v>115315.31531531599</v>
      </c>
      <c r="F197">
        <v>13513.513513514001</v>
      </c>
      <c r="G197">
        <v>19</v>
      </c>
      <c r="H197">
        <v>9</v>
      </c>
      <c r="K197">
        <v>22</v>
      </c>
      <c r="L197">
        <v>11</v>
      </c>
      <c r="M197">
        <v>171171.171171172</v>
      </c>
      <c r="N197">
        <v>472972.97297297302</v>
      </c>
      <c r="O197">
        <v>8617344.1441441439</v>
      </c>
      <c r="P197">
        <v>10828075.675675675</v>
      </c>
      <c r="Q197">
        <v>480000</v>
      </c>
      <c r="R197">
        <v>700450.450450451</v>
      </c>
      <c r="S197">
        <v>4413</v>
      </c>
      <c r="T197">
        <v>4499</v>
      </c>
    </row>
    <row r="198" spans="1:20" x14ac:dyDescent="0.35">
      <c r="A198" s="7" t="s">
        <v>293</v>
      </c>
      <c r="B198" s="12" t="s">
        <v>148</v>
      </c>
      <c r="C198">
        <v>225433522.20975226</v>
      </c>
      <c r="D198">
        <v>205756255.07108089</v>
      </c>
      <c r="E198">
        <v>185769612.61261261</v>
      </c>
      <c r="F198">
        <v>176192594.5945946</v>
      </c>
      <c r="G198">
        <v>52</v>
      </c>
      <c r="H198">
        <v>61</v>
      </c>
      <c r="K198">
        <v>64</v>
      </c>
      <c r="L198">
        <v>75</v>
      </c>
      <c r="M198">
        <v>87685461.261261269</v>
      </c>
      <c r="N198">
        <v>74348076.576576576</v>
      </c>
      <c r="O198">
        <v>82690540.540540546</v>
      </c>
      <c r="P198">
        <v>84686459.459459454</v>
      </c>
      <c r="Q198">
        <v>80218198.198198199</v>
      </c>
      <c r="R198">
        <v>57307837.837837838</v>
      </c>
      <c r="S198">
        <v>8404</v>
      </c>
      <c r="T198">
        <v>7618</v>
      </c>
    </row>
    <row r="199" spans="1:20" x14ac:dyDescent="0.35">
      <c r="A199" s="7" t="s">
        <v>294</v>
      </c>
      <c r="B199" s="12" t="s">
        <v>295</v>
      </c>
      <c r="C199">
        <v>107911314.48063955</v>
      </c>
      <c r="D199">
        <v>119789361.8684036</v>
      </c>
      <c r="E199">
        <v>59311891.891891889</v>
      </c>
      <c r="F199">
        <v>36532432.432432435</v>
      </c>
      <c r="G199">
        <v>8</v>
      </c>
      <c r="K199">
        <v>9</v>
      </c>
      <c r="L199">
        <v>7</v>
      </c>
      <c r="M199">
        <v>19335675.675675675</v>
      </c>
      <c r="N199">
        <v>22783333.333333336</v>
      </c>
      <c r="O199">
        <v>15075711.711711712</v>
      </c>
      <c r="P199">
        <v>16982522.522522524</v>
      </c>
      <c r="Q199">
        <v>19898828.828828827</v>
      </c>
      <c r="R199">
        <v>23027207.207207207</v>
      </c>
      <c r="S199">
        <v>3346</v>
      </c>
      <c r="T199">
        <v>3597</v>
      </c>
    </row>
    <row r="200" spans="1:20" x14ac:dyDescent="0.35">
      <c r="A200" s="7" t="s">
        <v>296</v>
      </c>
      <c r="B200" s="12" t="s">
        <v>292</v>
      </c>
      <c r="C200">
        <v>23101662.463899124</v>
      </c>
      <c r="D200">
        <v>27794453.683586799</v>
      </c>
      <c r="E200">
        <v>590090.09009008994</v>
      </c>
      <c r="F200">
        <v>621621.62162162201</v>
      </c>
      <c r="G200">
        <v>6</v>
      </c>
      <c r="H200">
        <v>3</v>
      </c>
      <c r="K200">
        <v>6</v>
      </c>
      <c r="L200">
        <v>4</v>
      </c>
      <c r="M200">
        <v>2437837.8378378372</v>
      </c>
      <c r="N200">
        <v>621621.62162162201</v>
      </c>
      <c r="O200">
        <v>3538063.0630630632</v>
      </c>
      <c r="P200">
        <v>3090927.927927928</v>
      </c>
      <c r="Q200">
        <v>1736126.1261261271</v>
      </c>
      <c r="R200">
        <v>1249099.0990990989</v>
      </c>
      <c r="S200">
        <v>1197</v>
      </c>
      <c r="T200">
        <v>1214</v>
      </c>
    </row>
    <row r="201" spans="1:20" x14ac:dyDescent="0.35">
      <c r="A201" s="7" t="s">
        <v>297</v>
      </c>
      <c r="B201" s="12" t="s">
        <v>53</v>
      </c>
      <c r="C201">
        <v>315342072.08772725</v>
      </c>
      <c r="D201">
        <v>331477150.36978453</v>
      </c>
      <c r="E201">
        <v>2858558.5585585628</v>
      </c>
      <c r="F201">
        <v>4720918.9189189225</v>
      </c>
      <c r="G201">
        <v>85</v>
      </c>
      <c r="H201">
        <v>135</v>
      </c>
      <c r="K201">
        <v>127</v>
      </c>
      <c r="L201">
        <v>218</v>
      </c>
      <c r="M201">
        <v>204453873.87387389</v>
      </c>
      <c r="N201">
        <v>64002000</v>
      </c>
      <c r="O201">
        <v>85103243.243243247</v>
      </c>
      <c r="P201">
        <v>90613729.729729727</v>
      </c>
      <c r="Q201">
        <v>169362522.52252254</v>
      </c>
      <c r="R201">
        <v>65180720.720720723</v>
      </c>
      <c r="S201">
        <v>12732</v>
      </c>
      <c r="T201">
        <v>11495</v>
      </c>
    </row>
    <row r="202" spans="1:20" x14ac:dyDescent="0.35">
      <c r="A202" s="7" t="s">
        <v>298</v>
      </c>
      <c r="B202" s="12" t="s">
        <v>170</v>
      </c>
      <c r="C202">
        <v>87226853.092828661</v>
      </c>
      <c r="D202">
        <v>116595603.67771584</v>
      </c>
      <c r="E202">
        <v>13513.513513514001</v>
      </c>
      <c r="F202">
        <v>2252.2522522519998</v>
      </c>
      <c r="G202">
        <v>12</v>
      </c>
      <c r="H202">
        <v>5</v>
      </c>
      <c r="K202">
        <v>16</v>
      </c>
      <c r="L202">
        <v>6</v>
      </c>
      <c r="M202">
        <v>4833333.333333334</v>
      </c>
      <c r="N202">
        <v>4777027.0270270268</v>
      </c>
      <c r="O202">
        <v>20253549.549549554</v>
      </c>
      <c r="P202">
        <v>30569504.504504506</v>
      </c>
      <c r="Q202">
        <v>5023153.1531531541</v>
      </c>
      <c r="R202">
        <v>5352612.6126126125</v>
      </c>
      <c r="S202">
        <v>4297</v>
      </c>
      <c r="T202">
        <v>4695</v>
      </c>
    </row>
    <row r="203" spans="1:20" x14ac:dyDescent="0.35">
      <c r="A203" s="7" t="s">
        <v>299</v>
      </c>
      <c r="B203" s="12" t="s">
        <v>170</v>
      </c>
      <c r="C203">
        <v>123426621.55185577</v>
      </c>
      <c r="D203">
        <v>86436465.468498036</v>
      </c>
      <c r="E203">
        <v>57657.657657657997</v>
      </c>
      <c r="F203">
        <v>54954.954954954999</v>
      </c>
      <c r="G203">
        <v>22</v>
      </c>
      <c r="H203">
        <v>13</v>
      </c>
      <c r="K203">
        <v>25</v>
      </c>
      <c r="L203">
        <v>15</v>
      </c>
      <c r="M203">
        <v>1827167849.5495496</v>
      </c>
      <c r="N203">
        <v>827991891.89189184</v>
      </c>
      <c r="O203">
        <v>44029963.963963971</v>
      </c>
      <c r="P203">
        <v>38702405.40540541</v>
      </c>
      <c r="Q203">
        <v>1820473236.036036</v>
      </c>
      <c r="R203">
        <v>788727632.43243241</v>
      </c>
      <c r="S203">
        <v>2843</v>
      </c>
      <c r="T203">
        <v>2782</v>
      </c>
    </row>
    <row r="204" spans="1:20" x14ac:dyDescent="0.35">
      <c r="A204" s="7" t="s">
        <v>300</v>
      </c>
      <c r="B204" s="12" t="s">
        <v>90</v>
      </c>
      <c r="C204">
        <v>359195556.70130521</v>
      </c>
      <c r="D204">
        <v>379478305.48047781</v>
      </c>
      <c r="E204">
        <v>1936823.423423433</v>
      </c>
      <c r="F204">
        <v>1771171.171171176</v>
      </c>
      <c r="G204">
        <v>74</v>
      </c>
      <c r="H204">
        <v>25</v>
      </c>
      <c r="I204">
        <v>2</v>
      </c>
      <c r="K204">
        <v>135</v>
      </c>
      <c r="L204">
        <v>34</v>
      </c>
      <c r="M204">
        <v>21213630.630630631</v>
      </c>
      <c r="N204">
        <v>391896396.3963964</v>
      </c>
      <c r="O204">
        <v>70371815.315315306</v>
      </c>
      <c r="P204">
        <v>80091387.387387395</v>
      </c>
      <c r="Q204">
        <v>25586846.846846845</v>
      </c>
      <c r="R204">
        <v>331060090.0900901</v>
      </c>
      <c r="S204">
        <v>11017</v>
      </c>
      <c r="T204">
        <v>11297</v>
      </c>
    </row>
    <row r="205" spans="1:20" x14ac:dyDescent="0.35">
      <c r="A205" s="7" t="s">
        <v>301</v>
      </c>
      <c r="B205" s="12" t="s">
        <v>135</v>
      </c>
      <c r="C205">
        <v>199128873.14869699</v>
      </c>
      <c r="D205">
        <v>225268029.43748072</v>
      </c>
      <c r="E205">
        <v>1534234.2342342371</v>
      </c>
      <c r="F205">
        <v>1092792.7927927929</v>
      </c>
      <c r="G205">
        <v>44</v>
      </c>
      <c r="H205">
        <v>34</v>
      </c>
      <c r="K205">
        <v>61</v>
      </c>
      <c r="L205">
        <v>70</v>
      </c>
      <c r="M205">
        <v>14543243.243243242</v>
      </c>
      <c r="N205">
        <v>24507207.207207203</v>
      </c>
      <c r="O205">
        <v>24558918.918918919</v>
      </c>
      <c r="P205">
        <v>33379466.666666664</v>
      </c>
      <c r="Q205">
        <v>12190810.810810812</v>
      </c>
      <c r="R205">
        <v>19141621.62162162</v>
      </c>
      <c r="S205">
        <v>8372</v>
      </c>
      <c r="T205">
        <v>7120</v>
      </c>
    </row>
    <row r="206" spans="1:20" x14ac:dyDescent="0.35">
      <c r="A206" s="7" t="s">
        <v>302</v>
      </c>
      <c r="B206" s="12" t="s">
        <v>292</v>
      </c>
      <c r="C206">
        <v>136699595.105214</v>
      </c>
      <c r="D206">
        <v>145183258.87641758</v>
      </c>
      <c r="E206">
        <v>2183783.7837837851</v>
      </c>
      <c r="F206">
        <v>1242342.342342345</v>
      </c>
      <c r="G206">
        <v>49</v>
      </c>
      <c r="H206">
        <v>21</v>
      </c>
      <c r="K206">
        <v>56</v>
      </c>
      <c r="L206">
        <v>26</v>
      </c>
      <c r="M206">
        <v>11527927.927927928</v>
      </c>
      <c r="N206">
        <v>14233333.333333334</v>
      </c>
      <c r="O206">
        <v>18658664.864864863</v>
      </c>
      <c r="P206">
        <v>20917549.54954955</v>
      </c>
      <c r="Q206">
        <v>10666036.036036031</v>
      </c>
      <c r="R206">
        <v>17685855.855855856</v>
      </c>
      <c r="S206">
        <v>4332</v>
      </c>
      <c r="T206">
        <v>4390</v>
      </c>
    </row>
    <row r="207" spans="1:20" x14ac:dyDescent="0.35">
      <c r="A207" s="7" t="s">
        <v>303</v>
      </c>
      <c r="B207" s="12" t="s">
        <v>81</v>
      </c>
      <c r="C207">
        <v>198136339.12893671</v>
      </c>
      <c r="D207">
        <v>211237742.15176144</v>
      </c>
      <c r="E207">
        <v>2929504.504504506</v>
      </c>
      <c r="F207">
        <v>4022522.5225225249</v>
      </c>
      <c r="G207">
        <v>32</v>
      </c>
      <c r="H207">
        <v>6</v>
      </c>
      <c r="K207">
        <v>36</v>
      </c>
      <c r="L207">
        <v>15</v>
      </c>
      <c r="M207">
        <v>19855855.855855852</v>
      </c>
      <c r="N207">
        <v>23480180.180180181</v>
      </c>
      <c r="O207">
        <v>41221945.945945941</v>
      </c>
      <c r="P207">
        <v>47498810.810810804</v>
      </c>
      <c r="Q207">
        <v>17737027.027027026</v>
      </c>
      <c r="R207">
        <v>21605945.945945948</v>
      </c>
      <c r="S207">
        <v>6496</v>
      </c>
      <c r="T207">
        <v>5794</v>
      </c>
    </row>
    <row r="208" spans="1:20" x14ac:dyDescent="0.35">
      <c r="A208" s="7" t="s">
        <v>304</v>
      </c>
      <c r="B208" s="12" t="s">
        <v>73</v>
      </c>
      <c r="C208">
        <v>310375876.34545934</v>
      </c>
      <c r="D208">
        <v>336702753.0873813</v>
      </c>
      <c r="E208">
        <v>33034234.23423424</v>
      </c>
      <c r="F208">
        <v>27502702.702702705</v>
      </c>
      <c r="G208">
        <v>78</v>
      </c>
      <c r="H208">
        <v>30</v>
      </c>
      <c r="I208">
        <v>1</v>
      </c>
      <c r="K208">
        <v>89</v>
      </c>
      <c r="L208">
        <v>35</v>
      </c>
      <c r="M208">
        <v>20837837.837837841</v>
      </c>
      <c r="N208">
        <v>31566441.441441439</v>
      </c>
      <c r="O208">
        <v>47414306.306306303</v>
      </c>
      <c r="P208">
        <v>56039565.765765771</v>
      </c>
      <c r="Q208">
        <v>15648468.46846847</v>
      </c>
      <c r="R208">
        <v>19100900.9009009</v>
      </c>
      <c r="S208">
        <v>9568</v>
      </c>
      <c r="T208">
        <v>9144</v>
      </c>
    </row>
    <row r="209" spans="1:20" x14ac:dyDescent="0.35">
      <c r="A209" s="7" t="s">
        <v>305</v>
      </c>
      <c r="B209" s="12" t="s">
        <v>306</v>
      </c>
      <c r="C209">
        <v>1106194.652077175</v>
      </c>
      <c r="D209">
        <v>1329082.1856505291</v>
      </c>
      <c r="O209">
        <v>485225.22522522497</v>
      </c>
      <c r="P209">
        <v>319369.369369369</v>
      </c>
      <c r="S209">
        <v>71</v>
      </c>
      <c r="T209">
        <v>77</v>
      </c>
    </row>
    <row r="210" spans="1:20" x14ac:dyDescent="0.35">
      <c r="A210" s="7" t="s">
        <v>307</v>
      </c>
      <c r="B210" s="12" t="s">
        <v>118</v>
      </c>
      <c r="C210">
        <v>40380225.791563258</v>
      </c>
      <c r="D210">
        <v>41250653.78438805</v>
      </c>
      <c r="E210">
        <v>289189.18918919202</v>
      </c>
      <c r="F210">
        <v>8108.1081081080001</v>
      </c>
      <c r="G210">
        <v>4</v>
      </c>
      <c r="H210">
        <v>10</v>
      </c>
      <c r="K210">
        <v>5</v>
      </c>
      <c r="L210">
        <v>11</v>
      </c>
      <c r="M210">
        <v>2030450.450450453</v>
      </c>
      <c r="N210">
        <v>909009.00900900899</v>
      </c>
      <c r="O210">
        <v>17274549.54954955</v>
      </c>
      <c r="P210">
        <v>17327522.522522524</v>
      </c>
      <c r="Q210">
        <v>2142162.1621621619</v>
      </c>
      <c r="R210">
        <v>1211081.0810810809</v>
      </c>
      <c r="S210">
        <v>1715</v>
      </c>
      <c r="T210">
        <v>1743</v>
      </c>
    </row>
    <row r="211" spans="1:20" x14ac:dyDescent="0.35">
      <c r="A211" s="7" t="s">
        <v>308</v>
      </c>
      <c r="B211" s="12" t="s">
        <v>309</v>
      </c>
      <c r="C211">
        <v>48033638.874189049</v>
      </c>
      <c r="D211">
        <v>49488694.227157913</v>
      </c>
      <c r="E211">
        <v>900.900900901</v>
      </c>
      <c r="F211">
        <v>27027.027027027001</v>
      </c>
      <c r="G211">
        <v>28</v>
      </c>
      <c r="H211">
        <v>11</v>
      </c>
      <c r="K211">
        <v>32</v>
      </c>
      <c r="L211">
        <v>12</v>
      </c>
      <c r="M211">
        <v>482882.88288288302</v>
      </c>
      <c r="N211">
        <v>27027.027027027001</v>
      </c>
      <c r="O211">
        <v>25449198.198198199</v>
      </c>
      <c r="P211">
        <v>24998621.62162162</v>
      </c>
      <c r="Q211">
        <v>407747.74774774798</v>
      </c>
      <c r="R211">
        <v>202612.61261261301</v>
      </c>
      <c r="S211">
        <v>4302</v>
      </c>
      <c r="T211">
        <v>4275</v>
      </c>
    </row>
    <row r="212" spans="1:20" x14ac:dyDescent="0.35">
      <c r="A212" s="7" t="s">
        <v>310</v>
      </c>
      <c r="B212" s="12" t="s">
        <v>141</v>
      </c>
      <c r="C212">
        <v>327860175.01445401</v>
      </c>
      <c r="D212">
        <v>351881269.07468039</v>
      </c>
      <c r="E212">
        <v>1266666.666666674</v>
      </c>
      <c r="F212">
        <v>1906306.3063063079</v>
      </c>
      <c r="G212">
        <v>54</v>
      </c>
      <c r="H212">
        <v>11</v>
      </c>
      <c r="I212">
        <v>2</v>
      </c>
      <c r="K212">
        <v>67</v>
      </c>
      <c r="L212">
        <v>19</v>
      </c>
      <c r="M212">
        <v>67140540.540540546</v>
      </c>
      <c r="N212">
        <v>63941531.531531535</v>
      </c>
      <c r="O212">
        <v>72195216.216216221</v>
      </c>
      <c r="P212">
        <v>79843304.504504502</v>
      </c>
      <c r="Q212">
        <v>34578918.918918923</v>
      </c>
      <c r="R212">
        <v>35967747.747747749</v>
      </c>
      <c r="S212">
        <v>8199</v>
      </c>
      <c r="T212">
        <v>8198</v>
      </c>
    </row>
    <row r="213" spans="1:20" x14ac:dyDescent="0.35">
      <c r="A213" s="7" t="s">
        <v>311</v>
      </c>
      <c r="B213" s="12" t="s">
        <v>133</v>
      </c>
      <c r="C213">
        <v>306126663.73225361</v>
      </c>
      <c r="D213">
        <v>317495356.55611974</v>
      </c>
      <c r="E213">
        <v>2700000.0000000009</v>
      </c>
      <c r="F213">
        <v>2001801.8018018031</v>
      </c>
      <c r="G213">
        <v>93</v>
      </c>
      <c r="H213">
        <v>47</v>
      </c>
      <c r="K213">
        <v>109</v>
      </c>
      <c r="L213">
        <v>53</v>
      </c>
      <c r="M213">
        <v>15420720.72072072</v>
      </c>
      <c r="N213">
        <v>9870495.4954954963</v>
      </c>
      <c r="O213">
        <v>81780648.648648649</v>
      </c>
      <c r="P213">
        <v>93199207.207207203</v>
      </c>
      <c r="Q213">
        <v>11808648.648648648</v>
      </c>
      <c r="R213">
        <v>8102567.5675675683</v>
      </c>
      <c r="S213">
        <v>12191</v>
      </c>
      <c r="T213">
        <v>12417</v>
      </c>
    </row>
    <row r="214" spans="1:20" x14ac:dyDescent="0.35">
      <c r="A214" s="7" t="s">
        <v>312</v>
      </c>
      <c r="B214" s="12" t="s">
        <v>73</v>
      </c>
      <c r="C214">
        <v>524159887.98620844</v>
      </c>
      <c r="D214">
        <v>604618240.70243704</v>
      </c>
      <c r="E214">
        <v>4887612.6126126247</v>
      </c>
      <c r="F214">
        <v>2945045.0450450522</v>
      </c>
      <c r="G214">
        <v>108</v>
      </c>
      <c r="H214">
        <v>40</v>
      </c>
      <c r="I214">
        <v>3</v>
      </c>
      <c r="K214">
        <v>145</v>
      </c>
      <c r="L214">
        <v>47</v>
      </c>
      <c r="M214">
        <v>74232432.432432428</v>
      </c>
      <c r="N214">
        <v>91109009.009009004</v>
      </c>
      <c r="O214">
        <v>127051345.04504503</v>
      </c>
      <c r="P214">
        <v>188223185.58558559</v>
      </c>
      <c r="Q214">
        <v>66009189.189189196</v>
      </c>
      <c r="R214">
        <v>78816036.036036029</v>
      </c>
      <c r="S214">
        <v>16454</v>
      </c>
      <c r="T214">
        <v>16756</v>
      </c>
    </row>
    <row r="215" spans="1:20" x14ac:dyDescent="0.35">
      <c r="A215" s="7" t="s">
        <v>313</v>
      </c>
      <c r="B215" s="12" t="s">
        <v>63</v>
      </c>
      <c r="C215">
        <v>90548943.85339278</v>
      </c>
      <c r="D215">
        <v>93867527.268651485</v>
      </c>
      <c r="E215">
        <v>567567.56756757002</v>
      </c>
      <c r="F215">
        <v>711711.711711713</v>
      </c>
      <c r="G215">
        <v>15</v>
      </c>
      <c r="H215">
        <v>11</v>
      </c>
      <c r="K215">
        <v>16</v>
      </c>
      <c r="L215">
        <v>11</v>
      </c>
      <c r="M215">
        <v>20637297.297297295</v>
      </c>
      <c r="N215">
        <v>13086846.846846849</v>
      </c>
      <c r="O215">
        <v>24676063.063063063</v>
      </c>
      <c r="P215">
        <v>26543972.972972974</v>
      </c>
      <c r="Q215">
        <v>16346036.036036037</v>
      </c>
      <c r="R215">
        <v>16135855.855855858</v>
      </c>
      <c r="S215">
        <v>2348</v>
      </c>
      <c r="T215">
        <v>2371</v>
      </c>
    </row>
    <row r="216" spans="1:20" x14ac:dyDescent="0.35">
      <c r="A216" s="7" t="s">
        <v>314</v>
      </c>
      <c r="B216" s="12" t="s">
        <v>90</v>
      </c>
      <c r="C216">
        <v>30287800.66124377</v>
      </c>
      <c r="D216">
        <v>34540486.781203784</v>
      </c>
      <c r="E216">
        <v>375675.67567567801</v>
      </c>
      <c r="F216">
        <v>1218918.91891892</v>
      </c>
      <c r="G216">
        <v>8</v>
      </c>
      <c r="H216">
        <v>4</v>
      </c>
      <c r="K216">
        <v>10</v>
      </c>
      <c r="L216">
        <v>4</v>
      </c>
      <c r="M216">
        <v>4619099.0990990978</v>
      </c>
      <c r="N216">
        <v>6602342.3423423413</v>
      </c>
      <c r="O216">
        <v>10368990.990990993</v>
      </c>
      <c r="P216">
        <v>11980189.189189188</v>
      </c>
      <c r="Q216">
        <v>4636936.9369369354</v>
      </c>
      <c r="R216">
        <v>6035945.9459459446</v>
      </c>
      <c r="S216">
        <v>1142</v>
      </c>
      <c r="T216">
        <v>1317</v>
      </c>
    </row>
    <row r="217" spans="1:20" x14ac:dyDescent="0.35">
      <c r="A217" s="7" t="s">
        <v>315</v>
      </c>
      <c r="B217" s="12" t="s">
        <v>93</v>
      </c>
      <c r="C217">
        <v>14201176.19554434</v>
      </c>
      <c r="D217">
        <v>9919629.1560974605</v>
      </c>
      <c r="E217">
        <v>54054.054054054002</v>
      </c>
      <c r="F217">
        <v>27027.027027027001</v>
      </c>
      <c r="G217">
        <v>2</v>
      </c>
      <c r="H217">
        <v>3</v>
      </c>
      <c r="K217">
        <v>2</v>
      </c>
      <c r="L217">
        <v>3</v>
      </c>
      <c r="M217">
        <v>54054.054054054002</v>
      </c>
      <c r="N217">
        <v>27027.027027027001</v>
      </c>
      <c r="O217">
        <v>897702.70270270295</v>
      </c>
      <c r="P217">
        <v>1288729.7297297299</v>
      </c>
      <c r="Q217">
        <v>145045.045045045</v>
      </c>
      <c r="R217">
        <v>36036.036036035999</v>
      </c>
      <c r="S217">
        <v>502</v>
      </c>
      <c r="T217">
        <v>851</v>
      </c>
    </row>
    <row r="218" spans="1:20" x14ac:dyDescent="0.35">
      <c r="A218" s="7" t="s">
        <v>316</v>
      </c>
      <c r="B218" s="12" t="s">
        <v>317</v>
      </c>
      <c r="C218">
        <v>105759709.22741415</v>
      </c>
      <c r="D218">
        <v>107051342.33588733</v>
      </c>
      <c r="E218">
        <v>493243.24324324197</v>
      </c>
      <c r="F218">
        <v>2637837.8378378372</v>
      </c>
      <c r="G218">
        <v>19</v>
      </c>
      <c r="H218">
        <v>23</v>
      </c>
      <c r="K218">
        <v>19</v>
      </c>
      <c r="L218">
        <v>27</v>
      </c>
      <c r="M218">
        <v>10973873.873873873</v>
      </c>
      <c r="N218">
        <v>20259459.459459458</v>
      </c>
      <c r="O218">
        <v>16329918.918918921</v>
      </c>
      <c r="P218">
        <v>19100657.657657657</v>
      </c>
      <c r="Q218">
        <v>5736486.4864864843</v>
      </c>
      <c r="R218">
        <v>15206036.036036037</v>
      </c>
      <c r="S218">
        <v>3425</v>
      </c>
      <c r="T218">
        <v>3660</v>
      </c>
    </row>
    <row r="219" spans="1:20" x14ac:dyDescent="0.35">
      <c r="A219" s="7" t="s">
        <v>318</v>
      </c>
      <c r="B219" s="12" t="s">
        <v>63</v>
      </c>
      <c r="C219">
        <v>181195909.39456248</v>
      </c>
      <c r="D219">
        <v>197786739.14161661</v>
      </c>
      <c r="E219">
        <v>3372072.0720720789</v>
      </c>
      <c r="F219">
        <v>2129279.2792792809</v>
      </c>
      <c r="G219">
        <v>59</v>
      </c>
      <c r="H219">
        <v>32</v>
      </c>
      <c r="K219">
        <v>130</v>
      </c>
      <c r="L219">
        <v>70</v>
      </c>
      <c r="M219">
        <v>28703963.963963967</v>
      </c>
      <c r="N219">
        <v>15317027.027027024</v>
      </c>
      <c r="O219">
        <v>62453558.558558561</v>
      </c>
      <c r="P219">
        <v>71613621.621621624</v>
      </c>
      <c r="Q219">
        <v>27011261.261261255</v>
      </c>
      <c r="R219">
        <v>20468288.288288288</v>
      </c>
      <c r="S219">
        <v>8785</v>
      </c>
      <c r="T219">
        <v>8873</v>
      </c>
    </row>
    <row r="220" spans="1:20" x14ac:dyDescent="0.35">
      <c r="A220" s="7" t="s">
        <v>319</v>
      </c>
      <c r="B220" s="12" t="s">
        <v>63</v>
      </c>
      <c r="C220">
        <v>167237991.17855111</v>
      </c>
      <c r="D220">
        <v>186046780.32010725</v>
      </c>
      <c r="E220">
        <v>1169369.369369372</v>
      </c>
      <c r="F220">
        <v>1088288.2882882899</v>
      </c>
      <c r="G220">
        <v>24</v>
      </c>
      <c r="H220">
        <v>6</v>
      </c>
      <c r="K220">
        <v>30</v>
      </c>
      <c r="L220">
        <v>13</v>
      </c>
      <c r="M220">
        <v>22834054.054054052</v>
      </c>
      <c r="N220">
        <v>25328468.468468469</v>
      </c>
      <c r="O220">
        <v>58608405.40540541</v>
      </c>
      <c r="P220">
        <v>65906657.657657653</v>
      </c>
      <c r="Q220">
        <v>21720990.990990989</v>
      </c>
      <c r="R220">
        <v>26972162.162162159</v>
      </c>
      <c r="S220">
        <v>5405</v>
      </c>
      <c r="T220">
        <v>5654</v>
      </c>
    </row>
    <row r="221" spans="1:20" x14ac:dyDescent="0.35">
      <c r="A221" s="7" t="s">
        <v>320</v>
      </c>
      <c r="B221" s="12" t="s">
        <v>79</v>
      </c>
      <c r="C221">
        <v>172861196.08513391</v>
      </c>
      <c r="D221">
        <v>181954256.12241215</v>
      </c>
      <c r="E221">
        <v>3210810.810810816</v>
      </c>
      <c r="F221">
        <v>3346396.3963964018</v>
      </c>
      <c r="G221">
        <v>50</v>
      </c>
      <c r="H221">
        <v>38</v>
      </c>
      <c r="I221">
        <v>2</v>
      </c>
      <c r="K221">
        <v>88</v>
      </c>
      <c r="L221">
        <v>44</v>
      </c>
      <c r="M221">
        <v>41945945.945945941</v>
      </c>
      <c r="N221">
        <v>49353603.603603601</v>
      </c>
      <c r="O221">
        <v>75272608.108108118</v>
      </c>
      <c r="P221">
        <v>78164394.594594598</v>
      </c>
      <c r="Q221">
        <v>42319909.909909911</v>
      </c>
      <c r="R221">
        <v>44315585.585585587</v>
      </c>
      <c r="S221">
        <v>8548</v>
      </c>
      <c r="T221">
        <v>9472</v>
      </c>
    </row>
    <row r="222" spans="1:20" x14ac:dyDescent="0.35">
      <c r="A222" s="7" t="s">
        <v>321</v>
      </c>
      <c r="B222" s="12" t="s">
        <v>79</v>
      </c>
      <c r="C222">
        <v>101531772.50899681</v>
      </c>
      <c r="D222">
        <v>106129053.61125912</v>
      </c>
      <c r="E222">
        <v>1741441.4414414431</v>
      </c>
      <c r="F222">
        <v>1773873.8738738759</v>
      </c>
      <c r="G222">
        <v>34</v>
      </c>
      <c r="H222">
        <v>31</v>
      </c>
      <c r="K222">
        <v>73</v>
      </c>
      <c r="L222">
        <v>48</v>
      </c>
      <c r="M222">
        <v>9137837.8378378376</v>
      </c>
      <c r="N222">
        <v>11332432.432432435</v>
      </c>
      <c r="O222">
        <v>37890783.783783786</v>
      </c>
      <c r="P222">
        <v>41097324.324324317</v>
      </c>
      <c r="Q222">
        <v>7555135.1351351384</v>
      </c>
      <c r="R222">
        <v>10189729.729729732</v>
      </c>
      <c r="S222">
        <v>5505</v>
      </c>
      <c r="T222">
        <v>5674</v>
      </c>
    </row>
    <row r="223" spans="1:20" x14ac:dyDescent="0.35">
      <c r="A223" s="7" t="s">
        <v>322</v>
      </c>
      <c r="B223" s="12" t="s">
        <v>122</v>
      </c>
      <c r="C223">
        <v>757118.02877064899</v>
      </c>
      <c r="D223">
        <v>697001.98143622396</v>
      </c>
      <c r="H223">
        <v>2</v>
      </c>
      <c r="L223">
        <v>2</v>
      </c>
      <c r="O223">
        <v>45810.810810811003</v>
      </c>
      <c r="P223">
        <v>308513.51351351402</v>
      </c>
      <c r="S223">
        <v>55</v>
      </c>
      <c r="T223">
        <v>152</v>
      </c>
    </row>
    <row r="224" spans="1:20" x14ac:dyDescent="0.35">
      <c r="A224" s="7" t="s">
        <v>323</v>
      </c>
      <c r="B224" s="12" t="s">
        <v>226</v>
      </c>
      <c r="C224">
        <v>120196306.87567249</v>
      </c>
      <c r="D224">
        <v>128143274.13380478</v>
      </c>
      <c r="E224">
        <v>18018.018018018</v>
      </c>
      <c r="F224">
        <v>20720.720720721001</v>
      </c>
      <c r="G224">
        <v>25</v>
      </c>
      <c r="H224">
        <v>20</v>
      </c>
      <c r="I224">
        <v>2</v>
      </c>
      <c r="K224">
        <v>28</v>
      </c>
      <c r="L224">
        <v>20</v>
      </c>
      <c r="M224">
        <v>3629549.549549548</v>
      </c>
      <c r="N224">
        <v>2611711.711711714</v>
      </c>
      <c r="O224">
        <v>49317412.612612613</v>
      </c>
      <c r="P224">
        <v>54291162.162162162</v>
      </c>
      <c r="Q224">
        <v>3427927.9279279262</v>
      </c>
      <c r="R224">
        <v>3404414.4144144161</v>
      </c>
      <c r="S224">
        <v>3862</v>
      </c>
      <c r="T224">
        <v>3948</v>
      </c>
    </row>
    <row r="225" spans="1:20" x14ac:dyDescent="0.35">
      <c r="A225" s="7" t="s">
        <v>324</v>
      </c>
      <c r="B225" s="12" t="s">
        <v>226</v>
      </c>
      <c r="C225">
        <v>83253602.158272028</v>
      </c>
      <c r="D225">
        <v>96812354.368820027</v>
      </c>
      <c r="E225">
        <v>17117.117117117999</v>
      </c>
      <c r="F225">
        <v>35135.135135137003</v>
      </c>
      <c r="G225">
        <v>4</v>
      </c>
      <c r="H225">
        <v>8</v>
      </c>
      <c r="K225">
        <v>5</v>
      </c>
      <c r="L225">
        <v>18</v>
      </c>
      <c r="M225">
        <v>9657837.8378378358</v>
      </c>
      <c r="N225">
        <v>8963963.963963965</v>
      </c>
      <c r="O225">
        <v>24656441.441441439</v>
      </c>
      <c r="P225">
        <v>28872342.342342343</v>
      </c>
      <c r="Q225">
        <v>5735945.9459459446</v>
      </c>
      <c r="R225">
        <v>7198558.558558559</v>
      </c>
      <c r="S225">
        <v>2179</v>
      </c>
      <c r="T225">
        <v>2167</v>
      </c>
    </row>
    <row r="226" spans="1:20" x14ac:dyDescent="0.35">
      <c r="A226" s="7" t="s">
        <v>325</v>
      </c>
      <c r="B226" s="12" t="s">
        <v>79</v>
      </c>
      <c r="C226">
        <v>130688205.68011655</v>
      </c>
      <c r="D226">
        <v>132493867.27030393</v>
      </c>
      <c r="E226">
        <v>704504.50450450601</v>
      </c>
      <c r="F226">
        <v>1480180.1801801829</v>
      </c>
      <c r="G226">
        <v>77</v>
      </c>
      <c r="H226">
        <v>25</v>
      </c>
      <c r="I226">
        <v>1</v>
      </c>
      <c r="K226">
        <v>122</v>
      </c>
      <c r="L226">
        <v>27</v>
      </c>
      <c r="M226">
        <v>15974774.774774777</v>
      </c>
      <c r="N226">
        <v>17823423.423423424</v>
      </c>
      <c r="O226">
        <v>39780936.936936937</v>
      </c>
      <c r="P226">
        <v>40840306.306306303</v>
      </c>
      <c r="Q226">
        <v>14484594.594594594</v>
      </c>
      <c r="R226">
        <v>16900630.630630631</v>
      </c>
      <c r="S226">
        <v>4531</v>
      </c>
      <c r="T226">
        <v>4516</v>
      </c>
    </row>
    <row r="227" spans="1:20" x14ac:dyDescent="0.35">
      <c r="A227" s="7" t="s">
        <v>326</v>
      </c>
      <c r="B227" s="12" t="s">
        <v>109</v>
      </c>
      <c r="C227">
        <v>605663501.61587977</v>
      </c>
      <c r="D227">
        <v>630394004.59202611</v>
      </c>
      <c r="E227">
        <v>1333445700</v>
      </c>
      <c r="F227">
        <v>783177569.36936939</v>
      </c>
      <c r="G227">
        <v>183</v>
      </c>
      <c r="H227">
        <v>184</v>
      </c>
      <c r="I227">
        <v>3</v>
      </c>
      <c r="K227">
        <v>293</v>
      </c>
      <c r="L227">
        <v>313</v>
      </c>
      <c r="M227">
        <v>49697297.297297299</v>
      </c>
      <c r="N227">
        <v>56138288.288288288</v>
      </c>
      <c r="O227">
        <v>156666792.7927928</v>
      </c>
      <c r="P227">
        <v>162308598.1981982</v>
      </c>
      <c r="Q227">
        <v>53859099.0990991</v>
      </c>
      <c r="R227">
        <v>56134144.144144155</v>
      </c>
      <c r="S227">
        <v>21462</v>
      </c>
      <c r="T227">
        <v>21645</v>
      </c>
    </row>
    <row r="228" spans="1:20" x14ac:dyDescent="0.35">
      <c r="A228" s="7" t="s">
        <v>327</v>
      </c>
      <c r="B228" s="12" t="s">
        <v>226</v>
      </c>
      <c r="C228">
        <v>122693089.59361413</v>
      </c>
      <c r="D228">
        <v>137419938.38114548</v>
      </c>
      <c r="E228">
        <v>356756.75675675698</v>
      </c>
      <c r="F228">
        <v>388288.28828828898</v>
      </c>
      <c r="G228">
        <v>14</v>
      </c>
      <c r="H228">
        <v>16</v>
      </c>
      <c r="K228">
        <v>14</v>
      </c>
      <c r="L228">
        <v>39</v>
      </c>
      <c r="M228">
        <v>12161801.801801801</v>
      </c>
      <c r="N228">
        <v>9397297.2972972989</v>
      </c>
      <c r="O228">
        <v>25165072.072072074</v>
      </c>
      <c r="P228">
        <v>32215756.756756756</v>
      </c>
      <c r="Q228">
        <v>10662882.882882882</v>
      </c>
      <c r="R228">
        <v>11386576.576576576</v>
      </c>
      <c r="S228">
        <v>4301</v>
      </c>
      <c r="T228">
        <v>4501</v>
      </c>
    </row>
    <row r="229" spans="1:20" x14ac:dyDescent="0.35">
      <c r="A229" s="7" t="s">
        <v>4</v>
      </c>
      <c r="B229" s="12" t="s">
        <v>159</v>
      </c>
      <c r="C229">
        <v>105114272.32999785</v>
      </c>
      <c r="D229">
        <v>101874052.02010016</v>
      </c>
      <c r="E229">
        <v>867567.56756757002</v>
      </c>
      <c r="F229">
        <v>1445045.0450450459</v>
      </c>
      <c r="G229">
        <v>7</v>
      </c>
      <c r="H229">
        <v>13</v>
      </c>
      <c r="I229">
        <v>1</v>
      </c>
      <c r="K229">
        <v>9</v>
      </c>
      <c r="L229">
        <v>18</v>
      </c>
      <c r="M229">
        <v>22131531.531531531</v>
      </c>
      <c r="N229">
        <v>31670270.270270273</v>
      </c>
      <c r="O229">
        <v>37033603.603603601</v>
      </c>
      <c r="P229">
        <v>38655378.378378376</v>
      </c>
      <c r="Q229">
        <v>27196126.126126125</v>
      </c>
      <c r="R229">
        <v>29251711.711711712</v>
      </c>
      <c r="S229">
        <v>3588</v>
      </c>
      <c r="T229">
        <v>3572</v>
      </c>
    </row>
    <row r="230" spans="1:20" x14ac:dyDescent="0.35">
      <c r="A230" s="7" t="s">
        <v>328</v>
      </c>
      <c r="B230" s="12" t="s">
        <v>109</v>
      </c>
      <c r="C230">
        <v>491603572.29143131</v>
      </c>
      <c r="D230">
        <v>510220599.68942958</v>
      </c>
      <c r="E230">
        <v>4575900.9009009097</v>
      </c>
      <c r="F230">
        <v>63227178.378378384</v>
      </c>
      <c r="G230">
        <v>148</v>
      </c>
      <c r="H230">
        <v>161</v>
      </c>
      <c r="K230">
        <v>237</v>
      </c>
      <c r="L230">
        <v>235</v>
      </c>
      <c r="M230">
        <v>62853513.513513513</v>
      </c>
      <c r="N230">
        <v>299560934.23423421</v>
      </c>
      <c r="O230">
        <v>152216831.08108109</v>
      </c>
      <c r="P230">
        <v>156836837.83783782</v>
      </c>
      <c r="Q230">
        <v>61040090.090090089</v>
      </c>
      <c r="R230">
        <v>243676306.3063063</v>
      </c>
      <c r="S230">
        <v>20276</v>
      </c>
      <c r="T230">
        <v>19915</v>
      </c>
    </row>
    <row r="231" spans="1:20" x14ac:dyDescent="0.35">
      <c r="A231" s="7" t="s">
        <v>329</v>
      </c>
      <c r="B231" s="12" t="s">
        <v>79</v>
      </c>
      <c r="C231">
        <v>51339098.333731264</v>
      </c>
      <c r="D231">
        <v>51538358.928712398</v>
      </c>
      <c r="E231">
        <v>396396.39639639697</v>
      </c>
      <c r="F231">
        <v>343243.24324324302</v>
      </c>
      <c r="G231">
        <v>20</v>
      </c>
      <c r="H231">
        <v>11</v>
      </c>
      <c r="K231">
        <v>23</v>
      </c>
      <c r="L231">
        <v>11</v>
      </c>
      <c r="M231">
        <v>3909909.9099099091</v>
      </c>
      <c r="N231">
        <v>5465765.7657657648</v>
      </c>
      <c r="O231">
        <v>17159666.666666664</v>
      </c>
      <c r="P231">
        <v>18248324.324324325</v>
      </c>
      <c r="Q231">
        <v>4321081.0810810803</v>
      </c>
      <c r="R231">
        <v>5974774.7747747749</v>
      </c>
      <c r="S231">
        <v>1864</v>
      </c>
      <c r="T231">
        <v>1871</v>
      </c>
    </row>
    <row r="232" spans="1:20" x14ac:dyDescent="0.35">
      <c r="A232" s="7" t="s">
        <v>330</v>
      </c>
      <c r="B232" s="12" t="s">
        <v>122</v>
      </c>
      <c r="C232">
        <v>135402963.36244202</v>
      </c>
      <c r="D232">
        <v>131653881.92892392</v>
      </c>
      <c r="E232">
        <v>37484070.270270273</v>
      </c>
      <c r="F232">
        <v>36789322.522522531</v>
      </c>
      <c r="G232">
        <v>46</v>
      </c>
      <c r="H232">
        <v>34</v>
      </c>
      <c r="I232">
        <v>9</v>
      </c>
      <c r="K232">
        <v>50</v>
      </c>
      <c r="L232">
        <v>41</v>
      </c>
      <c r="M232">
        <v>20719453.153153151</v>
      </c>
      <c r="N232">
        <v>8909909.9099099096</v>
      </c>
      <c r="O232">
        <v>19954923.423423424</v>
      </c>
      <c r="P232">
        <v>22348225.225225225</v>
      </c>
      <c r="Q232">
        <v>7173783.7837837832</v>
      </c>
      <c r="R232">
        <v>6818288.2882882878</v>
      </c>
      <c r="S232">
        <v>3882</v>
      </c>
      <c r="T232">
        <v>3899</v>
      </c>
    </row>
    <row r="233" spans="1:20" x14ac:dyDescent="0.35">
      <c r="A233" s="7" t="s">
        <v>331</v>
      </c>
      <c r="B233" s="12" t="s">
        <v>332</v>
      </c>
      <c r="C233">
        <v>315432159.35543114</v>
      </c>
      <c r="D233">
        <v>322979590.61269337</v>
      </c>
      <c r="E233">
        <v>4540765.7657657675</v>
      </c>
      <c r="F233">
        <v>1457657.6576576589</v>
      </c>
      <c r="G233">
        <v>119</v>
      </c>
      <c r="H233">
        <v>110</v>
      </c>
      <c r="I233">
        <v>2</v>
      </c>
      <c r="K233">
        <v>137</v>
      </c>
      <c r="L233">
        <v>144</v>
      </c>
      <c r="M233">
        <v>55582882.882882878</v>
      </c>
      <c r="N233">
        <v>34246396.396396399</v>
      </c>
      <c r="O233">
        <v>66634002.252252258</v>
      </c>
      <c r="P233">
        <v>73680475.675675675</v>
      </c>
      <c r="Q233">
        <v>51063153.153153151</v>
      </c>
      <c r="R233">
        <v>34781531.531531535</v>
      </c>
      <c r="S233">
        <v>15277</v>
      </c>
      <c r="T233">
        <v>13841</v>
      </c>
    </row>
    <row r="234" spans="1:20" x14ac:dyDescent="0.35">
      <c r="A234" s="7" t="s">
        <v>333</v>
      </c>
      <c r="B234" s="12" t="s">
        <v>292</v>
      </c>
      <c r="C234">
        <v>477015580.6489749</v>
      </c>
      <c r="D234">
        <v>490021570.27962738</v>
      </c>
      <c r="E234">
        <v>2604954.954954959</v>
      </c>
      <c r="F234">
        <v>1062612.6126126221</v>
      </c>
      <c r="G234">
        <v>154</v>
      </c>
      <c r="H234">
        <v>121</v>
      </c>
      <c r="K234">
        <v>182</v>
      </c>
      <c r="L234">
        <v>142</v>
      </c>
      <c r="M234">
        <v>44324324.324324325</v>
      </c>
      <c r="N234">
        <v>48271621.621621631</v>
      </c>
      <c r="O234">
        <v>85112655.855855852</v>
      </c>
      <c r="P234">
        <v>90180225.22522521</v>
      </c>
      <c r="Q234">
        <v>41915945.945945948</v>
      </c>
      <c r="R234">
        <v>53515945.945945948</v>
      </c>
      <c r="S234">
        <v>16956</v>
      </c>
      <c r="T234">
        <v>17048</v>
      </c>
    </row>
    <row r="235" spans="1:20" x14ac:dyDescent="0.35">
      <c r="A235" s="7" t="s">
        <v>334</v>
      </c>
      <c r="B235" s="12" t="s">
        <v>292</v>
      </c>
      <c r="C235">
        <v>359935495.15266752</v>
      </c>
      <c r="D235">
        <v>386249682.06689018</v>
      </c>
      <c r="E235">
        <v>3741441.441441447</v>
      </c>
      <c r="F235">
        <v>2609909.9099099119</v>
      </c>
      <c r="G235">
        <v>91</v>
      </c>
      <c r="H235">
        <v>102</v>
      </c>
      <c r="I235">
        <v>1</v>
      </c>
      <c r="K235">
        <v>140</v>
      </c>
      <c r="L235">
        <v>142</v>
      </c>
      <c r="M235">
        <v>47818918.91891893</v>
      </c>
      <c r="N235">
        <v>54445495.495495498</v>
      </c>
      <c r="O235">
        <v>95211252.252252251</v>
      </c>
      <c r="P235">
        <v>106727601.8018018</v>
      </c>
      <c r="Q235">
        <v>48192522.522522517</v>
      </c>
      <c r="R235">
        <v>110186306.3063063</v>
      </c>
      <c r="S235">
        <v>14951</v>
      </c>
      <c r="T235">
        <v>14956</v>
      </c>
    </row>
    <row r="236" spans="1:20" x14ac:dyDescent="0.35">
      <c r="A236" s="7" t="s">
        <v>335</v>
      </c>
      <c r="B236" s="12" t="s">
        <v>61</v>
      </c>
      <c r="C236">
        <v>49410459.366089411</v>
      </c>
      <c r="D236">
        <v>51356104.078759</v>
      </c>
      <c r="E236">
        <v>1053153.1531531541</v>
      </c>
      <c r="F236">
        <v>318018.01801802003</v>
      </c>
      <c r="G236">
        <v>46</v>
      </c>
      <c r="H236">
        <v>8</v>
      </c>
      <c r="I236">
        <v>2</v>
      </c>
      <c r="K236">
        <v>53</v>
      </c>
      <c r="L236">
        <v>14</v>
      </c>
      <c r="M236">
        <v>15139639.63963964</v>
      </c>
      <c r="N236">
        <v>1570270.2702702719</v>
      </c>
      <c r="O236">
        <v>17627054.054054055</v>
      </c>
      <c r="P236">
        <v>17770243.243243244</v>
      </c>
      <c r="Q236">
        <v>13902252.252252251</v>
      </c>
      <c r="R236">
        <v>1297297.297297298</v>
      </c>
      <c r="S236">
        <v>1703</v>
      </c>
      <c r="T236">
        <v>1908</v>
      </c>
    </row>
    <row r="237" spans="1:20" x14ac:dyDescent="0.35">
      <c r="A237" s="7" t="s">
        <v>336</v>
      </c>
      <c r="B237" s="12" t="s">
        <v>61</v>
      </c>
      <c r="C237">
        <v>9160303.7985430565</v>
      </c>
      <c r="D237">
        <v>12596703.780756872</v>
      </c>
      <c r="E237">
        <v>236936.93693693701</v>
      </c>
      <c r="F237">
        <v>81081.081081083001</v>
      </c>
      <c r="G237">
        <v>4</v>
      </c>
      <c r="H237">
        <v>7</v>
      </c>
      <c r="K237">
        <v>6</v>
      </c>
      <c r="L237">
        <v>9</v>
      </c>
      <c r="M237">
        <v>574324.32432432496</v>
      </c>
      <c r="N237">
        <v>529729.72972973005</v>
      </c>
      <c r="O237">
        <v>5439234.2342342343</v>
      </c>
      <c r="P237">
        <v>6205342.3423423423</v>
      </c>
      <c r="Q237">
        <v>790810.810810811</v>
      </c>
      <c r="R237">
        <v>482612.61261261301</v>
      </c>
      <c r="S237">
        <v>1003</v>
      </c>
      <c r="T237">
        <v>876</v>
      </c>
    </row>
    <row r="238" spans="1:20" x14ac:dyDescent="0.35">
      <c r="A238" s="7" t="s">
        <v>337</v>
      </c>
      <c r="B238" s="12" t="s">
        <v>122</v>
      </c>
      <c r="C238">
        <v>1204549.1513346799</v>
      </c>
      <c r="D238">
        <v>1373603.2320321361</v>
      </c>
      <c r="L238">
        <v>1</v>
      </c>
      <c r="O238">
        <v>93243.243243243007</v>
      </c>
      <c r="P238">
        <v>400900.900900901</v>
      </c>
      <c r="S238">
        <v>156</v>
      </c>
      <c r="T238">
        <v>157</v>
      </c>
    </row>
    <row r="239" spans="1:20" x14ac:dyDescent="0.35">
      <c r="A239" s="7" t="s">
        <v>338</v>
      </c>
      <c r="B239" s="12" t="s">
        <v>122</v>
      </c>
      <c r="C239">
        <v>1817731.0019502339</v>
      </c>
      <c r="D239">
        <v>1674340.0728488129</v>
      </c>
      <c r="E239">
        <v>5405405.405405405</v>
      </c>
      <c r="F239">
        <v>18588345.945945945</v>
      </c>
      <c r="M239">
        <v>3448218.9189189188</v>
      </c>
      <c r="O239">
        <v>348738.73873873899</v>
      </c>
      <c r="P239">
        <v>708783.78378378402</v>
      </c>
      <c r="S239">
        <v>93</v>
      </c>
      <c r="T239">
        <v>100</v>
      </c>
    </row>
    <row r="240" spans="1:20" x14ac:dyDescent="0.35">
      <c r="A240" s="7" t="s">
        <v>339</v>
      </c>
      <c r="B240" s="12" t="s">
        <v>122</v>
      </c>
      <c r="C240">
        <v>1358688.8065052801</v>
      </c>
      <c r="D240">
        <v>1502741.7851428781</v>
      </c>
      <c r="O240">
        <v>14414.414414413999</v>
      </c>
      <c r="P240">
        <v>156531.531531532</v>
      </c>
      <c r="S240">
        <v>137</v>
      </c>
      <c r="T240">
        <v>133</v>
      </c>
    </row>
    <row r="241" spans="1:20" x14ac:dyDescent="0.35">
      <c r="A241" s="7" t="s">
        <v>340</v>
      </c>
      <c r="B241" s="12" t="s">
        <v>141</v>
      </c>
      <c r="C241">
        <v>541272947.73428845</v>
      </c>
      <c r="D241">
        <v>574035704.90262806</v>
      </c>
      <c r="E241">
        <v>1906306.306306313</v>
      </c>
      <c r="F241">
        <v>70353603.603603601</v>
      </c>
      <c r="G241">
        <v>71</v>
      </c>
      <c r="H241">
        <v>49</v>
      </c>
      <c r="I241">
        <v>1</v>
      </c>
      <c r="K241">
        <v>158</v>
      </c>
      <c r="L241">
        <v>70</v>
      </c>
      <c r="M241">
        <v>49832027.027027033</v>
      </c>
      <c r="N241">
        <v>62872981.081081077</v>
      </c>
      <c r="O241">
        <v>106826567.56756757</v>
      </c>
      <c r="P241">
        <v>127855039.63963965</v>
      </c>
      <c r="Q241">
        <v>45324954.954954952</v>
      </c>
      <c r="R241">
        <v>52725585.585585587</v>
      </c>
      <c r="S241">
        <v>16157</v>
      </c>
      <c r="T241">
        <v>16276</v>
      </c>
    </row>
    <row r="242" spans="1:20" x14ac:dyDescent="0.35">
      <c r="A242" s="7" t="s">
        <v>341</v>
      </c>
      <c r="B242" s="12" t="s">
        <v>122</v>
      </c>
      <c r="C242">
        <v>84714651.886447042</v>
      </c>
      <c r="D242">
        <v>86403166.31258598</v>
      </c>
      <c r="G242">
        <v>24</v>
      </c>
      <c r="H242">
        <v>21</v>
      </c>
      <c r="K242">
        <v>28</v>
      </c>
      <c r="L242">
        <v>23</v>
      </c>
      <c r="O242">
        <v>5457567.5675675673</v>
      </c>
      <c r="P242">
        <v>6422378.3783783792</v>
      </c>
      <c r="S242">
        <v>2526</v>
      </c>
      <c r="T242">
        <v>2433</v>
      </c>
    </row>
    <row r="243" spans="1:20" x14ac:dyDescent="0.35">
      <c r="A243" s="7" t="s">
        <v>342</v>
      </c>
      <c r="B243" s="12" t="s">
        <v>141</v>
      </c>
      <c r="C243">
        <v>290775190.01894128</v>
      </c>
      <c r="D243">
        <v>316615266.33958089</v>
      </c>
      <c r="E243">
        <v>1259009.009009012</v>
      </c>
      <c r="F243">
        <v>1150450.4504504551</v>
      </c>
      <c r="G243">
        <v>50</v>
      </c>
      <c r="H243">
        <v>19</v>
      </c>
      <c r="I243">
        <v>3</v>
      </c>
      <c r="K243">
        <v>60</v>
      </c>
      <c r="L243">
        <v>25</v>
      </c>
      <c r="M243">
        <v>54110090.090090089</v>
      </c>
      <c r="N243">
        <v>51681486.48648648</v>
      </c>
      <c r="O243">
        <v>86422466.666666672</v>
      </c>
      <c r="P243">
        <v>93426018.018018022</v>
      </c>
      <c r="Q243">
        <v>47832522.522522517</v>
      </c>
      <c r="R243">
        <v>47088693.693693697</v>
      </c>
      <c r="S243">
        <v>8888</v>
      </c>
      <c r="T243">
        <v>9232</v>
      </c>
    </row>
    <row r="244" spans="1:20" x14ac:dyDescent="0.35">
      <c r="A244" s="7" t="s">
        <v>343</v>
      </c>
      <c r="B244" s="12" t="s">
        <v>135</v>
      </c>
      <c r="C244">
        <v>30747699.917147856</v>
      </c>
      <c r="D244">
        <v>28327325.107174937</v>
      </c>
      <c r="E244">
        <v>54054.054054054002</v>
      </c>
      <c r="F244">
        <v>13513.513513514001</v>
      </c>
      <c r="G244">
        <v>7</v>
      </c>
      <c r="H244">
        <v>6</v>
      </c>
      <c r="I244">
        <v>1</v>
      </c>
      <c r="K244">
        <v>7</v>
      </c>
      <c r="L244">
        <v>8</v>
      </c>
      <c r="M244">
        <v>1045045.045045046</v>
      </c>
      <c r="N244">
        <v>1545045.045045045</v>
      </c>
      <c r="O244">
        <v>2845396.3963963962</v>
      </c>
      <c r="P244">
        <v>2945603.6036036029</v>
      </c>
      <c r="Q244">
        <v>814144.14414414403</v>
      </c>
      <c r="R244">
        <v>593333.33333333302</v>
      </c>
      <c r="S244">
        <v>1290</v>
      </c>
      <c r="T244">
        <v>1335</v>
      </c>
    </row>
    <row r="245" spans="1:20" x14ac:dyDescent="0.35">
      <c r="A245" s="7" t="s">
        <v>344</v>
      </c>
      <c r="B245" s="12" t="s">
        <v>122</v>
      </c>
      <c r="C245">
        <v>940686.99973203102</v>
      </c>
      <c r="D245">
        <v>2133283.873825016</v>
      </c>
      <c r="G245">
        <v>2</v>
      </c>
      <c r="H245">
        <v>2</v>
      </c>
      <c r="K245">
        <v>5</v>
      </c>
      <c r="L245">
        <v>2</v>
      </c>
      <c r="O245">
        <v>406081.08108108101</v>
      </c>
      <c r="P245">
        <v>1264189.1891891891</v>
      </c>
      <c r="S245">
        <v>351</v>
      </c>
      <c r="T245">
        <v>382</v>
      </c>
    </row>
    <row r="246" spans="1:20" x14ac:dyDescent="0.35">
      <c r="A246" s="7" t="s">
        <v>5</v>
      </c>
      <c r="B246" s="12" t="s">
        <v>159</v>
      </c>
      <c r="C246">
        <v>109327121.01861916</v>
      </c>
      <c r="D246">
        <v>115902711.25106059</v>
      </c>
      <c r="E246">
        <v>170270.27027027099</v>
      </c>
      <c r="F246">
        <v>27027.027027027001</v>
      </c>
      <c r="G246">
        <v>13</v>
      </c>
      <c r="H246">
        <v>10</v>
      </c>
      <c r="I246">
        <v>1</v>
      </c>
      <c r="K246">
        <v>13</v>
      </c>
      <c r="L246">
        <v>17</v>
      </c>
      <c r="M246">
        <v>8375675.6756756753</v>
      </c>
      <c r="N246">
        <v>13836036.036036033</v>
      </c>
      <c r="O246">
        <v>45778702.702702701</v>
      </c>
      <c r="P246">
        <v>48581333.333333336</v>
      </c>
      <c r="Q246">
        <v>7847567.5675675683</v>
      </c>
      <c r="R246">
        <v>12377387.387387387</v>
      </c>
      <c r="S246">
        <v>3099</v>
      </c>
      <c r="T246">
        <v>3027</v>
      </c>
    </row>
    <row r="247" spans="1:20" x14ac:dyDescent="0.35">
      <c r="A247" s="7" t="s">
        <v>345</v>
      </c>
      <c r="B247" s="12" t="s">
        <v>306</v>
      </c>
      <c r="C247">
        <v>13686536.761251155</v>
      </c>
      <c r="D247">
        <v>18572962.383574016</v>
      </c>
      <c r="E247">
        <v>900900.90090090095</v>
      </c>
      <c r="F247">
        <v>360360.36036036001</v>
      </c>
      <c r="G247">
        <v>7</v>
      </c>
      <c r="H247">
        <v>27</v>
      </c>
      <c r="K247">
        <v>9</v>
      </c>
      <c r="L247">
        <v>36</v>
      </c>
      <c r="M247">
        <v>900900.90090090095</v>
      </c>
      <c r="N247">
        <v>360360.36036036001</v>
      </c>
      <c r="O247">
        <v>2240054.054054054</v>
      </c>
      <c r="P247">
        <v>3732477.4774774769</v>
      </c>
      <c r="Q247">
        <v>218018.01801801799</v>
      </c>
      <c r="R247">
        <v>311711.71171171201</v>
      </c>
      <c r="S247">
        <v>245</v>
      </c>
      <c r="T247">
        <v>599</v>
      </c>
    </row>
    <row r="248" spans="1:20" x14ac:dyDescent="0.35">
      <c r="A248" s="7" t="s">
        <v>346</v>
      </c>
      <c r="B248" s="12" t="s">
        <v>106</v>
      </c>
      <c r="C248">
        <v>218103905.67680961</v>
      </c>
      <c r="D248">
        <v>237305752.3938601</v>
      </c>
      <c r="E248">
        <v>1349099.0990991001</v>
      </c>
      <c r="F248">
        <v>845045.04504504695</v>
      </c>
      <c r="G248">
        <v>38</v>
      </c>
      <c r="H248">
        <v>65</v>
      </c>
      <c r="K248">
        <v>54</v>
      </c>
      <c r="L248">
        <v>70</v>
      </c>
      <c r="M248">
        <v>32261081.081081081</v>
      </c>
      <c r="N248">
        <v>30716216.216216218</v>
      </c>
      <c r="O248">
        <v>53902945.945945941</v>
      </c>
      <c r="P248">
        <v>63426468.468468472</v>
      </c>
      <c r="Q248">
        <v>28532792.792792793</v>
      </c>
      <c r="R248">
        <v>26949369.369369369</v>
      </c>
      <c r="S248">
        <v>6224</v>
      </c>
      <c r="T248">
        <v>5886</v>
      </c>
    </row>
    <row r="249" spans="1:20" x14ac:dyDescent="0.35">
      <c r="A249" s="7" t="s">
        <v>347</v>
      </c>
      <c r="B249" s="12" t="s">
        <v>88</v>
      </c>
      <c r="C249">
        <v>67127692.829962939</v>
      </c>
      <c r="D249">
        <v>71050509.849614009</v>
      </c>
      <c r="E249">
        <v>504504.50450450502</v>
      </c>
      <c r="F249">
        <v>623423.42342342495</v>
      </c>
      <c r="G249">
        <v>28</v>
      </c>
      <c r="H249">
        <v>34</v>
      </c>
      <c r="K249">
        <v>33</v>
      </c>
      <c r="L249">
        <v>41</v>
      </c>
      <c r="M249">
        <v>16887387.387387387</v>
      </c>
      <c r="N249">
        <v>18515315.315315317</v>
      </c>
      <c r="O249">
        <v>17054119.819819819</v>
      </c>
      <c r="P249">
        <v>21295421.621621624</v>
      </c>
      <c r="Q249">
        <v>13234007.207207208</v>
      </c>
      <c r="R249">
        <v>11797117.117117118</v>
      </c>
      <c r="S249">
        <v>2302</v>
      </c>
      <c r="T249">
        <v>2318</v>
      </c>
    </row>
    <row r="250" spans="1:20" x14ac:dyDescent="0.35">
      <c r="A250" s="7" t="s">
        <v>348</v>
      </c>
      <c r="B250" s="12" t="s">
        <v>88</v>
      </c>
      <c r="C250">
        <v>187043874.05105352</v>
      </c>
      <c r="D250">
        <v>190028976.69641793</v>
      </c>
      <c r="E250">
        <v>2575675.6756756781</v>
      </c>
      <c r="F250">
        <v>968468.46846847504</v>
      </c>
      <c r="G250">
        <v>124</v>
      </c>
      <c r="H250">
        <v>111</v>
      </c>
      <c r="I250">
        <v>2</v>
      </c>
      <c r="K250">
        <v>150</v>
      </c>
      <c r="L250">
        <v>142</v>
      </c>
      <c r="M250">
        <v>21534234.234234232</v>
      </c>
      <c r="N250">
        <v>14756756.756756756</v>
      </c>
      <c r="O250">
        <v>32535664.864864863</v>
      </c>
      <c r="P250">
        <v>34564054.054054052</v>
      </c>
      <c r="Q250">
        <v>15605225.225225223</v>
      </c>
      <c r="R250">
        <v>11032072.072072074</v>
      </c>
      <c r="S250">
        <v>6250</v>
      </c>
      <c r="T250">
        <v>6323</v>
      </c>
    </row>
    <row r="251" spans="1:20" x14ac:dyDescent="0.35">
      <c r="A251" s="7" t="s">
        <v>349</v>
      </c>
      <c r="B251" s="12" t="s">
        <v>88</v>
      </c>
      <c r="C251">
        <v>5858012.9261785401</v>
      </c>
      <c r="D251">
        <v>5992790.749367048</v>
      </c>
      <c r="G251">
        <v>18</v>
      </c>
      <c r="H251">
        <v>4</v>
      </c>
      <c r="K251">
        <v>19</v>
      </c>
      <c r="L251">
        <v>4</v>
      </c>
      <c r="O251">
        <v>2315756.756756756</v>
      </c>
      <c r="P251">
        <v>2898513.5135135129</v>
      </c>
      <c r="S251">
        <v>836</v>
      </c>
      <c r="T251">
        <v>812</v>
      </c>
    </row>
    <row r="252" spans="1:20" x14ac:dyDescent="0.35">
      <c r="A252" s="7" t="s">
        <v>350</v>
      </c>
      <c r="B252" s="12" t="s">
        <v>88</v>
      </c>
      <c r="C252">
        <v>2711499.6731558819</v>
      </c>
      <c r="D252">
        <v>1814777.841358558</v>
      </c>
      <c r="G252">
        <v>1</v>
      </c>
      <c r="K252">
        <v>1</v>
      </c>
      <c r="O252">
        <v>1111396.3963963969</v>
      </c>
      <c r="P252">
        <v>706756.75675675599</v>
      </c>
      <c r="S252">
        <v>182</v>
      </c>
      <c r="T252">
        <v>183</v>
      </c>
    </row>
    <row r="253" spans="1:20" x14ac:dyDescent="0.35">
      <c r="A253" s="7" t="s">
        <v>351</v>
      </c>
      <c r="B253" s="12" t="s">
        <v>88</v>
      </c>
      <c r="C253">
        <v>2264002.7620553868</v>
      </c>
      <c r="D253">
        <v>1467995.3307771969</v>
      </c>
      <c r="E253">
        <v>18930460.360360362</v>
      </c>
      <c r="F253">
        <v>54713419.819819823</v>
      </c>
      <c r="G253">
        <v>5</v>
      </c>
      <c r="H253">
        <v>5</v>
      </c>
      <c r="K253">
        <v>7</v>
      </c>
      <c r="L253">
        <v>8</v>
      </c>
      <c r="O253">
        <v>1394333.333333334</v>
      </c>
      <c r="P253">
        <v>946891.89189189195</v>
      </c>
      <c r="S253">
        <v>668</v>
      </c>
      <c r="T253">
        <v>498</v>
      </c>
    </row>
    <row r="254" spans="1:20" x14ac:dyDescent="0.35">
      <c r="A254" s="7" t="s">
        <v>352</v>
      </c>
      <c r="B254" s="12" t="s">
        <v>88</v>
      </c>
      <c r="C254">
        <v>60136931.281422317</v>
      </c>
      <c r="D254">
        <v>66064020.484171055</v>
      </c>
      <c r="E254">
        <v>101801.801801803</v>
      </c>
      <c r="F254">
        <v>383783.78378378501</v>
      </c>
      <c r="G254">
        <v>19</v>
      </c>
      <c r="H254">
        <v>33</v>
      </c>
      <c r="I254">
        <v>1</v>
      </c>
      <c r="K254">
        <v>23</v>
      </c>
      <c r="L254">
        <v>38</v>
      </c>
      <c r="M254">
        <v>4556756.7567567592</v>
      </c>
      <c r="N254">
        <v>5266666.666666666</v>
      </c>
      <c r="O254">
        <v>11780270.270270268</v>
      </c>
      <c r="P254">
        <v>15010495.495495496</v>
      </c>
      <c r="Q254">
        <v>4151711.7117117099</v>
      </c>
      <c r="R254">
        <v>4001081.0810810812</v>
      </c>
      <c r="S254">
        <v>2069</v>
      </c>
      <c r="T254">
        <v>3367</v>
      </c>
    </row>
    <row r="255" spans="1:20" x14ac:dyDescent="0.35">
      <c r="A255" s="7" t="s">
        <v>353</v>
      </c>
      <c r="B255" s="12" t="s">
        <v>51</v>
      </c>
      <c r="C255">
        <v>163085646.27927408</v>
      </c>
      <c r="D255">
        <v>159792973.47347835</v>
      </c>
      <c r="E255">
        <v>2204504.5045045079</v>
      </c>
      <c r="F255">
        <v>1173873.8738738759</v>
      </c>
      <c r="G255">
        <v>51</v>
      </c>
      <c r="H255">
        <v>53</v>
      </c>
      <c r="K255">
        <v>56</v>
      </c>
      <c r="L255">
        <v>114</v>
      </c>
      <c r="M255">
        <v>20011531.531531531</v>
      </c>
      <c r="N255">
        <v>18060585.585585587</v>
      </c>
      <c r="O255">
        <v>63000698.198198199</v>
      </c>
      <c r="P255">
        <v>66670432.432432435</v>
      </c>
      <c r="Q255">
        <v>18587927.927927926</v>
      </c>
      <c r="R255">
        <v>18269234.234234232</v>
      </c>
      <c r="S255">
        <v>5600</v>
      </c>
      <c r="T255">
        <v>5249</v>
      </c>
    </row>
    <row r="256" spans="1:20" x14ac:dyDescent="0.35">
      <c r="A256" s="7" t="s">
        <v>354</v>
      </c>
      <c r="B256" s="12" t="s">
        <v>124</v>
      </c>
      <c r="C256">
        <v>998482.73173301597</v>
      </c>
      <c r="D256">
        <v>1898008.99292782</v>
      </c>
      <c r="G256">
        <v>1</v>
      </c>
      <c r="K256">
        <v>1</v>
      </c>
      <c r="L256">
        <v>1</v>
      </c>
      <c r="O256">
        <v>377252.25225225202</v>
      </c>
      <c r="P256">
        <v>658063.06306306296</v>
      </c>
      <c r="S256">
        <v>107</v>
      </c>
      <c r="T256">
        <v>161</v>
      </c>
    </row>
    <row r="257" spans="1:20" x14ac:dyDescent="0.35">
      <c r="A257" s="7" t="s">
        <v>355</v>
      </c>
      <c r="B257" s="12" t="s">
        <v>356</v>
      </c>
      <c r="C257">
        <v>279395489.78361613</v>
      </c>
      <c r="D257">
        <v>308675921.45563185</v>
      </c>
      <c r="E257">
        <v>245698921.62162164</v>
      </c>
      <c r="F257">
        <v>214941044.14414412</v>
      </c>
      <c r="G257">
        <v>199</v>
      </c>
      <c r="H257">
        <v>36</v>
      </c>
      <c r="K257">
        <v>459</v>
      </c>
      <c r="L257">
        <v>47</v>
      </c>
      <c r="M257">
        <v>234758243.24324322</v>
      </c>
      <c r="N257">
        <v>156224838.73873875</v>
      </c>
      <c r="O257">
        <v>165767918.91891891</v>
      </c>
      <c r="P257">
        <v>181269306.3063063</v>
      </c>
      <c r="Q257">
        <v>226744144.14414412</v>
      </c>
      <c r="R257">
        <v>117736666.66666667</v>
      </c>
      <c r="S257">
        <v>9996</v>
      </c>
      <c r="T257">
        <v>9824</v>
      </c>
    </row>
    <row r="258" spans="1:20" x14ac:dyDescent="0.35">
      <c r="A258" s="7" t="s">
        <v>357</v>
      </c>
      <c r="B258" s="12" t="s">
        <v>49</v>
      </c>
      <c r="C258">
        <v>189086153.70139462</v>
      </c>
      <c r="D258">
        <v>237029256.50540659</v>
      </c>
      <c r="E258">
        <v>486486.48648648697</v>
      </c>
      <c r="F258">
        <v>13513.513513514001</v>
      </c>
      <c r="G258">
        <v>16</v>
      </c>
      <c r="H258">
        <v>5</v>
      </c>
      <c r="K258">
        <v>18</v>
      </c>
      <c r="L258">
        <v>6</v>
      </c>
      <c r="M258">
        <v>504504.50450450502</v>
      </c>
      <c r="N258">
        <v>13513.513513514001</v>
      </c>
      <c r="O258">
        <v>14210450.450450448</v>
      </c>
      <c r="P258">
        <v>19242648.648648649</v>
      </c>
      <c r="Q258">
        <v>377027.02702702698</v>
      </c>
      <c r="R258">
        <v>300990.99099099002</v>
      </c>
      <c r="S258">
        <v>5697</v>
      </c>
      <c r="T258">
        <v>5877</v>
      </c>
    </row>
    <row r="259" spans="1:20" x14ac:dyDescent="0.35">
      <c r="A259" s="7" t="s">
        <v>358</v>
      </c>
      <c r="B259" s="12" t="s">
        <v>124</v>
      </c>
      <c r="C259">
        <v>202134248.63807142</v>
      </c>
      <c r="D259">
        <v>227167254.95948622</v>
      </c>
      <c r="E259">
        <v>75675.675675677005</v>
      </c>
      <c r="F259">
        <v>371171.171171172</v>
      </c>
      <c r="G259">
        <v>41</v>
      </c>
      <c r="H259">
        <v>38</v>
      </c>
      <c r="K259">
        <v>43</v>
      </c>
      <c r="L259">
        <v>42</v>
      </c>
      <c r="M259">
        <v>6063693.6936936937</v>
      </c>
      <c r="N259">
        <v>9379459.4594594594</v>
      </c>
      <c r="O259">
        <v>45587630.630630635</v>
      </c>
      <c r="P259">
        <v>55968648.648648649</v>
      </c>
      <c r="Q259">
        <v>5669369.3693693699</v>
      </c>
      <c r="R259">
        <v>8667387.3873873856</v>
      </c>
      <c r="S259">
        <v>5729</v>
      </c>
      <c r="T259">
        <v>5977</v>
      </c>
    </row>
    <row r="260" spans="1:20" x14ac:dyDescent="0.35">
      <c r="A260" s="7" t="s">
        <v>359</v>
      </c>
      <c r="B260" s="12" t="s">
        <v>63</v>
      </c>
      <c r="C260">
        <v>117790957.04551485</v>
      </c>
      <c r="D260">
        <v>125996856.90719427</v>
      </c>
      <c r="E260">
        <v>1345945.9459459479</v>
      </c>
      <c r="F260">
        <v>597297.29729729705</v>
      </c>
      <c r="G260">
        <v>11</v>
      </c>
      <c r="H260">
        <v>4</v>
      </c>
      <c r="K260">
        <v>14</v>
      </c>
      <c r="L260">
        <v>6</v>
      </c>
      <c r="M260">
        <v>17999819.819819819</v>
      </c>
      <c r="N260">
        <v>19255675.675675675</v>
      </c>
      <c r="O260">
        <v>32362954.954954956</v>
      </c>
      <c r="P260">
        <v>39720945.945945941</v>
      </c>
      <c r="Q260">
        <v>18853603.603603601</v>
      </c>
      <c r="R260">
        <v>12329639.639639638</v>
      </c>
      <c r="S260">
        <v>3766</v>
      </c>
      <c r="T260">
        <v>4745</v>
      </c>
    </row>
    <row r="261" spans="1:20" x14ac:dyDescent="0.35">
      <c r="A261" s="7" t="s">
        <v>360</v>
      </c>
      <c r="B261" s="12" t="s">
        <v>317</v>
      </c>
      <c r="C261">
        <v>3385618.2097931379</v>
      </c>
      <c r="D261">
        <v>7201517.6664126366</v>
      </c>
      <c r="G261">
        <v>3</v>
      </c>
      <c r="H261">
        <v>9</v>
      </c>
      <c r="K261">
        <v>3</v>
      </c>
      <c r="L261">
        <v>10</v>
      </c>
      <c r="O261">
        <v>1396171.1711711709</v>
      </c>
      <c r="P261">
        <v>3907927.927927928</v>
      </c>
      <c r="S261">
        <v>540</v>
      </c>
      <c r="T261">
        <v>582</v>
      </c>
    </row>
    <row r="262" spans="1:20" x14ac:dyDescent="0.35">
      <c r="A262" s="7" t="s">
        <v>361</v>
      </c>
      <c r="B262" s="12" t="s">
        <v>317</v>
      </c>
      <c r="C262">
        <v>112453371.45298176</v>
      </c>
      <c r="D262">
        <v>95085791.469452903</v>
      </c>
      <c r="E262">
        <v>110707739.63963965</v>
      </c>
      <c r="F262">
        <v>101071086.48648648</v>
      </c>
      <c r="G262">
        <v>31</v>
      </c>
      <c r="H262">
        <v>10</v>
      </c>
      <c r="K262">
        <v>36</v>
      </c>
      <c r="L262">
        <v>13</v>
      </c>
      <c r="M262">
        <v>17238108.108108111</v>
      </c>
      <c r="N262">
        <v>33758558.558558553</v>
      </c>
      <c r="O262">
        <v>41656252.252252251</v>
      </c>
      <c r="P262">
        <v>40098621.621621624</v>
      </c>
      <c r="Q262">
        <v>17849099.0990991</v>
      </c>
      <c r="R262">
        <v>26424684.684684679</v>
      </c>
      <c r="S262">
        <v>3014</v>
      </c>
      <c r="T262">
        <v>2988</v>
      </c>
    </row>
    <row r="263" spans="1:20" x14ac:dyDescent="0.35">
      <c r="A263" s="7" t="s">
        <v>362</v>
      </c>
      <c r="B263" s="12" t="s">
        <v>93</v>
      </c>
      <c r="C263">
        <v>214893338.03039432</v>
      </c>
      <c r="D263">
        <v>227639292.18659189</v>
      </c>
      <c r="E263">
        <v>4975675.6756756753</v>
      </c>
      <c r="F263">
        <v>2493243.2432432459</v>
      </c>
      <c r="G263">
        <v>135</v>
      </c>
      <c r="H263">
        <v>40</v>
      </c>
      <c r="I263">
        <v>2</v>
      </c>
      <c r="K263">
        <v>188</v>
      </c>
      <c r="L263">
        <v>73</v>
      </c>
      <c r="M263">
        <v>43333333.333333336</v>
      </c>
      <c r="N263">
        <v>33906306.30630631</v>
      </c>
      <c r="O263">
        <v>66141052.252252251</v>
      </c>
      <c r="P263">
        <v>68089900.9009009</v>
      </c>
      <c r="Q263">
        <v>39190133.333333336</v>
      </c>
      <c r="R263">
        <v>32456036.036036041</v>
      </c>
      <c r="S263">
        <v>6766</v>
      </c>
      <c r="T263">
        <v>6830</v>
      </c>
    </row>
    <row r="264" spans="1:20" x14ac:dyDescent="0.35">
      <c r="A264" s="7" t="s">
        <v>363</v>
      </c>
      <c r="B264" s="12" t="s">
        <v>59</v>
      </c>
      <c r="C264">
        <v>421022822.9964394</v>
      </c>
      <c r="D264">
        <v>464203847.07166976</v>
      </c>
      <c r="E264">
        <v>1245945.94594595</v>
      </c>
      <c r="F264">
        <v>684684.68468468997</v>
      </c>
      <c r="G264">
        <v>73</v>
      </c>
      <c r="H264">
        <v>144</v>
      </c>
      <c r="K264">
        <v>84</v>
      </c>
      <c r="L264">
        <v>157</v>
      </c>
      <c r="M264">
        <v>20323423.423423428</v>
      </c>
      <c r="N264">
        <v>18630630.630630631</v>
      </c>
      <c r="O264">
        <v>65458256.75675676</v>
      </c>
      <c r="P264">
        <v>82608153.153153151</v>
      </c>
      <c r="Q264">
        <v>15412882.882882882</v>
      </c>
      <c r="R264">
        <v>20532972.97297297</v>
      </c>
      <c r="S264">
        <v>12998</v>
      </c>
      <c r="T264">
        <v>14462</v>
      </c>
    </row>
    <row r="265" spans="1:20" x14ac:dyDescent="0.35">
      <c r="A265" s="7" t="s">
        <v>364</v>
      </c>
      <c r="B265" s="12" t="s">
        <v>144</v>
      </c>
      <c r="E265">
        <v>72238493.693693697</v>
      </c>
      <c r="F265">
        <v>105342626.12612613</v>
      </c>
      <c r="M265">
        <v>7207207.2072072066</v>
      </c>
      <c r="N265">
        <v>18018018.018018015</v>
      </c>
    </row>
    <row r="266" spans="1:20" x14ac:dyDescent="0.35">
      <c r="A266" s="7" t="s">
        <v>365</v>
      </c>
      <c r="B266" s="12" t="s">
        <v>49</v>
      </c>
      <c r="C266">
        <v>150053018.71951804</v>
      </c>
      <c r="D266">
        <v>174250209.62050954</v>
      </c>
      <c r="E266">
        <v>53153.153153152998</v>
      </c>
      <c r="F266">
        <v>460360.360360361</v>
      </c>
      <c r="G266">
        <v>6</v>
      </c>
      <c r="H266">
        <v>4</v>
      </c>
      <c r="K266">
        <v>6</v>
      </c>
      <c r="L266">
        <v>4</v>
      </c>
      <c r="M266">
        <v>27492972.972972967</v>
      </c>
      <c r="N266">
        <v>9958108.1081081089</v>
      </c>
      <c r="O266">
        <v>24807081.081081081</v>
      </c>
      <c r="P266">
        <v>30718216.216216218</v>
      </c>
      <c r="Q266">
        <v>23763063.063063059</v>
      </c>
      <c r="R266">
        <v>8954864.8648648653</v>
      </c>
      <c r="S266">
        <v>3810</v>
      </c>
      <c r="T266">
        <v>3972</v>
      </c>
    </row>
    <row r="267" spans="1:20" x14ac:dyDescent="0.35">
      <c r="A267" s="7" t="s">
        <v>366</v>
      </c>
      <c r="B267" s="12" t="s">
        <v>262</v>
      </c>
      <c r="E267">
        <v>52702702.702702701</v>
      </c>
      <c r="F267">
        <v>20743243.243243244</v>
      </c>
      <c r="M267">
        <v>413513.51351351402</v>
      </c>
      <c r="N267">
        <v>309909.90990991</v>
      </c>
    </row>
    <row r="268" spans="1:20" x14ac:dyDescent="0.35">
      <c r="A268" s="7" t="s">
        <v>367</v>
      </c>
      <c r="B268" s="12" t="s">
        <v>53</v>
      </c>
      <c r="C268">
        <v>63141171.445716254</v>
      </c>
      <c r="D268">
        <v>64749384.858846933</v>
      </c>
      <c r="E268">
        <v>128828.82882882901</v>
      </c>
      <c r="F268">
        <v>867567.56756757002</v>
      </c>
      <c r="G268">
        <v>17</v>
      </c>
      <c r="H268">
        <v>4</v>
      </c>
      <c r="K268">
        <v>21</v>
      </c>
      <c r="L268">
        <v>4</v>
      </c>
      <c r="M268">
        <v>804504.50450450496</v>
      </c>
      <c r="N268">
        <v>3020720.7207207219</v>
      </c>
      <c r="O268">
        <v>30425675.675675672</v>
      </c>
      <c r="P268">
        <v>31176369.369369369</v>
      </c>
      <c r="Q268">
        <v>1087657.6576576571</v>
      </c>
      <c r="R268">
        <v>2787837.8378378381</v>
      </c>
      <c r="S268">
        <v>2104</v>
      </c>
      <c r="T268">
        <v>2255</v>
      </c>
    </row>
    <row r="269" spans="1:20" x14ac:dyDescent="0.35">
      <c r="A269" s="7" t="s">
        <v>368</v>
      </c>
      <c r="B269" s="12" t="s">
        <v>53</v>
      </c>
      <c r="C269">
        <v>48503010.11531727</v>
      </c>
      <c r="D269">
        <v>49609781.923977539</v>
      </c>
      <c r="E269">
        <v>1998198.1981982</v>
      </c>
      <c r="F269">
        <v>1135135.1351351361</v>
      </c>
      <c r="G269">
        <v>40</v>
      </c>
      <c r="H269">
        <v>18</v>
      </c>
      <c r="K269">
        <v>137</v>
      </c>
      <c r="L269">
        <v>27</v>
      </c>
      <c r="M269">
        <v>4691891.8918918921</v>
      </c>
      <c r="N269">
        <v>8810810.8108108118</v>
      </c>
      <c r="O269">
        <v>27128819.819819819</v>
      </c>
      <c r="P269">
        <v>26738711.711711712</v>
      </c>
      <c r="Q269">
        <v>9467207.2072072104</v>
      </c>
      <c r="R269">
        <v>7905945.9459459474</v>
      </c>
      <c r="S269">
        <v>2262</v>
      </c>
      <c r="T269">
        <v>2367</v>
      </c>
    </row>
    <row r="270" spans="1:20" x14ac:dyDescent="0.35">
      <c r="A270" s="7" t="s">
        <v>369</v>
      </c>
      <c r="B270" s="12" t="s">
        <v>53</v>
      </c>
      <c r="C270">
        <v>561352305.46937633</v>
      </c>
      <c r="D270">
        <v>568959855.11651766</v>
      </c>
      <c r="E270">
        <v>322947381.98198199</v>
      </c>
      <c r="F270">
        <v>190090416.21621624</v>
      </c>
      <c r="G270">
        <v>200</v>
      </c>
      <c r="H270">
        <v>144</v>
      </c>
      <c r="I270">
        <v>2</v>
      </c>
      <c r="K270">
        <v>363</v>
      </c>
      <c r="L270">
        <v>211</v>
      </c>
      <c r="M270">
        <v>28393693.693693697</v>
      </c>
      <c r="N270">
        <v>45419144.144144148</v>
      </c>
      <c r="O270">
        <v>204248900</v>
      </c>
      <c r="P270">
        <v>211202243.24324322</v>
      </c>
      <c r="Q270">
        <v>48347927.927927926</v>
      </c>
      <c r="R270">
        <v>38019549.54954955</v>
      </c>
      <c r="S270">
        <v>20473</v>
      </c>
      <c r="T270">
        <v>20699</v>
      </c>
    </row>
    <row r="271" spans="1:20" x14ac:dyDescent="0.35">
      <c r="A271" s="7" t="s">
        <v>370</v>
      </c>
      <c r="B271" s="12" t="s">
        <v>295</v>
      </c>
      <c r="C271">
        <v>311566540.46459758</v>
      </c>
      <c r="D271">
        <v>330758183.02168459</v>
      </c>
      <c r="E271">
        <v>22556279.279279277</v>
      </c>
      <c r="F271">
        <v>36294115.315315321</v>
      </c>
      <c r="G271">
        <v>87</v>
      </c>
      <c r="H271">
        <v>29</v>
      </c>
      <c r="K271">
        <v>130</v>
      </c>
      <c r="L271">
        <v>82</v>
      </c>
      <c r="M271">
        <v>36249189.189189181</v>
      </c>
      <c r="N271">
        <v>55842522.522522517</v>
      </c>
      <c r="O271">
        <v>101264914.41441442</v>
      </c>
      <c r="P271">
        <v>110450392.7927928</v>
      </c>
      <c r="Q271">
        <v>34277387.38738738</v>
      </c>
      <c r="R271">
        <v>41962072.072072074</v>
      </c>
      <c r="S271">
        <v>10884</v>
      </c>
      <c r="T271">
        <v>10923</v>
      </c>
    </row>
    <row r="272" spans="1:20" x14ac:dyDescent="0.35">
      <c r="A272" s="7" t="s">
        <v>371</v>
      </c>
      <c r="B272" s="12" t="s">
        <v>372</v>
      </c>
      <c r="C272">
        <v>131763582.13238755</v>
      </c>
      <c r="D272">
        <v>139466506.4769592</v>
      </c>
      <c r="E272">
        <v>31946599.099099103</v>
      </c>
      <c r="F272">
        <v>36103474.774774775</v>
      </c>
      <c r="G272">
        <v>27</v>
      </c>
      <c r="H272">
        <v>18</v>
      </c>
      <c r="K272">
        <v>30</v>
      </c>
      <c r="L272">
        <v>20</v>
      </c>
      <c r="M272">
        <v>31361621.62162162</v>
      </c>
      <c r="N272">
        <v>26276216.21621621</v>
      </c>
      <c r="O272">
        <v>54608297.297297299</v>
      </c>
      <c r="P272">
        <v>60550738.738738738</v>
      </c>
      <c r="Q272">
        <v>35475765.765765764</v>
      </c>
      <c r="R272">
        <v>26316396.396396391</v>
      </c>
      <c r="S272">
        <v>5233</v>
      </c>
      <c r="T272">
        <v>3799</v>
      </c>
    </row>
    <row r="273" spans="1:20" x14ac:dyDescent="0.35">
      <c r="A273" s="7" t="s">
        <v>373</v>
      </c>
      <c r="B273" s="12" t="s">
        <v>71</v>
      </c>
      <c r="C273">
        <v>38569634.578141734</v>
      </c>
      <c r="D273">
        <v>41653413.016963117</v>
      </c>
      <c r="E273">
        <v>1937837.837837839</v>
      </c>
      <c r="F273">
        <v>213063.06306306401</v>
      </c>
      <c r="G273">
        <v>27</v>
      </c>
      <c r="H273">
        <v>19</v>
      </c>
      <c r="K273">
        <v>35</v>
      </c>
      <c r="L273">
        <v>38</v>
      </c>
      <c r="M273">
        <v>8395495.4954954945</v>
      </c>
      <c r="N273">
        <v>4484234.2342342343</v>
      </c>
      <c r="O273">
        <v>13035333.333333334</v>
      </c>
      <c r="P273">
        <v>14098864.864864865</v>
      </c>
      <c r="Q273">
        <v>6835855.8558558552</v>
      </c>
      <c r="R273">
        <v>4816126.1261261273</v>
      </c>
      <c r="S273">
        <v>1115</v>
      </c>
      <c r="T273">
        <v>1201</v>
      </c>
    </row>
    <row r="274" spans="1:20" x14ac:dyDescent="0.35">
      <c r="A274" s="7" t="s">
        <v>374</v>
      </c>
      <c r="B274" s="12" t="s">
        <v>51</v>
      </c>
      <c r="C274">
        <v>81920885.926996619</v>
      </c>
      <c r="D274">
        <v>73746616.801529124</v>
      </c>
      <c r="E274">
        <v>887387.38738738804</v>
      </c>
      <c r="F274">
        <v>980180.18018018</v>
      </c>
      <c r="G274">
        <v>20</v>
      </c>
      <c r="H274">
        <v>15</v>
      </c>
      <c r="K274">
        <v>23</v>
      </c>
      <c r="L274">
        <v>16</v>
      </c>
      <c r="M274">
        <v>7033423.4234234234</v>
      </c>
      <c r="N274">
        <v>7348648.6486486495</v>
      </c>
      <c r="O274">
        <v>36294702.702702701</v>
      </c>
      <c r="P274">
        <v>32089288.288288288</v>
      </c>
      <c r="Q274">
        <v>5790720.7207207186</v>
      </c>
      <c r="R274">
        <v>6140720.7207207195</v>
      </c>
      <c r="S274">
        <v>3206</v>
      </c>
      <c r="T274">
        <v>2396</v>
      </c>
    </row>
    <row r="275" spans="1:20" x14ac:dyDescent="0.35">
      <c r="A275" s="7" t="s">
        <v>375</v>
      </c>
      <c r="B275" s="12" t="s">
        <v>122</v>
      </c>
      <c r="C275">
        <v>83405986.628536969</v>
      </c>
      <c r="D275">
        <v>76080648.762902752</v>
      </c>
      <c r="E275">
        <v>647747.74774774897</v>
      </c>
      <c r="F275">
        <v>292792.792792794</v>
      </c>
      <c r="G275">
        <v>37</v>
      </c>
      <c r="H275">
        <v>30</v>
      </c>
      <c r="K275">
        <v>45</v>
      </c>
      <c r="L275">
        <v>36</v>
      </c>
      <c r="M275">
        <v>4860360.3603603598</v>
      </c>
      <c r="N275">
        <v>2094594.594594595</v>
      </c>
      <c r="O275">
        <v>8692522.5225225221</v>
      </c>
      <c r="P275">
        <v>7926288.2882882887</v>
      </c>
      <c r="Q275">
        <v>2584414.4144144142</v>
      </c>
      <c r="R275">
        <v>2226486.4864864862</v>
      </c>
      <c r="S275">
        <v>2755</v>
      </c>
      <c r="T275">
        <v>2715</v>
      </c>
    </row>
    <row r="276" spans="1:20" x14ac:dyDescent="0.35">
      <c r="A276" s="7" t="s">
        <v>376</v>
      </c>
      <c r="B276" s="12" t="s">
        <v>377</v>
      </c>
      <c r="C276">
        <v>185168771.39598206</v>
      </c>
      <c r="D276">
        <v>182899257.1196976</v>
      </c>
      <c r="E276">
        <v>30547019.819819823</v>
      </c>
      <c r="F276">
        <v>57105803.603603609</v>
      </c>
      <c r="G276">
        <v>29</v>
      </c>
      <c r="H276">
        <v>12</v>
      </c>
      <c r="K276">
        <v>35</v>
      </c>
      <c r="L276">
        <v>15</v>
      </c>
      <c r="M276">
        <v>36832882.882882878</v>
      </c>
      <c r="N276">
        <v>57710315.315315314</v>
      </c>
      <c r="O276">
        <v>68183720.720720723</v>
      </c>
      <c r="P276">
        <v>74166779.279279277</v>
      </c>
      <c r="Q276">
        <v>26395315.315315317</v>
      </c>
      <c r="R276">
        <v>28737252.252252251</v>
      </c>
      <c r="S276">
        <v>9731</v>
      </c>
      <c r="T276">
        <v>10162</v>
      </c>
    </row>
    <row r="277" spans="1:20" x14ac:dyDescent="0.35">
      <c r="A277" s="7" t="s">
        <v>378</v>
      </c>
      <c r="B277" s="12" t="s">
        <v>67</v>
      </c>
      <c r="C277">
        <v>135049359.76209956</v>
      </c>
      <c r="D277">
        <v>149514434.70842567</v>
      </c>
      <c r="E277">
        <v>4714414.4144144198</v>
      </c>
      <c r="F277">
        <v>3218018.018018025</v>
      </c>
      <c r="G277">
        <v>40</v>
      </c>
      <c r="H277">
        <v>23</v>
      </c>
      <c r="K277">
        <v>48</v>
      </c>
      <c r="L277">
        <v>28</v>
      </c>
      <c r="M277">
        <v>163140990.99099097</v>
      </c>
      <c r="N277">
        <v>191439414.41441441</v>
      </c>
      <c r="O277">
        <v>48782972.972972974</v>
      </c>
      <c r="P277">
        <v>56787747.747747742</v>
      </c>
      <c r="Q277">
        <v>60419909.909909911</v>
      </c>
      <c r="R277">
        <v>43439324.324324317</v>
      </c>
      <c r="S277">
        <v>7478</v>
      </c>
      <c r="T277">
        <v>7972</v>
      </c>
    </row>
    <row r="278" spans="1:20" x14ac:dyDescent="0.35">
      <c r="A278" s="7" t="s">
        <v>379</v>
      </c>
      <c r="B278" s="12" t="s">
        <v>356</v>
      </c>
      <c r="C278">
        <v>204837464.63608688</v>
      </c>
      <c r="D278">
        <v>211759207.77621877</v>
      </c>
      <c r="E278">
        <v>2186486.4864864871</v>
      </c>
      <c r="F278">
        <v>1994594.5945945969</v>
      </c>
      <c r="G278">
        <v>295</v>
      </c>
      <c r="H278">
        <v>128</v>
      </c>
      <c r="K278">
        <v>299</v>
      </c>
      <c r="L278">
        <v>139</v>
      </c>
      <c r="M278">
        <v>37788198.198198199</v>
      </c>
      <c r="N278">
        <v>42721396.396396399</v>
      </c>
      <c r="O278">
        <v>123911783.78378378</v>
      </c>
      <c r="P278">
        <v>125001090.0900901</v>
      </c>
      <c r="Q278">
        <v>39390900.9009009</v>
      </c>
      <c r="R278">
        <v>38252027.027027026</v>
      </c>
      <c r="S278">
        <v>6892</v>
      </c>
      <c r="T278">
        <v>6772</v>
      </c>
    </row>
    <row r="279" spans="1:20" x14ac:dyDescent="0.35">
      <c r="A279" s="7" t="s">
        <v>380</v>
      </c>
      <c r="B279" s="12" t="s">
        <v>67</v>
      </c>
      <c r="C279">
        <v>78040464.158074975</v>
      </c>
      <c r="D279">
        <v>84690235.090623438</v>
      </c>
      <c r="E279">
        <v>554054.05405405501</v>
      </c>
      <c r="F279">
        <v>302702.702702704</v>
      </c>
      <c r="G279">
        <v>30</v>
      </c>
      <c r="H279">
        <v>7</v>
      </c>
      <c r="K279">
        <v>37</v>
      </c>
      <c r="L279">
        <v>11</v>
      </c>
      <c r="M279">
        <v>5357657.6576576577</v>
      </c>
      <c r="N279">
        <v>6428378.3783783782</v>
      </c>
      <c r="O279">
        <v>36803734.234234229</v>
      </c>
      <c r="P279">
        <v>37283432.432432435</v>
      </c>
      <c r="Q279">
        <v>7590900.9009009013</v>
      </c>
      <c r="R279">
        <v>7321891.8918918921</v>
      </c>
      <c r="S279">
        <v>5014</v>
      </c>
      <c r="T279">
        <v>5099</v>
      </c>
    </row>
    <row r="280" spans="1:20" x14ac:dyDescent="0.35">
      <c r="A280" s="7" t="s">
        <v>381</v>
      </c>
      <c r="B280" s="12" t="s">
        <v>262</v>
      </c>
      <c r="C280">
        <v>67461856.30298993</v>
      </c>
      <c r="D280">
        <v>67417867.217298284</v>
      </c>
      <c r="E280">
        <v>13513.513513514001</v>
      </c>
      <c r="F280">
        <v>292792.79279279301</v>
      </c>
      <c r="G280">
        <v>5</v>
      </c>
      <c r="H280">
        <v>9</v>
      </c>
      <c r="K280">
        <v>5</v>
      </c>
      <c r="L280">
        <v>25</v>
      </c>
      <c r="M280">
        <v>3752252.2522522518</v>
      </c>
      <c r="N280">
        <v>4391891.8918918921</v>
      </c>
      <c r="O280">
        <v>11157009.009009007</v>
      </c>
      <c r="P280">
        <v>15200355.855855856</v>
      </c>
      <c r="Q280">
        <v>586936.93693693704</v>
      </c>
      <c r="R280">
        <v>4733963.963963964</v>
      </c>
      <c r="S280">
        <v>1629</v>
      </c>
      <c r="T280">
        <v>1678</v>
      </c>
    </row>
    <row r="281" spans="1:20" x14ac:dyDescent="0.35">
      <c r="A281" s="7" t="s">
        <v>382</v>
      </c>
      <c r="B281" s="12" t="s">
        <v>356</v>
      </c>
      <c r="C281">
        <v>169879554.88773704</v>
      </c>
      <c r="D281">
        <v>167544148.76993188</v>
      </c>
      <c r="E281">
        <v>2288288.2882882901</v>
      </c>
      <c r="F281">
        <v>1550000.0000000021</v>
      </c>
      <c r="G281">
        <v>39</v>
      </c>
      <c r="H281">
        <v>34</v>
      </c>
      <c r="K281">
        <v>41</v>
      </c>
      <c r="L281">
        <v>38</v>
      </c>
      <c r="M281">
        <v>32589099.0990991</v>
      </c>
      <c r="N281">
        <v>34345045.045045041</v>
      </c>
      <c r="O281">
        <v>94035286.48648648</v>
      </c>
      <c r="P281">
        <v>94153666.666666672</v>
      </c>
      <c r="Q281">
        <v>33472432.432432432</v>
      </c>
      <c r="R281">
        <v>29309819.819819815</v>
      </c>
      <c r="S281">
        <v>4982</v>
      </c>
      <c r="T281">
        <v>4839</v>
      </c>
    </row>
    <row r="282" spans="1:20" x14ac:dyDescent="0.35">
      <c r="A282" s="7" t="s">
        <v>383</v>
      </c>
      <c r="B282" s="12" t="s">
        <v>88</v>
      </c>
      <c r="C282">
        <v>4919303.1081688758</v>
      </c>
      <c r="D282">
        <v>4196154.637463876</v>
      </c>
      <c r="G282">
        <v>1</v>
      </c>
      <c r="K282">
        <v>2</v>
      </c>
      <c r="O282">
        <v>296981.98198198201</v>
      </c>
      <c r="P282">
        <v>919954.95495495503</v>
      </c>
      <c r="S282">
        <v>212</v>
      </c>
      <c r="T282">
        <v>178</v>
      </c>
    </row>
    <row r="283" spans="1:20" x14ac:dyDescent="0.35">
      <c r="A283" s="7" t="s">
        <v>384</v>
      </c>
      <c r="B283" s="12" t="s">
        <v>88</v>
      </c>
      <c r="C283">
        <v>6583912.3691882612</v>
      </c>
      <c r="D283">
        <v>6266054.9969634172</v>
      </c>
      <c r="G283">
        <v>13</v>
      </c>
      <c r="H283">
        <v>20</v>
      </c>
      <c r="K283">
        <v>17</v>
      </c>
      <c r="L283">
        <v>24</v>
      </c>
      <c r="O283">
        <v>829693.69369369396</v>
      </c>
      <c r="P283">
        <v>1209639.63963964</v>
      </c>
      <c r="S283">
        <v>353</v>
      </c>
      <c r="T283">
        <v>311</v>
      </c>
    </row>
    <row r="284" spans="1:20" x14ac:dyDescent="0.35">
      <c r="A284" s="7" t="s">
        <v>385</v>
      </c>
      <c r="B284" s="12" t="s">
        <v>81</v>
      </c>
      <c r="C284">
        <v>1169432300.4410808</v>
      </c>
      <c r="D284">
        <v>1215638895.4987278</v>
      </c>
      <c r="E284">
        <v>593673159.45945942</v>
      </c>
      <c r="F284">
        <v>686283883.78378379</v>
      </c>
      <c r="G284">
        <v>343</v>
      </c>
      <c r="H284">
        <v>240</v>
      </c>
      <c r="I284">
        <v>1</v>
      </c>
      <c r="K284">
        <v>482</v>
      </c>
      <c r="L284">
        <v>452</v>
      </c>
      <c r="M284">
        <v>131323423.42342342</v>
      </c>
      <c r="N284">
        <v>351816869.36936933</v>
      </c>
      <c r="O284">
        <v>300724482.43243247</v>
      </c>
      <c r="P284">
        <v>347842334.23423421</v>
      </c>
      <c r="Q284">
        <v>121752612.61261261</v>
      </c>
      <c r="R284">
        <v>149070000</v>
      </c>
      <c r="S284">
        <v>36272</v>
      </c>
      <c r="T284">
        <v>36781</v>
      </c>
    </row>
    <row r="285" spans="1:20" x14ac:dyDescent="0.35">
      <c r="A285" s="7" t="s">
        <v>386</v>
      </c>
      <c r="B285" s="12" t="s">
        <v>81</v>
      </c>
      <c r="C285">
        <v>318579198.67207557</v>
      </c>
      <c r="D285">
        <v>323327780.33594781</v>
      </c>
      <c r="E285">
        <v>3252477.4774774811</v>
      </c>
      <c r="F285">
        <v>2648648.6486486541</v>
      </c>
      <c r="G285">
        <v>82</v>
      </c>
      <c r="H285">
        <v>107</v>
      </c>
      <c r="I285">
        <v>1</v>
      </c>
      <c r="K285">
        <v>160</v>
      </c>
      <c r="L285">
        <v>228</v>
      </c>
      <c r="M285">
        <v>61335135.135135137</v>
      </c>
      <c r="N285">
        <v>72522522.522522509</v>
      </c>
      <c r="O285">
        <v>127059789.63963965</v>
      </c>
      <c r="P285">
        <v>137822436.03603604</v>
      </c>
      <c r="Q285">
        <v>50848147.747747749</v>
      </c>
      <c r="R285">
        <v>66934637.837837838</v>
      </c>
      <c r="S285">
        <v>9711</v>
      </c>
      <c r="T285">
        <v>10251</v>
      </c>
    </row>
    <row r="286" spans="1:20" x14ac:dyDescent="0.35">
      <c r="A286" s="7" t="s">
        <v>387</v>
      </c>
      <c r="B286" s="12" t="s">
        <v>81</v>
      </c>
      <c r="C286">
        <v>405101183.44191563</v>
      </c>
      <c r="D286">
        <v>429847685.51832503</v>
      </c>
      <c r="E286">
        <v>387456.75675675698</v>
      </c>
      <c r="F286">
        <v>255855.855855859</v>
      </c>
      <c r="G286">
        <v>56</v>
      </c>
      <c r="H286">
        <v>20</v>
      </c>
      <c r="I286">
        <v>2</v>
      </c>
      <c r="K286">
        <v>61</v>
      </c>
      <c r="L286">
        <v>24</v>
      </c>
      <c r="M286">
        <v>17524824.324324325</v>
      </c>
      <c r="N286">
        <v>26886486.486486487</v>
      </c>
      <c r="O286">
        <v>81045693.693693697</v>
      </c>
      <c r="P286">
        <v>92240891.891891882</v>
      </c>
      <c r="Q286">
        <v>20506216.216216218</v>
      </c>
      <c r="R286">
        <v>28301891.891891893</v>
      </c>
      <c r="S286">
        <v>11437</v>
      </c>
      <c r="T286">
        <v>9793</v>
      </c>
    </row>
    <row r="287" spans="1:20" x14ac:dyDescent="0.35">
      <c r="A287" s="7" t="s">
        <v>388</v>
      </c>
      <c r="B287" s="12" t="s">
        <v>69</v>
      </c>
      <c r="C287">
        <v>178286343.40864506</v>
      </c>
      <c r="D287">
        <v>169188732.0697577</v>
      </c>
      <c r="E287">
        <v>720720.72072072094</v>
      </c>
      <c r="F287">
        <v>631531.53153153299</v>
      </c>
      <c r="G287">
        <v>41</v>
      </c>
      <c r="H287">
        <v>17</v>
      </c>
      <c r="K287">
        <v>46</v>
      </c>
      <c r="L287">
        <v>31</v>
      </c>
      <c r="M287">
        <v>6975225.2252252251</v>
      </c>
      <c r="N287">
        <v>7010810.81081081</v>
      </c>
      <c r="O287">
        <v>25308477.47747748</v>
      </c>
      <c r="P287">
        <v>24587491.891891893</v>
      </c>
      <c r="Q287">
        <v>6174144.1441441439</v>
      </c>
      <c r="R287">
        <v>6481081.0810810803</v>
      </c>
      <c r="S287">
        <v>5084</v>
      </c>
      <c r="T287">
        <v>5123</v>
      </c>
    </row>
    <row r="288" spans="1:20" x14ac:dyDescent="0.35">
      <c r="A288" s="7" t="s">
        <v>389</v>
      </c>
      <c r="B288" s="12" t="s">
        <v>168</v>
      </c>
      <c r="C288">
        <v>66125721.992642343</v>
      </c>
      <c r="D288">
        <v>70678941.678321019</v>
      </c>
      <c r="E288">
        <v>428828.82882882899</v>
      </c>
      <c r="F288">
        <v>90090.090090091006</v>
      </c>
      <c r="G288">
        <v>25</v>
      </c>
      <c r="H288">
        <v>8</v>
      </c>
      <c r="K288">
        <v>28</v>
      </c>
      <c r="L288">
        <v>11</v>
      </c>
      <c r="M288">
        <v>18568083.783783782</v>
      </c>
      <c r="N288">
        <v>7318918.918918917</v>
      </c>
      <c r="O288">
        <v>27784117.117117114</v>
      </c>
      <c r="P288">
        <v>32141538.738738742</v>
      </c>
      <c r="Q288">
        <v>11591891.891891891</v>
      </c>
      <c r="R288">
        <v>7723243.2432432426</v>
      </c>
      <c r="S288">
        <v>2456</v>
      </c>
      <c r="T288">
        <v>2516</v>
      </c>
    </row>
    <row r="289" spans="1:20" x14ac:dyDescent="0.35">
      <c r="A289" s="7" t="s">
        <v>390</v>
      </c>
      <c r="B289" s="12" t="s">
        <v>95</v>
      </c>
      <c r="C289">
        <v>359205084.47050065</v>
      </c>
      <c r="D289">
        <v>381002663.13404965</v>
      </c>
      <c r="E289">
        <v>612612.61261261394</v>
      </c>
      <c r="F289">
        <v>1144144.144144146</v>
      </c>
      <c r="G289">
        <v>78</v>
      </c>
      <c r="H289">
        <v>74</v>
      </c>
      <c r="K289">
        <v>91</v>
      </c>
      <c r="L289">
        <v>88</v>
      </c>
      <c r="M289">
        <v>15864864.864864865</v>
      </c>
      <c r="N289">
        <v>13702702.702702701</v>
      </c>
      <c r="O289">
        <v>44618495.495495498</v>
      </c>
      <c r="P289">
        <v>55183819.819819815</v>
      </c>
      <c r="Q289">
        <v>12515855.855855856</v>
      </c>
      <c r="R289">
        <v>10001621.62162162</v>
      </c>
      <c r="S289">
        <v>8457</v>
      </c>
      <c r="T289">
        <v>8591</v>
      </c>
    </row>
    <row r="290" spans="1:20" x14ac:dyDescent="0.35">
      <c r="A290" s="7" t="s">
        <v>391</v>
      </c>
      <c r="B290" s="12" t="s">
        <v>216</v>
      </c>
      <c r="C290">
        <v>60460089.37256068</v>
      </c>
      <c r="D290">
        <v>68225791.450878009</v>
      </c>
      <c r="E290">
        <v>3312612.612612613</v>
      </c>
      <c r="F290">
        <v>88629729.729729727</v>
      </c>
      <c r="G290">
        <v>24</v>
      </c>
      <c r="H290">
        <v>1</v>
      </c>
      <c r="K290">
        <v>26</v>
      </c>
      <c r="L290">
        <v>1</v>
      </c>
      <c r="M290">
        <v>2656756.7567567569</v>
      </c>
      <c r="N290">
        <v>3067567.5675675669</v>
      </c>
      <c r="O290">
        <v>28475405.405405402</v>
      </c>
      <c r="P290">
        <v>31876072.072072074</v>
      </c>
      <c r="Q290">
        <v>1778378.378378378</v>
      </c>
      <c r="R290">
        <v>2915135.1351351351</v>
      </c>
      <c r="S290">
        <v>2251</v>
      </c>
      <c r="T290">
        <v>2403</v>
      </c>
    </row>
    <row r="291" spans="1:20" x14ac:dyDescent="0.35">
      <c r="A291" s="7" t="s">
        <v>392</v>
      </c>
      <c r="B291" s="12" t="s">
        <v>118</v>
      </c>
      <c r="C291">
        <v>25606647.20458556</v>
      </c>
      <c r="D291">
        <v>24040626.999717101</v>
      </c>
      <c r="E291">
        <v>461261.26126126398</v>
      </c>
      <c r="F291">
        <v>235135.13513513701</v>
      </c>
      <c r="G291">
        <v>9</v>
      </c>
      <c r="H291">
        <v>14</v>
      </c>
      <c r="K291">
        <v>20</v>
      </c>
      <c r="L291">
        <v>17</v>
      </c>
      <c r="M291">
        <v>8794709.9099099096</v>
      </c>
      <c r="N291">
        <v>7029671.1711711707</v>
      </c>
      <c r="O291">
        <v>11056450.45045045</v>
      </c>
      <c r="P291">
        <v>10892459.459459459</v>
      </c>
      <c r="Q291">
        <v>6295495.4954954963</v>
      </c>
      <c r="R291">
        <v>5181441.4414414428</v>
      </c>
      <c r="S291">
        <v>1865</v>
      </c>
      <c r="T291">
        <v>1766</v>
      </c>
    </row>
    <row r="292" spans="1:20" x14ac:dyDescent="0.35">
      <c r="A292" s="7" t="s">
        <v>393</v>
      </c>
      <c r="B292" s="12" t="s">
        <v>317</v>
      </c>
      <c r="C292">
        <v>110307102.29355143</v>
      </c>
      <c r="D292">
        <v>110857145.66589299</v>
      </c>
      <c r="E292">
        <v>381081.08108108101</v>
      </c>
      <c r="F292">
        <v>13513.513513514001</v>
      </c>
      <c r="G292">
        <v>10</v>
      </c>
      <c r="H292">
        <v>11</v>
      </c>
      <c r="I292">
        <v>1</v>
      </c>
      <c r="K292">
        <v>10</v>
      </c>
      <c r="L292">
        <v>11</v>
      </c>
      <c r="M292">
        <v>3804504.5045045051</v>
      </c>
      <c r="N292">
        <v>4049549.5495495489</v>
      </c>
      <c r="O292">
        <v>23095153.153153151</v>
      </c>
      <c r="P292">
        <v>23061036.036036037</v>
      </c>
      <c r="Q292">
        <v>4802702.702702703</v>
      </c>
      <c r="R292">
        <v>4900090.0900900885</v>
      </c>
      <c r="S292">
        <v>2623</v>
      </c>
      <c r="T292">
        <v>2875</v>
      </c>
    </row>
    <row r="293" spans="1:20" x14ac:dyDescent="0.35">
      <c r="A293" s="7" t="s">
        <v>394</v>
      </c>
      <c r="B293" s="12" t="s">
        <v>226</v>
      </c>
      <c r="C293">
        <v>46866694.581664145</v>
      </c>
      <c r="D293">
        <v>48833641.479335509</v>
      </c>
      <c r="G293">
        <v>6</v>
      </c>
      <c r="H293">
        <v>3</v>
      </c>
      <c r="K293">
        <v>6</v>
      </c>
      <c r="L293">
        <v>4</v>
      </c>
      <c r="O293">
        <v>8788783.7837837841</v>
      </c>
      <c r="P293">
        <v>9753009.0090090074</v>
      </c>
      <c r="S293">
        <v>1557</v>
      </c>
      <c r="T293">
        <v>1486</v>
      </c>
    </row>
    <row r="294" spans="1:20" x14ac:dyDescent="0.35">
      <c r="A294" s="7" t="s">
        <v>6</v>
      </c>
      <c r="B294" s="12" t="s">
        <v>195</v>
      </c>
      <c r="C294">
        <v>389986416.41443765</v>
      </c>
      <c r="D294">
        <v>402245101.50619578</v>
      </c>
      <c r="E294">
        <v>285603622.52252251</v>
      </c>
      <c r="F294">
        <v>159473229.72972974</v>
      </c>
      <c r="G294">
        <v>145</v>
      </c>
      <c r="H294">
        <v>104</v>
      </c>
      <c r="K294">
        <v>589</v>
      </c>
      <c r="L294">
        <v>196</v>
      </c>
      <c r="M294">
        <v>167620390.99099097</v>
      </c>
      <c r="N294">
        <v>231945599.0990991</v>
      </c>
      <c r="O294">
        <v>265840810.8108108</v>
      </c>
      <c r="P294">
        <v>262576477.47747746</v>
      </c>
      <c r="Q294">
        <v>149508198.1981982</v>
      </c>
      <c r="R294">
        <v>207931441.44144145</v>
      </c>
      <c r="S294">
        <v>12915</v>
      </c>
      <c r="T294">
        <v>13416</v>
      </c>
    </row>
    <row r="295" spans="1:20" x14ac:dyDescent="0.35">
      <c r="A295" s="7" t="s">
        <v>395</v>
      </c>
      <c r="B295" s="12" t="s">
        <v>122</v>
      </c>
      <c r="C295">
        <v>18797636.191711321</v>
      </c>
      <c r="D295">
        <v>18481840.451614767</v>
      </c>
      <c r="G295">
        <v>7</v>
      </c>
      <c r="H295">
        <v>9</v>
      </c>
      <c r="K295">
        <v>8</v>
      </c>
      <c r="L295">
        <v>12</v>
      </c>
      <c r="O295">
        <v>944594.59459459502</v>
      </c>
      <c r="P295">
        <v>1242531.5315315321</v>
      </c>
      <c r="S295">
        <v>503</v>
      </c>
      <c r="T295">
        <v>543</v>
      </c>
    </row>
    <row r="296" spans="1:20" x14ac:dyDescent="0.35">
      <c r="A296" s="7" t="s">
        <v>396</v>
      </c>
      <c r="B296" s="12" t="s">
        <v>135</v>
      </c>
      <c r="C296">
        <v>53320810.050240397</v>
      </c>
      <c r="D296">
        <v>58362837.754022278</v>
      </c>
      <c r="E296">
        <v>13513.513513514001</v>
      </c>
      <c r="F296">
        <v>40540.540540540998</v>
      </c>
      <c r="G296">
        <v>13</v>
      </c>
      <c r="H296">
        <v>9</v>
      </c>
      <c r="K296">
        <v>17</v>
      </c>
      <c r="L296">
        <v>10</v>
      </c>
      <c r="M296">
        <v>3572072.072072071</v>
      </c>
      <c r="N296">
        <v>3227477.477477476</v>
      </c>
      <c r="O296">
        <v>11147259.459459459</v>
      </c>
      <c r="P296">
        <v>14002162.162162162</v>
      </c>
      <c r="Q296">
        <v>760540.54054054199</v>
      </c>
      <c r="R296">
        <v>1123423.4234234239</v>
      </c>
      <c r="S296">
        <v>3585</v>
      </c>
      <c r="T296">
        <v>4506</v>
      </c>
    </row>
    <row r="297" spans="1:20" x14ac:dyDescent="0.35">
      <c r="A297" s="7" t="s">
        <v>397</v>
      </c>
      <c r="B297" s="12" t="s">
        <v>59</v>
      </c>
      <c r="C297">
        <v>259215967.65551201</v>
      </c>
      <c r="D297">
        <v>289190468.48427665</v>
      </c>
      <c r="E297">
        <v>21294369.369369373</v>
      </c>
      <c r="F297">
        <v>18805405.40540541</v>
      </c>
      <c r="G297">
        <v>93</v>
      </c>
      <c r="H297">
        <v>58</v>
      </c>
      <c r="K297">
        <v>103</v>
      </c>
      <c r="L297">
        <v>66</v>
      </c>
      <c r="M297">
        <v>29217117.117117122</v>
      </c>
      <c r="N297">
        <v>32881981.981981978</v>
      </c>
      <c r="O297">
        <v>41971247.747747742</v>
      </c>
      <c r="P297">
        <v>50739864.864864863</v>
      </c>
      <c r="Q297">
        <v>24466756.75675676</v>
      </c>
      <c r="R297">
        <v>31894684.684684683</v>
      </c>
      <c r="S297">
        <v>9037</v>
      </c>
      <c r="T297">
        <v>9296</v>
      </c>
    </row>
    <row r="298" spans="1:20" x14ac:dyDescent="0.35">
      <c r="A298" s="7" t="s">
        <v>398</v>
      </c>
      <c r="B298" s="12" t="s">
        <v>135</v>
      </c>
      <c r="C298">
        <v>87301294.7578215</v>
      </c>
      <c r="D298">
        <v>98335623.827351555</v>
      </c>
      <c r="E298">
        <v>396396.39639639697</v>
      </c>
      <c r="F298">
        <v>331531.53153153101</v>
      </c>
      <c r="G298">
        <v>20</v>
      </c>
      <c r="H298">
        <v>11</v>
      </c>
      <c r="K298">
        <v>27</v>
      </c>
      <c r="L298">
        <v>17</v>
      </c>
      <c r="M298">
        <v>11900900.9009009</v>
      </c>
      <c r="N298">
        <v>14242342.342342339</v>
      </c>
      <c r="O298">
        <v>15950117.117117116</v>
      </c>
      <c r="P298">
        <v>22008459.459459461</v>
      </c>
      <c r="Q298">
        <v>7783423.4234234216</v>
      </c>
      <c r="R298">
        <v>7810630.6306306319</v>
      </c>
      <c r="S298">
        <v>3875</v>
      </c>
      <c r="T298">
        <v>4062</v>
      </c>
    </row>
    <row r="299" spans="1:20" x14ac:dyDescent="0.35">
      <c r="A299" s="7" t="s">
        <v>399</v>
      </c>
      <c r="B299" s="12" t="s">
        <v>55</v>
      </c>
      <c r="C299">
        <v>37620413.64086663</v>
      </c>
      <c r="D299">
        <v>38611824.212398395</v>
      </c>
      <c r="E299">
        <v>27927.927927928002</v>
      </c>
      <c r="F299">
        <v>516216.21621621598</v>
      </c>
      <c r="G299">
        <v>7</v>
      </c>
      <c r="H299">
        <v>7</v>
      </c>
      <c r="K299">
        <v>8</v>
      </c>
      <c r="L299">
        <v>9</v>
      </c>
      <c r="M299">
        <v>2109009.0090090092</v>
      </c>
      <c r="N299">
        <v>2543243.2432432421</v>
      </c>
      <c r="O299">
        <v>6131423.4234234234</v>
      </c>
      <c r="P299">
        <v>6659945.9459459456</v>
      </c>
      <c r="Q299">
        <v>2284234.2342342339</v>
      </c>
      <c r="R299">
        <v>2462432.4324324308</v>
      </c>
      <c r="S299">
        <v>1572</v>
      </c>
      <c r="T299">
        <v>1437</v>
      </c>
    </row>
    <row r="300" spans="1:20" x14ac:dyDescent="0.35">
      <c r="A300" s="7" t="s">
        <v>400</v>
      </c>
      <c r="B300" s="12" t="s">
        <v>401</v>
      </c>
      <c r="C300">
        <v>270022728.75252712</v>
      </c>
      <c r="D300">
        <v>277035703.60445786</v>
      </c>
      <c r="E300">
        <v>1681981.9819819841</v>
      </c>
      <c r="F300">
        <v>1146846.8468468499</v>
      </c>
      <c r="G300">
        <v>99</v>
      </c>
      <c r="H300">
        <v>99</v>
      </c>
      <c r="I300">
        <v>1</v>
      </c>
      <c r="K300">
        <v>196</v>
      </c>
      <c r="L300">
        <v>121</v>
      </c>
      <c r="M300">
        <v>29513063.063063063</v>
      </c>
      <c r="N300">
        <v>26589639.639639638</v>
      </c>
      <c r="O300">
        <v>51563115.315315321</v>
      </c>
      <c r="P300">
        <v>58522621.621621624</v>
      </c>
      <c r="Q300">
        <v>27474594.594594598</v>
      </c>
      <c r="R300">
        <v>22408918.918918919</v>
      </c>
      <c r="S300">
        <v>9868</v>
      </c>
      <c r="T300">
        <v>9406</v>
      </c>
    </row>
    <row r="301" spans="1:20" x14ac:dyDescent="0.35">
      <c r="A301" s="7" t="s">
        <v>402</v>
      </c>
      <c r="B301" s="12" t="s">
        <v>403</v>
      </c>
      <c r="C301">
        <v>289843796.98492414</v>
      </c>
      <c r="D301">
        <v>316476610.07385862</v>
      </c>
      <c r="E301">
        <v>4797072.0720720757</v>
      </c>
      <c r="F301">
        <v>629729.72972973005</v>
      </c>
      <c r="G301">
        <v>62</v>
      </c>
      <c r="H301">
        <v>65</v>
      </c>
      <c r="K301">
        <v>73</v>
      </c>
      <c r="L301">
        <v>73</v>
      </c>
      <c r="M301">
        <v>40889189.189189196</v>
      </c>
      <c r="N301">
        <v>20510810.810810808</v>
      </c>
      <c r="O301">
        <v>52987828.828828834</v>
      </c>
      <c r="P301">
        <v>60996927.927927926</v>
      </c>
      <c r="Q301">
        <v>37984864.864864863</v>
      </c>
      <c r="R301">
        <v>17034504.504504506</v>
      </c>
      <c r="S301">
        <v>11551</v>
      </c>
      <c r="T301">
        <v>11460</v>
      </c>
    </row>
    <row r="302" spans="1:20" x14ac:dyDescent="0.35">
      <c r="A302" s="7" t="s">
        <v>404</v>
      </c>
      <c r="B302" s="12" t="s">
        <v>141</v>
      </c>
      <c r="C302">
        <v>94947880.897858724</v>
      </c>
      <c r="D302">
        <v>100636484.95475258</v>
      </c>
      <c r="E302">
        <v>1141441.4414414419</v>
      </c>
      <c r="F302">
        <v>1240540.5405405399</v>
      </c>
      <c r="G302">
        <v>32</v>
      </c>
      <c r="H302">
        <v>15</v>
      </c>
      <c r="K302">
        <v>35</v>
      </c>
      <c r="L302">
        <v>18</v>
      </c>
      <c r="M302">
        <v>19274054.054054052</v>
      </c>
      <c r="N302">
        <v>24942342.342342343</v>
      </c>
      <c r="O302">
        <v>30338936.936936937</v>
      </c>
      <c r="P302">
        <v>32234522.522522524</v>
      </c>
      <c r="Q302">
        <v>18882792.792792793</v>
      </c>
      <c r="R302">
        <v>22891441.441441443</v>
      </c>
      <c r="S302">
        <v>3170</v>
      </c>
      <c r="T302">
        <v>3232</v>
      </c>
    </row>
    <row r="303" spans="1:20" x14ac:dyDescent="0.35">
      <c r="A303" s="7" t="s">
        <v>405</v>
      </c>
      <c r="B303" s="12" t="s">
        <v>122</v>
      </c>
      <c r="C303">
        <v>24804850.902811255</v>
      </c>
      <c r="D303">
        <v>23424868.592281271</v>
      </c>
      <c r="E303">
        <v>373873.87387387402</v>
      </c>
      <c r="G303">
        <v>12</v>
      </c>
      <c r="H303">
        <v>12</v>
      </c>
      <c r="K303">
        <v>16</v>
      </c>
      <c r="L303">
        <v>17</v>
      </c>
      <c r="M303">
        <v>2175675.6756756762</v>
      </c>
      <c r="N303">
        <v>1801801.8018018019</v>
      </c>
      <c r="O303">
        <v>2442927.927927928</v>
      </c>
      <c r="P303">
        <v>3199693.6936936942</v>
      </c>
      <c r="Q303">
        <v>724954.95495495503</v>
      </c>
      <c r="R303">
        <v>759099.09909909905</v>
      </c>
      <c r="S303">
        <v>1058</v>
      </c>
      <c r="T303">
        <v>1032</v>
      </c>
    </row>
    <row r="304" spans="1:20" x14ac:dyDescent="0.35">
      <c r="A304" s="7" t="s">
        <v>406</v>
      </c>
      <c r="B304" s="12" t="s">
        <v>292</v>
      </c>
      <c r="C304">
        <v>40267415.469730243</v>
      </c>
      <c r="D304">
        <v>43540016.687136397</v>
      </c>
      <c r="E304">
        <v>334684.68468468601</v>
      </c>
      <c r="F304">
        <v>22522.522522523999</v>
      </c>
      <c r="G304">
        <v>7</v>
      </c>
      <c r="H304">
        <v>7</v>
      </c>
      <c r="K304">
        <v>10</v>
      </c>
      <c r="L304">
        <v>7</v>
      </c>
      <c r="M304">
        <v>1078378.378378378</v>
      </c>
      <c r="N304">
        <v>1283783.7837837851</v>
      </c>
      <c r="O304">
        <v>4782693.6936936937</v>
      </c>
      <c r="P304">
        <v>6285945.9459459446</v>
      </c>
      <c r="Q304">
        <v>1808828.8288288291</v>
      </c>
      <c r="R304">
        <v>1041981.981981982</v>
      </c>
      <c r="S304">
        <v>1690</v>
      </c>
      <c r="T304">
        <v>1693</v>
      </c>
    </row>
    <row r="305" spans="1:20" x14ac:dyDescent="0.35">
      <c r="A305" s="7" t="s">
        <v>407</v>
      </c>
      <c r="B305" s="12" t="s">
        <v>122</v>
      </c>
      <c r="C305">
        <v>45941846.109543234</v>
      </c>
      <c r="D305">
        <v>41041499.758361459</v>
      </c>
      <c r="E305">
        <v>55630.630630631</v>
      </c>
      <c r="G305">
        <v>9</v>
      </c>
      <c r="H305">
        <v>4</v>
      </c>
      <c r="K305">
        <v>10</v>
      </c>
      <c r="L305">
        <v>4</v>
      </c>
      <c r="M305">
        <v>58558.558558559002</v>
      </c>
      <c r="O305">
        <v>3764594.594594595</v>
      </c>
      <c r="P305">
        <v>4413513.5135135138</v>
      </c>
      <c r="R305">
        <v>13513.513513514001</v>
      </c>
      <c r="S305">
        <v>1079</v>
      </c>
      <c r="T305">
        <v>1025</v>
      </c>
    </row>
    <row r="306" spans="1:20" x14ac:dyDescent="0.35">
      <c r="A306" s="7" t="s">
        <v>408</v>
      </c>
      <c r="B306" s="12" t="s">
        <v>372</v>
      </c>
      <c r="C306">
        <v>106142467.53823602</v>
      </c>
      <c r="D306">
        <v>109523093.83091043</v>
      </c>
      <c r="E306">
        <v>30270720.72072072</v>
      </c>
      <c r="F306">
        <v>41945045.045045055</v>
      </c>
      <c r="G306">
        <v>33</v>
      </c>
      <c r="H306">
        <v>5</v>
      </c>
      <c r="K306">
        <v>99</v>
      </c>
      <c r="L306">
        <v>7</v>
      </c>
      <c r="M306">
        <v>23508108.108108107</v>
      </c>
      <c r="N306">
        <v>14935315.315315315</v>
      </c>
      <c r="O306">
        <v>38457000</v>
      </c>
      <c r="P306">
        <v>36083311.711711712</v>
      </c>
      <c r="Q306">
        <v>23137927.927927926</v>
      </c>
      <c r="R306">
        <v>14486036.036036037</v>
      </c>
      <c r="S306">
        <v>4326</v>
      </c>
      <c r="T306">
        <v>4032</v>
      </c>
    </row>
    <row r="307" spans="1:20" x14ac:dyDescent="0.35">
      <c r="A307" s="7" t="s">
        <v>409</v>
      </c>
      <c r="B307" s="12" t="s">
        <v>141</v>
      </c>
      <c r="C307">
        <v>49377660.087967038</v>
      </c>
      <c r="D307">
        <v>51574575.091770381</v>
      </c>
      <c r="E307">
        <v>116891.89189189101</v>
      </c>
      <c r="F307">
        <v>13513.513513514001</v>
      </c>
      <c r="G307">
        <v>8</v>
      </c>
      <c r="H307">
        <v>1</v>
      </c>
      <c r="K307">
        <v>10</v>
      </c>
      <c r="L307">
        <v>2</v>
      </c>
      <c r="M307">
        <v>7505765.7657657657</v>
      </c>
      <c r="N307">
        <v>11556936.936936935</v>
      </c>
      <c r="O307">
        <v>13442945.945945946</v>
      </c>
      <c r="P307">
        <v>15299729.729729729</v>
      </c>
      <c r="Q307">
        <v>6985765.7657657648</v>
      </c>
      <c r="R307">
        <v>9754594.594594596</v>
      </c>
      <c r="S307">
        <v>1410</v>
      </c>
      <c r="T307">
        <v>1509</v>
      </c>
    </row>
    <row r="308" spans="1:20" x14ac:dyDescent="0.35">
      <c r="A308" s="7" t="s">
        <v>410</v>
      </c>
      <c r="B308" s="12" t="s">
        <v>55</v>
      </c>
      <c r="C308">
        <v>67692127.773326933</v>
      </c>
      <c r="D308">
        <v>71855663.510012642</v>
      </c>
      <c r="E308">
        <v>1457657.6576576589</v>
      </c>
      <c r="F308">
        <v>2671171.1711711721</v>
      </c>
      <c r="G308">
        <v>42</v>
      </c>
      <c r="H308">
        <v>55</v>
      </c>
      <c r="K308">
        <v>119</v>
      </c>
      <c r="L308">
        <v>71</v>
      </c>
      <c r="M308">
        <v>6980180.1801801808</v>
      </c>
      <c r="N308">
        <v>7770270.2702702703</v>
      </c>
      <c r="O308">
        <v>15479324.324324325</v>
      </c>
      <c r="P308">
        <v>16996432.432432435</v>
      </c>
      <c r="Q308">
        <v>7508828.8288288284</v>
      </c>
      <c r="R308">
        <v>6684864.8648648653</v>
      </c>
      <c r="S308">
        <v>2173</v>
      </c>
      <c r="T308">
        <v>2168</v>
      </c>
    </row>
    <row r="309" spans="1:20" x14ac:dyDescent="0.35">
      <c r="A309" s="7" t="s">
        <v>411</v>
      </c>
      <c r="B309" s="12" t="s">
        <v>135</v>
      </c>
      <c r="C309">
        <v>31099348.999560971</v>
      </c>
      <c r="D309">
        <v>34531938.958019644</v>
      </c>
      <c r="E309">
        <v>13513.513513514001</v>
      </c>
      <c r="F309">
        <v>225225.225225225</v>
      </c>
      <c r="G309">
        <v>5</v>
      </c>
      <c r="K309">
        <v>5</v>
      </c>
      <c r="M309">
        <v>770270.27027027099</v>
      </c>
      <c r="N309">
        <v>2873873.8738738741</v>
      </c>
      <c r="O309">
        <v>3182360.3603603598</v>
      </c>
      <c r="P309">
        <v>4333018.0180180185</v>
      </c>
      <c r="Q309">
        <v>808558.558558558</v>
      </c>
      <c r="R309">
        <v>2504954.9549549548</v>
      </c>
      <c r="S309">
        <v>903</v>
      </c>
      <c r="T309">
        <v>1019</v>
      </c>
    </row>
    <row r="310" spans="1:20" x14ac:dyDescent="0.35">
      <c r="A310" s="7" t="s">
        <v>412</v>
      </c>
      <c r="B310" s="12" t="s">
        <v>292</v>
      </c>
      <c r="C310">
        <v>17021796.580672048</v>
      </c>
      <c r="D310">
        <v>18001157.688778888</v>
      </c>
      <c r="E310">
        <v>334234.23423423502</v>
      </c>
      <c r="F310">
        <v>36036.036036037003</v>
      </c>
      <c r="G310">
        <v>8</v>
      </c>
      <c r="H310">
        <v>2</v>
      </c>
      <c r="K310">
        <v>8</v>
      </c>
      <c r="L310">
        <v>2</v>
      </c>
      <c r="M310">
        <v>3120720.7207207209</v>
      </c>
      <c r="N310">
        <v>1927927.927927929</v>
      </c>
      <c r="O310">
        <v>2917306.3063063058</v>
      </c>
      <c r="P310">
        <v>3503360.3603603598</v>
      </c>
      <c r="Q310">
        <v>2174864.8648648639</v>
      </c>
      <c r="R310">
        <v>904054.05405405397</v>
      </c>
      <c r="S310">
        <v>911</v>
      </c>
      <c r="T310">
        <v>910</v>
      </c>
    </row>
    <row r="311" spans="1:20" x14ac:dyDescent="0.35">
      <c r="A311" s="7" t="s">
        <v>413</v>
      </c>
      <c r="B311" s="12" t="s">
        <v>179</v>
      </c>
      <c r="C311">
        <v>301090065.27534044</v>
      </c>
      <c r="D311">
        <v>311191070.2553159</v>
      </c>
      <c r="E311">
        <v>1151351.3513513531</v>
      </c>
      <c r="F311">
        <v>2912612.6126126149</v>
      </c>
      <c r="G311">
        <v>64</v>
      </c>
      <c r="H311">
        <v>46</v>
      </c>
      <c r="K311">
        <v>170</v>
      </c>
      <c r="L311">
        <v>53</v>
      </c>
      <c r="M311">
        <v>33374855.855855856</v>
      </c>
      <c r="N311">
        <v>32249999.999999996</v>
      </c>
      <c r="O311">
        <v>104315135.13513513</v>
      </c>
      <c r="P311">
        <v>113243232.43243243</v>
      </c>
      <c r="Q311">
        <v>26819099.099099096</v>
      </c>
      <c r="R311">
        <v>36664864.864864863</v>
      </c>
      <c r="S311">
        <v>9592</v>
      </c>
      <c r="T311">
        <v>8952</v>
      </c>
    </row>
    <row r="312" spans="1:20" x14ac:dyDescent="0.35">
      <c r="A312" s="7" t="s">
        <v>414</v>
      </c>
      <c r="B312" s="12" t="s">
        <v>55</v>
      </c>
      <c r="C312">
        <v>562817336.53302491</v>
      </c>
      <c r="D312">
        <v>557805140.09415722</v>
      </c>
      <c r="E312">
        <v>110204182.88288288</v>
      </c>
      <c r="F312">
        <v>150371481.98198199</v>
      </c>
      <c r="G312">
        <v>165</v>
      </c>
      <c r="H312">
        <v>111</v>
      </c>
      <c r="K312">
        <v>237</v>
      </c>
      <c r="L312">
        <v>168</v>
      </c>
      <c r="M312">
        <v>38921621.621621624</v>
      </c>
      <c r="N312">
        <v>49590990.990990989</v>
      </c>
      <c r="O312">
        <v>116386684.68468469</v>
      </c>
      <c r="P312">
        <v>119608556.75675675</v>
      </c>
      <c r="Q312">
        <v>35180270.270270266</v>
      </c>
      <c r="R312">
        <v>46173873.873873875</v>
      </c>
      <c r="S312">
        <v>19478</v>
      </c>
      <c r="T312">
        <v>19824</v>
      </c>
    </row>
    <row r="313" spans="1:20" x14ac:dyDescent="0.35">
      <c r="A313" s="7" t="s">
        <v>415</v>
      </c>
      <c r="B313" s="12" t="s">
        <v>226</v>
      </c>
      <c r="C313">
        <v>280188619.90129483</v>
      </c>
      <c r="D313">
        <v>338883684.90184408</v>
      </c>
      <c r="E313">
        <v>1111711.7117117171</v>
      </c>
      <c r="F313">
        <v>2205405.4054054078</v>
      </c>
      <c r="G313">
        <v>91</v>
      </c>
      <c r="H313">
        <v>60</v>
      </c>
      <c r="K313">
        <v>108</v>
      </c>
      <c r="L313">
        <v>83</v>
      </c>
      <c r="M313">
        <v>26776576.576576579</v>
      </c>
      <c r="N313">
        <v>46128108.108108111</v>
      </c>
      <c r="O313">
        <v>83712763.963963971</v>
      </c>
      <c r="P313">
        <v>99911216.216216221</v>
      </c>
      <c r="Q313">
        <v>33013106.306306306</v>
      </c>
      <c r="R313">
        <v>40669729.729729734</v>
      </c>
      <c r="S313">
        <v>14010</v>
      </c>
      <c r="T313">
        <v>13565</v>
      </c>
    </row>
    <row r="314" spans="1:20" x14ac:dyDescent="0.35">
      <c r="A314" s="7" t="s">
        <v>416</v>
      </c>
      <c r="B314" s="12" t="s">
        <v>417</v>
      </c>
      <c r="C314">
        <v>112818874.35384448</v>
      </c>
      <c r="D314">
        <v>108649553.46640037</v>
      </c>
      <c r="E314">
        <v>233783.78378378699</v>
      </c>
      <c r="F314">
        <v>546846.84684684698</v>
      </c>
      <c r="G314">
        <v>4</v>
      </c>
      <c r="H314">
        <v>4</v>
      </c>
      <c r="K314">
        <v>6</v>
      </c>
      <c r="L314">
        <v>4</v>
      </c>
      <c r="M314">
        <v>2661621.621621625</v>
      </c>
      <c r="N314">
        <v>4089639.6396396412</v>
      </c>
      <c r="O314">
        <v>43174693.693693697</v>
      </c>
      <c r="P314">
        <v>48600594.59459459</v>
      </c>
      <c r="Q314">
        <v>2282972.9729729742</v>
      </c>
      <c r="R314">
        <v>2185675.6756756762</v>
      </c>
      <c r="S314">
        <v>3990</v>
      </c>
      <c r="T314">
        <v>3933</v>
      </c>
    </row>
    <row r="315" spans="1:20" x14ac:dyDescent="0.35">
      <c r="A315" s="7" t="s">
        <v>418</v>
      </c>
      <c r="B315" s="12" t="s">
        <v>216</v>
      </c>
      <c r="C315">
        <v>711283357.30891836</v>
      </c>
      <c r="D315">
        <v>670997563.7372129</v>
      </c>
      <c r="E315">
        <v>318072409.009009</v>
      </c>
      <c r="F315">
        <v>262026790.09009007</v>
      </c>
      <c r="G315">
        <v>878</v>
      </c>
      <c r="H315">
        <v>284</v>
      </c>
      <c r="I315">
        <v>1</v>
      </c>
      <c r="K315">
        <v>953</v>
      </c>
      <c r="L315">
        <v>548</v>
      </c>
      <c r="M315">
        <v>104690225.22522521</v>
      </c>
      <c r="N315">
        <v>90651351.351351365</v>
      </c>
      <c r="O315">
        <v>327051413.51351357</v>
      </c>
      <c r="P315">
        <v>298803855.85585588</v>
      </c>
      <c r="Q315">
        <v>96424324.324324325</v>
      </c>
      <c r="R315">
        <v>82822702.702702701</v>
      </c>
      <c r="S315">
        <v>23625</v>
      </c>
      <c r="T315">
        <v>23884</v>
      </c>
    </row>
    <row r="316" spans="1:20" x14ac:dyDescent="0.35">
      <c r="A316" s="7" t="s">
        <v>419</v>
      </c>
      <c r="B316" s="12" t="s">
        <v>417</v>
      </c>
      <c r="C316">
        <v>63127807.576266833</v>
      </c>
      <c r="D316">
        <v>58740322.850385904</v>
      </c>
      <c r="E316">
        <v>320270.27027027099</v>
      </c>
      <c r="F316">
        <v>1487387.3873873879</v>
      </c>
      <c r="G316">
        <v>18</v>
      </c>
      <c r="H316">
        <v>5</v>
      </c>
      <c r="K316">
        <v>22</v>
      </c>
      <c r="L316">
        <v>6</v>
      </c>
      <c r="M316">
        <v>11304181.981981983</v>
      </c>
      <c r="N316">
        <v>11050900.9009009</v>
      </c>
      <c r="O316">
        <v>22692768.018018018</v>
      </c>
      <c r="P316">
        <v>23878909.909909911</v>
      </c>
      <c r="Q316">
        <v>8518288.2882882897</v>
      </c>
      <c r="R316">
        <v>9373153.1531531531</v>
      </c>
      <c r="S316">
        <v>3217</v>
      </c>
      <c r="T316">
        <v>3033</v>
      </c>
    </row>
    <row r="317" spans="1:20" x14ac:dyDescent="0.35">
      <c r="A317" s="7" t="s">
        <v>420</v>
      </c>
      <c r="B317" s="12" t="s">
        <v>238</v>
      </c>
      <c r="C317">
        <v>443403468.15540498</v>
      </c>
      <c r="D317">
        <v>462232818.0417608</v>
      </c>
      <c r="E317">
        <v>1588288.288288292</v>
      </c>
      <c r="F317">
        <v>1232432.4324324359</v>
      </c>
      <c r="G317">
        <v>150</v>
      </c>
      <c r="H317">
        <v>127</v>
      </c>
      <c r="I317">
        <v>4</v>
      </c>
      <c r="K317">
        <v>271</v>
      </c>
      <c r="L317">
        <v>251</v>
      </c>
      <c r="M317">
        <v>57866666.666666672</v>
      </c>
      <c r="N317">
        <v>39520270.270270273</v>
      </c>
      <c r="O317">
        <v>107575972.97297297</v>
      </c>
      <c r="P317">
        <v>119004628.82882883</v>
      </c>
      <c r="Q317">
        <v>56406396.396396399</v>
      </c>
      <c r="R317">
        <v>33053873.873873875</v>
      </c>
      <c r="S317">
        <v>10559</v>
      </c>
      <c r="T317">
        <v>10604</v>
      </c>
    </row>
    <row r="318" spans="1:20" x14ac:dyDescent="0.35">
      <c r="A318" s="7" t="s">
        <v>421</v>
      </c>
      <c r="B318" s="12" t="s">
        <v>118</v>
      </c>
      <c r="C318">
        <v>431882490.79189956</v>
      </c>
      <c r="D318">
        <v>443209401.50699079</v>
      </c>
      <c r="E318">
        <v>208618849.54954958</v>
      </c>
      <c r="F318">
        <v>297237765.76576579</v>
      </c>
      <c r="G318">
        <v>230</v>
      </c>
      <c r="H318">
        <v>241</v>
      </c>
      <c r="I318">
        <v>1</v>
      </c>
      <c r="K318">
        <v>618</v>
      </c>
      <c r="L318">
        <v>626</v>
      </c>
      <c r="M318">
        <v>102702513.51351352</v>
      </c>
      <c r="N318">
        <v>117528605.40540539</v>
      </c>
      <c r="O318">
        <v>196262547.74774775</v>
      </c>
      <c r="P318">
        <v>224025000</v>
      </c>
      <c r="Q318">
        <v>102147477.47747748</v>
      </c>
      <c r="R318">
        <v>118723018.01801802</v>
      </c>
      <c r="S318">
        <v>17321</v>
      </c>
      <c r="T318">
        <v>18105</v>
      </c>
    </row>
    <row r="319" spans="1:20" x14ac:dyDescent="0.35">
      <c r="A319" s="7" t="s">
        <v>422</v>
      </c>
      <c r="B319" s="12" t="s">
        <v>148</v>
      </c>
      <c r="C319">
        <v>10431565.44993634</v>
      </c>
      <c r="D319">
        <v>12074463.421959326</v>
      </c>
      <c r="E319">
        <v>83806306.306306303</v>
      </c>
      <c r="F319">
        <v>37142342.342342347</v>
      </c>
      <c r="G319">
        <v>2</v>
      </c>
      <c r="H319">
        <v>3</v>
      </c>
      <c r="K319">
        <v>2</v>
      </c>
      <c r="L319">
        <v>3</v>
      </c>
      <c r="M319">
        <v>4470270.2702702703</v>
      </c>
      <c r="N319">
        <v>2598198.1981981979</v>
      </c>
      <c r="O319">
        <v>3884450.4504504511</v>
      </c>
      <c r="P319">
        <v>4122873.8738738731</v>
      </c>
      <c r="S319">
        <v>484</v>
      </c>
      <c r="T319">
        <v>503</v>
      </c>
    </row>
    <row r="320" spans="1:20" x14ac:dyDescent="0.35">
      <c r="A320" s="7" t="s">
        <v>423</v>
      </c>
      <c r="B320" s="12" t="s">
        <v>306</v>
      </c>
      <c r="C320">
        <v>94583843.313556939</v>
      </c>
      <c r="D320">
        <v>88370454.538379058</v>
      </c>
      <c r="E320">
        <v>1661486.4864864841</v>
      </c>
      <c r="F320">
        <v>1832432.4324324329</v>
      </c>
      <c r="G320">
        <v>47</v>
      </c>
      <c r="H320">
        <v>33</v>
      </c>
      <c r="K320">
        <v>56</v>
      </c>
      <c r="L320">
        <v>40</v>
      </c>
      <c r="M320">
        <v>17561261.261261258</v>
      </c>
      <c r="N320">
        <v>20499099.099099096</v>
      </c>
      <c r="O320">
        <v>18980119.819819819</v>
      </c>
      <c r="P320">
        <v>19596504.504504506</v>
      </c>
      <c r="Q320">
        <v>15962342.342342341</v>
      </c>
      <c r="R320">
        <v>18913513.513513513</v>
      </c>
      <c r="S320">
        <v>2318</v>
      </c>
      <c r="T320">
        <v>2385</v>
      </c>
    </row>
    <row r="321" spans="1:20" x14ac:dyDescent="0.35">
      <c r="A321" s="7" t="s">
        <v>424</v>
      </c>
      <c r="B321" s="12" t="s">
        <v>306</v>
      </c>
      <c r="C321">
        <v>108855894.55769995</v>
      </c>
      <c r="D321">
        <v>109127719.32878965</v>
      </c>
      <c r="E321">
        <v>2088963.9639639619</v>
      </c>
      <c r="F321">
        <v>2920720.7207207242</v>
      </c>
      <c r="G321">
        <v>80</v>
      </c>
      <c r="H321">
        <v>197</v>
      </c>
      <c r="K321">
        <v>148</v>
      </c>
      <c r="L321">
        <v>583</v>
      </c>
      <c r="M321">
        <v>21818018.018018015</v>
      </c>
      <c r="N321">
        <v>19362162.162162155</v>
      </c>
      <c r="O321">
        <v>24213900.900900904</v>
      </c>
      <c r="P321">
        <v>40660257.657657653</v>
      </c>
      <c r="Q321">
        <v>15897297.297297291</v>
      </c>
      <c r="R321">
        <v>17294774.774774771</v>
      </c>
      <c r="S321">
        <v>2997</v>
      </c>
      <c r="T321">
        <v>3016</v>
      </c>
    </row>
    <row r="322" spans="1:20" x14ac:dyDescent="0.35">
      <c r="A322" s="7" t="s">
        <v>425</v>
      </c>
      <c r="B322" s="12" t="s">
        <v>122</v>
      </c>
      <c r="C322">
        <v>4162716.2882378711</v>
      </c>
      <c r="D322">
        <v>6304227.5474052867</v>
      </c>
      <c r="E322">
        <v>13513.513513514001</v>
      </c>
      <c r="G322">
        <v>2</v>
      </c>
      <c r="H322">
        <v>2</v>
      </c>
      <c r="K322">
        <v>3</v>
      </c>
      <c r="L322">
        <v>2</v>
      </c>
      <c r="M322">
        <v>13513.513513514001</v>
      </c>
      <c r="O322">
        <v>285486.48648648598</v>
      </c>
      <c r="P322">
        <v>335135.13513513497</v>
      </c>
      <c r="R322">
        <v>82432.432432432004</v>
      </c>
      <c r="S322">
        <v>355</v>
      </c>
      <c r="T322">
        <v>311</v>
      </c>
    </row>
    <row r="323" spans="1:20" x14ac:dyDescent="0.35">
      <c r="A323" s="7" t="s">
        <v>426</v>
      </c>
      <c r="B323" s="12" t="s">
        <v>61</v>
      </c>
      <c r="C323">
        <v>54348897.227010205</v>
      </c>
      <c r="D323">
        <v>54352009.733029366</v>
      </c>
      <c r="E323">
        <v>721621.62162162305</v>
      </c>
      <c r="F323">
        <v>650450.450450451</v>
      </c>
      <c r="G323">
        <v>35</v>
      </c>
      <c r="H323">
        <v>15</v>
      </c>
      <c r="I323">
        <v>4</v>
      </c>
      <c r="K323">
        <v>38</v>
      </c>
      <c r="L323">
        <v>16</v>
      </c>
      <c r="M323">
        <v>11876576.576576576</v>
      </c>
      <c r="N323">
        <v>10914414.414414415</v>
      </c>
      <c r="O323">
        <v>19347585.585585583</v>
      </c>
      <c r="P323">
        <v>20088468.468468469</v>
      </c>
      <c r="Q323">
        <v>10701801.801801803</v>
      </c>
      <c r="R323">
        <v>12192342.342342343</v>
      </c>
      <c r="S323">
        <v>1929</v>
      </c>
      <c r="T323">
        <v>2084</v>
      </c>
    </row>
    <row r="324" spans="1:20" x14ac:dyDescent="0.35">
      <c r="A324" s="7" t="s">
        <v>427</v>
      </c>
      <c r="B324" s="12" t="s">
        <v>182</v>
      </c>
      <c r="C324">
        <v>551372811.77943528</v>
      </c>
      <c r="D324">
        <v>579841507.45102417</v>
      </c>
      <c r="E324">
        <v>6332432.4324324382</v>
      </c>
      <c r="F324">
        <v>5758558.5585585646</v>
      </c>
      <c r="G324">
        <v>202</v>
      </c>
      <c r="H324">
        <v>213</v>
      </c>
      <c r="I324">
        <v>1</v>
      </c>
      <c r="K324">
        <v>291</v>
      </c>
      <c r="L324">
        <v>258</v>
      </c>
      <c r="M324">
        <v>75425225.22522521</v>
      </c>
      <c r="N324">
        <v>98622297.297297299</v>
      </c>
      <c r="O324">
        <v>163975810.8108108</v>
      </c>
      <c r="P324">
        <v>168593333.33333334</v>
      </c>
      <c r="Q324">
        <v>69309549.54954955</v>
      </c>
      <c r="R324">
        <v>97096936.93693693</v>
      </c>
      <c r="S324">
        <v>21438</v>
      </c>
      <c r="T324">
        <v>21747</v>
      </c>
    </row>
    <row r="325" spans="1:20" x14ac:dyDescent="0.35">
      <c r="A325" s="7" t="s">
        <v>428</v>
      </c>
      <c r="B325" s="12" t="s">
        <v>77</v>
      </c>
      <c r="C325">
        <v>16230589.60854394</v>
      </c>
      <c r="D325">
        <v>16066756.550454414</v>
      </c>
      <c r="E325">
        <v>13513.513513514001</v>
      </c>
      <c r="F325">
        <v>126126.12612612599</v>
      </c>
      <c r="H325">
        <v>3</v>
      </c>
      <c r="L325">
        <v>3</v>
      </c>
      <c r="M325">
        <v>914414.41441441397</v>
      </c>
      <c r="N325">
        <v>1477477.4774774769</v>
      </c>
      <c r="O325">
        <v>1416243.2432432431</v>
      </c>
      <c r="P325">
        <v>3018738.7387387389</v>
      </c>
      <c r="Q325">
        <v>1249549.5495495501</v>
      </c>
      <c r="R325">
        <v>1544594.594594595</v>
      </c>
      <c r="S325">
        <v>825</v>
      </c>
      <c r="T325">
        <v>913</v>
      </c>
    </row>
    <row r="326" spans="1:20" x14ac:dyDescent="0.35">
      <c r="A326" s="7" t="s">
        <v>429</v>
      </c>
      <c r="B326" s="12" t="s">
        <v>77</v>
      </c>
      <c r="C326">
        <v>63998622.989517249</v>
      </c>
      <c r="D326">
        <v>64905195.585415065</v>
      </c>
      <c r="E326">
        <v>112612.612612614</v>
      </c>
      <c r="F326">
        <v>748648.64864864806</v>
      </c>
      <c r="G326">
        <v>14</v>
      </c>
      <c r="H326">
        <v>19</v>
      </c>
      <c r="K326">
        <v>15</v>
      </c>
      <c r="L326">
        <v>19</v>
      </c>
      <c r="M326">
        <v>7061171.1711711716</v>
      </c>
      <c r="N326">
        <v>9112612.6126126125</v>
      </c>
      <c r="O326">
        <v>14119432.432432432</v>
      </c>
      <c r="P326">
        <v>16239729.729729731</v>
      </c>
      <c r="Q326">
        <v>6176126.1261261264</v>
      </c>
      <c r="R326">
        <v>6101081.0810810812</v>
      </c>
      <c r="S326">
        <v>1940</v>
      </c>
      <c r="T326">
        <v>1458</v>
      </c>
    </row>
    <row r="327" spans="1:20" x14ac:dyDescent="0.35">
      <c r="A327" s="7" t="s">
        <v>430</v>
      </c>
      <c r="B327" s="12" t="s">
        <v>332</v>
      </c>
      <c r="C327">
        <v>316304454.01720893</v>
      </c>
      <c r="D327">
        <v>307890222.26575118</v>
      </c>
      <c r="E327">
        <v>2261036.0360360388</v>
      </c>
      <c r="F327">
        <v>842792.79279279499</v>
      </c>
      <c r="G327">
        <v>121</v>
      </c>
      <c r="H327">
        <v>102</v>
      </c>
      <c r="K327">
        <v>142</v>
      </c>
      <c r="L327">
        <v>123</v>
      </c>
      <c r="M327">
        <v>18486486.486486483</v>
      </c>
      <c r="N327">
        <v>29261261.261261258</v>
      </c>
      <c r="O327">
        <v>56037045.045045041</v>
      </c>
      <c r="P327">
        <v>59920531.531531535</v>
      </c>
      <c r="Q327">
        <v>14603693.693693692</v>
      </c>
      <c r="R327">
        <v>25727387.387387384</v>
      </c>
      <c r="S327">
        <v>11677</v>
      </c>
      <c r="T327">
        <v>11761</v>
      </c>
    </row>
    <row r="328" spans="1:20" x14ac:dyDescent="0.35">
      <c r="A328" s="7" t="s">
        <v>431</v>
      </c>
      <c r="B328" s="12" t="s">
        <v>243</v>
      </c>
      <c r="C328">
        <v>81288737.958940387</v>
      </c>
      <c r="D328">
        <v>78702968.336532742</v>
      </c>
      <c r="E328">
        <v>84319825.225225225</v>
      </c>
      <c r="F328">
        <v>78316270.270270273</v>
      </c>
      <c r="G328">
        <v>29</v>
      </c>
      <c r="H328">
        <v>21</v>
      </c>
      <c r="K328">
        <v>31</v>
      </c>
      <c r="L328">
        <v>24</v>
      </c>
      <c r="M328">
        <v>18250360.360360354</v>
      </c>
      <c r="N328">
        <v>14841441.441441437</v>
      </c>
      <c r="O328">
        <v>29968621.621621624</v>
      </c>
      <c r="P328">
        <v>33181783.783783782</v>
      </c>
      <c r="Q328">
        <v>9476396.3963963911</v>
      </c>
      <c r="R328">
        <v>13319459.459459456</v>
      </c>
      <c r="S328">
        <v>5174</v>
      </c>
      <c r="T328">
        <v>5384</v>
      </c>
    </row>
    <row r="329" spans="1:20" x14ac:dyDescent="0.35">
      <c r="A329" s="7" t="s">
        <v>432</v>
      </c>
      <c r="B329" s="12" t="s">
        <v>285</v>
      </c>
      <c r="C329">
        <v>35014759.464673333</v>
      </c>
      <c r="D329">
        <v>45472081.089864641</v>
      </c>
      <c r="E329">
        <v>475675.67567567702</v>
      </c>
      <c r="F329">
        <v>723423.42342342495</v>
      </c>
      <c r="G329">
        <v>3</v>
      </c>
      <c r="H329">
        <v>20</v>
      </c>
      <c r="K329">
        <v>30</v>
      </c>
      <c r="L329">
        <v>39</v>
      </c>
      <c r="M329">
        <v>12628828.828828828</v>
      </c>
      <c r="N329">
        <v>13155855.855855856</v>
      </c>
      <c r="O329">
        <v>7186108.1081081079</v>
      </c>
      <c r="P329">
        <v>11593306.306306306</v>
      </c>
      <c r="Q329">
        <v>13928648.648648648</v>
      </c>
      <c r="R329">
        <v>10920000</v>
      </c>
      <c r="S329">
        <v>1246</v>
      </c>
      <c r="T329">
        <v>1416</v>
      </c>
    </row>
    <row r="330" spans="1:20" x14ac:dyDescent="0.35">
      <c r="A330" s="7" t="s">
        <v>433</v>
      </c>
      <c r="B330" s="12" t="s">
        <v>285</v>
      </c>
      <c r="C330">
        <v>11470161.612512857</v>
      </c>
      <c r="D330">
        <v>11418921.62855228</v>
      </c>
      <c r="E330">
        <v>207207.20720720699</v>
      </c>
      <c r="F330">
        <v>412612.61261261301</v>
      </c>
      <c r="H330">
        <v>1</v>
      </c>
      <c r="L330">
        <v>1</v>
      </c>
      <c r="M330">
        <v>3090090.090090089</v>
      </c>
      <c r="N330">
        <v>5061261.2612612611</v>
      </c>
      <c r="O330">
        <v>623963.96396396402</v>
      </c>
      <c r="P330">
        <v>1276396.396396396</v>
      </c>
      <c r="Q330">
        <v>2856126.1261261259</v>
      </c>
      <c r="R330">
        <v>4395855.8558558552</v>
      </c>
      <c r="S330">
        <v>523</v>
      </c>
      <c r="T330">
        <v>367</v>
      </c>
    </row>
    <row r="331" spans="1:20" x14ac:dyDescent="0.35">
      <c r="A331" s="7" t="s">
        <v>434</v>
      </c>
      <c r="B331" s="12" t="s">
        <v>285</v>
      </c>
      <c r="C331">
        <v>24904502.05042123</v>
      </c>
      <c r="D331">
        <v>27340060.249068104</v>
      </c>
      <c r="E331">
        <v>189189.189189189</v>
      </c>
      <c r="F331">
        <v>14414.414414415</v>
      </c>
      <c r="G331">
        <v>4</v>
      </c>
      <c r="K331">
        <v>4</v>
      </c>
      <c r="M331">
        <v>279279.279279279</v>
      </c>
      <c r="N331">
        <v>14414.414414415</v>
      </c>
      <c r="O331">
        <v>2344234.2342342339</v>
      </c>
      <c r="P331">
        <v>2572072.072072072</v>
      </c>
      <c r="Q331">
        <v>173423.423423423</v>
      </c>
      <c r="R331">
        <v>119549.54954955001</v>
      </c>
      <c r="S331">
        <v>820</v>
      </c>
      <c r="T331">
        <v>884</v>
      </c>
    </row>
    <row r="332" spans="1:20" x14ac:dyDescent="0.35">
      <c r="A332" s="7" t="s">
        <v>435</v>
      </c>
      <c r="B332" s="12" t="s">
        <v>79</v>
      </c>
      <c r="C332">
        <v>141231718.31365854</v>
      </c>
      <c r="D332">
        <v>150204381.45630187</v>
      </c>
      <c r="E332">
        <v>1382882.882882884</v>
      </c>
      <c r="F332">
        <v>2634234.2342342399</v>
      </c>
      <c r="G332">
        <v>110</v>
      </c>
      <c r="H332">
        <v>54</v>
      </c>
      <c r="K332">
        <v>162</v>
      </c>
      <c r="L332">
        <v>85</v>
      </c>
      <c r="M332">
        <v>11157657.657657659</v>
      </c>
      <c r="N332">
        <v>18679279.27927928</v>
      </c>
      <c r="O332">
        <v>60195801.801801801</v>
      </c>
      <c r="P332">
        <v>65704567.567567565</v>
      </c>
      <c r="Q332">
        <v>11118468.468468472</v>
      </c>
      <c r="R332">
        <v>16446036.036036031</v>
      </c>
      <c r="S332">
        <v>6693</v>
      </c>
      <c r="T332">
        <v>6489</v>
      </c>
    </row>
    <row r="333" spans="1:20" x14ac:dyDescent="0.35">
      <c r="A333" s="7" t="s">
        <v>436</v>
      </c>
      <c r="B333" s="12" t="s">
        <v>106</v>
      </c>
      <c r="C333">
        <v>124144539.67817006</v>
      </c>
      <c r="D333">
        <v>127836107.62256546</v>
      </c>
      <c r="E333">
        <v>336036.03603603598</v>
      </c>
      <c r="F333">
        <v>363063.06306306302</v>
      </c>
      <c r="G333">
        <v>14</v>
      </c>
      <c r="H333">
        <v>27</v>
      </c>
      <c r="I333">
        <v>1</v>
      </c>
      <c r="K333">
        <v>15</v>
      </c>
      <c r="L333">
        <v>34</v>
      </c>
      <c r="M333">
        <v>15883738.73873874</v>
      </c>
      <c r="N333">
        <v>14481981.98198198</v>
      </c>
      <c r="O333">
        <v>29704801.801801801</v>
      </c>
      <c r="P333">
        <v>35484981.981981985</v>
      </c>
      <c r="Q333">
        <v>16865990.990990993</v>
      </c>
      <c r="R333">
        <v>14558918.918918915</v>
      </c>
      <c r="S333">
        <v>3355</v>
      </c>
      <c r="T333">
        <v>3295</v>
      </c>
    </row>
    <row r="334" spans="1:20" x14ac:dyDescent="0.35">
      <c r="A334" s="7" t="s">
        <v>437</v>
      </c>
      <c r="B334" s="12" t="s">
        <v>73</v>
      </c>
      <c r="C334">
        <v>697829444.84636784</v>
      </c>
      <c r="D334">
        <v>720766484.98204303</v>
      </c>
      <c r="E334">
        <v>4430630.6306306478</v>
      </c>
      <c r="F334">
        <v>4060360.3603603751</v>
      </c>
      <c r="G334">
        <v>180</v>
      </c>
      <c r="H334">
        <v>153</v>
      </c>
      <c r="I334">
        <v>4</v>
      </c>
      <c r="K334">
        <v>293</v>
      </c>
      <c r="L334">
        <v>201</v>
      </c>
      <c r="M334">
        <v>100464864.86486487</v>
      </c>
      <c r="N334">
        <v>116443243.24324325</v>
      </c>
      <c r="O334">
        <v>146522418.91891891</v>
      </c>
      <c r="P334">
        <v>163102855.85585585</v>
      </c>
      <c r="Q334">
        <v>78086216.216216221</v>
      </c>
      <c r="R334">
        <v>81017387.387387395</v>
      </c>
      <c r="S334">
        <v>18212</v>
      </c>
      <c r="T334">
        <v>18268</v>
      </c>
    </row>
    <row r="335" spans="1:20" x14ac:dyDescent="0.35">
      <c r="A335" s="7" t="s">
        <v>438</v>
      </c>
      <c r="B335" s="12" t="s">
        <v>73</v>
      </c>
      <c r="C335">
        <v>480043245.71197426</v>
      </c>
      <c r="D335">
        <v>504689085.27069306</v>
      </c>
      <c r="E335">
        <v>3144369.369369376</v>
      </c>
      <c r="F335">
        <v>3904504.504504513</v>
      </c>
      <c r="G335">
        <v>114</v>
      </c>
      <c r="H335">
        <v>77</v>
      </c>
      <c r="I335">
        <v>2</v>
      </c>
      <c r="K335">
        <v>125</v>
      </c>
      <c r="L335">
        <v>86</v>
      </c>
      <c r="M335">
        <v>58023423.423423424</v>
      </c>
      <c r="N335">
        <v>64138738.738738738</v>
      </c>
      <c r="O335">
        <v>89464648.648648635</v>
      </c>
      <c r="P335">
        <v>108297306.3063063</v>
      </c>
      <c r="Q335">
        <v>38231261.261261262</v>
      </c>
      <c r="R335">
        <v>44192702.702702701</v>
      </c>
      <c r="S335">
        <v>13265</v>
      </c>
      <c r="T335">
        <v>13821</v>
      </c>
    </row>
    <row r="336" spans="1:20" x14ac:dyDescent="0.35">
      <c r="A336" s="7" t="s">
        <v>439</v>
      </c>
      <c r="B336" s="12" t="s">
        <v>95</v>
      </c>
      <c r="C336">
        <v>33504497.804530542</v>
      </c>
      <c r="D336">
        <v>37025129.983155459</v>
      </c>
      <c r="G336">
        <v>2</v>
      </c>
      <c r="H336">
        <v>3</v>
      </c>
      <c r="K336">
        <v>2</v>
      </c>
      <c r="L336">
        <v>4</v>
      </c>
      <c r="M336">
        <v>540540.54054054001</v>
      </c>
      <c r="N336">
        <v>450450.45045045001</v>
      </c>
      <c r="O336">
        <v>7675207.2072072066</v>
      </c>
      <c r="P336">
        <v>10176252.252252253</v>
      </c>
      <c r="Q336">
        <v>294414.41441441397</v>
      </c>
      <c r="R336">
        <v>206756.75675675701</v>
      </c>
      <c r="S336">
        <v>869</v>
      </c>
      <c r="T336">
        <v>897</v>
      </c>
    </row>
    <row r="337" spans="1:20" x14ac:dyDescent="0.35">
      <c r="A337" s="7" t="s">
        <v>440</v>
      </c>
      <c r="B337" s="12" t="s">
        <v>90</v>
      </c>
      <c r="C337">
        <v>173822207.20757455</v>
      </c>
      <c r="D337">
        <v>195799860.94081178</v>
      </c>
      <c r="E337">
        <v>2397297.2972973031</v>
      </c>
      <c r="F337">
        <v>2777477.4774774779</v>
      </c>
      <c r="G337">
        <v>58</v>
      </c>
      <c r="H337">
        <v>24</v>
      </c>
      <c r="K337">
        <v>65</v>
      </c>
      <c r="L337">
        <v>27</v>
      </c>
      <c r="M337">
        <v>25496036.036036037</v>
      </c>
      <c r="N337">
        <v>27951441.441441439</v>
      </c>
      <c r="O337">
        <v>77345860.360360354</v>
      </c>
      <c r="P337">
        <v>90064414.414414421</v>
      </c>
      <c r="Q337">
        <v>23584684.684684686</v>
      </c>
      <c r="R337">
        <v>31906576.576576576</v>
      </c>
      <c r="S337">
        <v>5567</v>
      </c>
      <c r="T337">
        <v>5489</v>
      </c>
    </row>
    <row r="338" spans="1:20" x14ac:dyDescent="0.35">
      <c r="A338" s="7" t="s">
        <v>441</v>
      </c>
      <c r="B338" s="12" t="s">
        <v>71</v>
      </c>
      <c r="C338">
        <v>5357826.0628501484</v>
      </c>
      <c r="D338">
        <v>5001684.5120234666</v>
      </c>
      <c r="G338">
        <v>5</v>
      </c>
      <c r="H338">
        <v>2</v>
      </c>
      <c r="K338">
        <v>5</v>
      </c>
      <c r="L338">
        <v>2</v>
      </c>
      <c r="O338">
        <v>3589495.4954954949</v>
      </c>
      <c r="P338">
        <v>3536792.7927927929</v>
      </c>
      <c r="S338">
        <v>1179</v>
      </c>
      <c r="T338">
        <v>1069</v>
      </c>
    </row>
    <row r="339" spans="1:20" x14ac:dyDescent="0.35">
      <c r="A339" s="7" t="s">
        <v>442</v>
      </c>
      <c r="B339" s="12" t="s">
        <v>197</v>
      </c>
      <c r="C339">
        <v>818689936.46776247</v>
      </c>
      <c r="D339">
        <v>850038156.67106855</v>
      </c>
      <c r="E339">
        <v>101617205.4054054</v>
      </c>
      <c r="F339">
        <v>179122932.43243244</v>
      </c>
      <c r="G339">
        <v>201</v>
      </c>
      <c r="H339">
        <v>90</v>
      </c>
      <c r="K339">
        <v>276</v>
      </c>
      <c r="L339">
        <v>181</v>
      </c>
      <c r="M339">
        <v>71320540.540540546</v>
      </c>
      <c r="N339">
        <v>73944369.369369373</v>
      </c>
      <c r="O339">
        <v>141737409.9099099</v>
      </c>
      <c r="P339">
        <v>149529917.11711711</v>
      </c>
      <c r="Q339">
        <v>64378918.91891893</v>
      </c>
      <c r="R339">
        <v>61414099.099099107</v>
      </c>
      <c r="S339">
        <v>20405</v>
      </c>
      <c r="T339">
        <v>20992</v>
      </c>
    </row>
    <row r="340" spans="1:20" x14ac:dyDescent="0.35">
      <c r="A340" s="7" t="s">
        <v>443</v>
      </c>
      <c r="B340" s="12" t="s">
        <v>179</v>
      </c>
      <c r="C340">
        <v>409698281.74813712</v>
      </c>
      <c r="D340">
        <v>404674090.4668411</v>
      </c>
      <c r="E340">
        <v>1945045.045045048</v>
      </c>
      <c r="F340">
        <v>1239639.6396396421</v>
      </c>
      <c r="G340">
        <v>49</v>
      </c>
      <c r="H340">
        <v>39</v>
      </c>
      <c r="K340">
        <v>118</v>
      </c>
      <c r="L340">
        <v>50</v>
      </c>
      <c r="M340">
        <v>69952287.387387395</v>
      </c>
      <c r="N340">
        <v>67154054.054054052</v>
      </c>
      <c r="O340">
        <v>165915256.75675678</v>
      </c>
      <c r="P340">
        <v>170813855.85585588</v>
      </c>
      <c r="Q340">
        <v>65168783.783783786</v>
      </c>
      <c r="R340">
        <v>57696576.576576583</v>
      </c>
      <c r="S340">
        <v>14575</v>
      </c>
      <c r="T340">
        <v>14553</v>
      </c>
    </row>
    <row r="341" spans="1:20" x14ac:dyDescent="0.35">
      <c r="A341" s="7" t="s">
        <v>444</v>
      </c>
      <c r="B341" s="12" t="s">
        <v>79</v>
      </c>
      <c r="C341">
        <v>179658534.35300702</v>
      </c>
      <c r="D341">
        <v>175726473.75761315</v>
      </c>
      <c r="E341">
        <v>2613513.5135135138</v>
      </c>
      <c r="F341">
        <v>3125675.6756756799</v>
      </c>
      <c r="G341">
        <v>41</v>
      </c>
      <c r="H341">
        <v>62</v>
      </c>
      <c r="I341">
        <v>4</v>
      </c>
      <c r="K341">
        <v>54</v>
      </c>
      <c r="L341">
        <v>84</v>
      </c>
      <c r="M341">
        <v>17883783.783783782</v>
      </c>
      <c r="N341">
        <v>26598648.648648649</v>
      </c>
      <c r="O341">
        <v>36108036.036036029</v>
      </c>
      <c r="P341">
        <v>39864603.603603601</v>
      </c>
      <c r="Q341">
        <v>16772882.882882884</v>
      </c>
      <c r="R341">
        <v>20757297.297297295</v>
      </c>
      <c r="S341">
        <v>4708</v>
      </c>
      <c r="T341">
        <v>4893</v>
      </c>
    </row>
    <row r="342" spans="1:20" x14ac:dyDescent="0.35">
      <c r="A342" s="7" t="s">
        <v>445</v>
      </c>
      <c r="B342" s="12" t="s">
        <v>79</v>
      </c>
      <c r="C342">
        <v>73666834.649024889</v>
      </c>
      <c r="D342">
        <v>81043793.681692913</v>
      </c>
      <c r="E342">
        <v>1279279.27927928</v>
      </c>
      <c r="F342">
        <v>1056756.7567567611</v>
      </c>
      <c r="G342">
        <v>17</v>
      </c>
      <c r="H342">
        <v>14</v>
      </c>
      <c r="I342">
        <v>1</v>
      </c>
      <c r="K342">
        <v>21</v>
      </c>
      <c r="L342">
        <v>16</v>
      </c>
      <c r="M342">
        <v>15009009.009009007</v>
      </c>
      <c r="N342">
        <v>15369279.27927928</v>
      </c>
      <c r="O342">
        <v>15783306.306306306</v>
      </c>
      <c r="P342">
        <v>16995864.864864863</v>
      </c>
      <c r="Q342">
        <v>15843783.783783784</v>
      </c>
      <c r="R342">
        <v>12767837.837837838</v>
      </c>
      <c r="S342">
        <v>2313</v>
      </c>
      <c r="T342">
        <v>2365</v>
      </c>
    </row>
    <row r="343" spans="1:20" x14ac:dyDescent="0.35">
      <c r="A343" s="7" t="s">
        <v>446</v>
      </c>
      <c r="B343" s="12" t="s">
        <v>124</v>
      </c>
      <c r="C343">
        <v>1367924.2407623299</v>
      </c>
      <c r="D343">
        <v>590776.24761223304</v>
      </c>
      <c r="O343">
        <v>519144.14414414403</v>
      </c>
      <c r="P343">
        <v>224585.585585586</v>
      </c>
      <c r="S343">
        <v>320</v>
      </c>
      <c r="T343">
        <v>325</v>
      </c>
    </row>
    <row r="344" spans="1:20" x14ac:dyDescent="0.35">
      <c r="A344" s="7" t="s">
        <v>447</v>
      </c>
      <c r="B344" s="12" t="s">
        <v>141</v>
      </c>
      <c r="C344">
        <v>181013858.29610407</v>
      </c>
      <c r="D344">
        <v>189088372.17033488</v>
      </c>
      <c r="E344">
        <v>1033783.783783784</v>
      </c>
      <c r="F344">
        <v>2459909.9099099129</v>
      </c>
      <c r="G344">
        <v>31</v>
      </c>
      <c r="H344">
        <v>30</v>
      </c>
      <c r="I344">
        <v>6</v>
      </c>
      <c r="K344">
        <v>38</v>
      </c>
      <c r="L344">
        <v>39</v>
      </c>
      <c r="M344">
        <v>18945405.405405402</v>
      </c>
      <c r="N344">
        <v>24116036.036036037</v>
      </c>
      <c r="O344">
        <v>49062162.162162162</v>
      </c>
      <c r="P344">
        <v>53600486.486486487</v>
      </c>
      <c r="Q344">
        <v>16987387.387387387</v>
      </c>
      <c r="R344">
        <v>20829189.189189192</v>
      </c>
      <c r="S344">
        <v>5740</v>
      </c>
      <c r="T344">
        <v>5613</v>
      </c>
    </row>
    <row r="345" spans="1:20" x14ac:dyDescent="0.35">
      <c r="A345" s="7" t="s">
        <v>448</v>
      </c>
      <c r="B345" s="12" t="s">
        <v>77</v>
      </c>
      <c r="C345">
        <v>19734235.644385789</v>
      </c>
      <c r="D345">
        <v>18289771.456648231</v>
      </c>
      <c r="E345">
        <v>160360.36036036001</v>
      </c>
      <c r="F345">
        <v>69369.369369370004</v>
      </c>
      <c r="G345">
        <v>2</v>
      </c>
      <c r="H345">
        <v>1</v>
      </c>
      <c r="K345">
        <v>2</v>
      </c>
      <c r="L345">
        <v>1</v>
      </c>
      <c r="M345">
        <v>3358558.5585585581</v>
      </c>
      <c r="N345">
        <v>7051351.3513513505</v>
      </c>
      <c r="O345">
        <v>3908351.351351351</v>
      </c>
      <c r="P345">
        <v>4610963.963963964</v>
      </c>
      <c r="Q345">
        <v>2772972.9729729728</v>
      </c>
      <c r="R345">
        <v>4859369.369369369</v>
      </c>
      <c r="S345">
        <v>503</v>
      </c>
      <c r="T345">
        <v>601</v>
      </c>
    </row>
    <row r="346" spans="1:20" x14ac:dyDescent="0.35">
      <c r="A346" s="7" t="s">
        <v>449</v>
      </c>
      <c r="B346" s="12" t="s">
        <v>90</v>
      </c>
      <c r="C346">
        <v>552616644.88411367</v>
      </c>
      <c r="D346">
        <v>562898080.26733398</v>
      </c>
      <c r="E346">
        <v>404584772.07207209</v>
      </c>
      <c r="F346">
        <v>493404895.4954955</v>
      </c>
      <c r="G346">
        <v>135</v>
      </c>
      <c r="H346">
        <v>78</v>
      </c>
      <c r="I346">
        <v>3</v>
      </c>
      <c r="K346">
        <v>660</v>
      </c>
      <c r="L346">
        <v>147</v>
      </c>
      <c r="M346">
        <v>236512792.7927928</v>
      </c>
      <c r="N346">
        <v>75440630.630630642</v>
      </c>
      <c r="O346">
        <v>180445295.4954955</v>
      </c>
      <c r="P346">
        <v>182969495.4954955</v>
      </c>
      <c r="Q346">
        <v>128299099.0990991</v>
      </c>
      <c r="R346">
        <v>76400900.9009009</v>
      </c>
      <c r="S346">
        <v>16365</v>
      </c>
      <c r="T346">
        <v>16145</v>
      </c>
    </row>
    <row r="347" spans="1:20" x14ac:dyDescent="0.35">
      <c r="A347" s="7" t="s">
        <v>450</v>
      </c>
      <c r="B347" s="12" t="s">
        <v>49</v>
      </c>
      <c r="C347">
        <v>53754223.314753257</v>
      </c>
      <c r="D347">
        <v>56320155.268908247</v>
      </c>
      <c r="E347">
        <v>626126.12612612604</v>
      </c>
      <c r="F347">
        <v>500900.900900901</v>
      </c>
      <c r="G347">
        <v>4</v>
      </c>
      <c r="H347">
        <v>2</v>
      </c>
      <c r="K347">
        <v>5</v>
      </c>
      <c r="L347">
        <v>2</v>
      </c>
      <c r="M347">
        <v>15006486.486486487</v>
      </c>
      <c r="N347">
        <v>10299099.0990991</v>
      </c>
      <c r="O347">
        <v>18059090.090090089</v>
      </c>
      <c r="P347">
        <v>19980621.621621624</v>
      </c>
      <c r="Q347">
        <v>14963513.513513515</v>
      </c>
      <c r="R347">
        <v>10787567.567567568</v>
      </c>
      <c r="S347">
        <v>1095</v>
      </c>
      <c r="T347">
        <v>1089</v>
      </c>
    </row>
    <row r="348" spans="1:20" x14ac:dyDescent="0.35">
      <c r="A348" s="7" t="s">
        <v>451</v>
      </c>
      <c r="B348" s="12" t="s">
        <v>452</v>
      </c>
      <c r="C348">
        <v>105858223.32777046</v>
      </c>
      <c r="D348">
        <v>121607967.28124988</v>
      </c>
      <c r="E348">
        <v>2725225.2252252279</v>
      </c>
      <c r="F348">
        <v>1501801.8018018031</v>
      </c>
      <c r="G348">
        <v>108</v>
      </c>
      <c r="H348">
        <v>42</v>
      </c>
      <c r="K348">
        <v>164</v>
      </c>
      <c r="L348">
        <v>66</v>
      </c>
      <c r="M348">
        <v>8406306.3063063081</v>
      </c>
      <c r="N348">
        <v>21381756.75675676</v>
      </c>
      <c r="O348">
        <v>44202567.567567565</v>
      </c>
      <c r="P348">
        <v>49151846.846846849</v>
      </c>
      <c r="Q348">
        <v>7711801.8018018045</v>
      </c>
      <c r="R348">
        <v>20957702.702702705</v>
      </c>
      <c r="S348">
        <v>5554</v>
      </c>
      <c r="T348">
        <v>6460</v>
      </c>
    </row>
    <row r="349" spans="1:20" x14ac:dyDescent="0.35">
      <c r="A349" s="7" t="s">
        <v>453</v>
      </c>
      <c r="B349" s="12" t="s">
        <v>77</v>
      </c>
      <c r="C349">
        <v>25175323.214705814</v>
      </c>
      <c r="D349">
        <v>28794408.896276403</v>
      </c>
      <c r="E349">
        <v>307207.20720720798</v>
      </c>
      <c r="F349">
        <v>162162.162162163</v>
      </c>
      <c r="G349">
        <v>19</v>
      </c>
      <c r="H349">
        <v>12</v>
      </c>
      <c r="K349">
        <v>19</v>
      </c>
      <c r="L349">
        <v>14</v>
      </c>
      <c r="M349">
        <v>8872792.7927927934</v>
      </c>
      <c r="N349">
        <v>9412612.6126126125</v>
      </c>
      <c r="O349">
        <v>8922574.7747747749</v>
      </c>
      <c r="P349">
        <v>9791000</v>
      </c>
      <c r="Q349">
        <v>6509639.6396396412</v>
      </c>
      <c r="R349">
        <v>6000630.630630631</v>
      </c>
      <c r="S349">
        <v>1787</v>
      </c>
      <c r="T349">
        <v>2418</v>
      </c>
    </row>
    <row r="350" spans="1:20" x14ac:dyDescent="0.35">
      <c r="A350" s="7" t="s">
        <v>454</v>
      </c>
      <c r="B350" s="12" t="s">
        <v>84</v>
      </c>
      <c r="C350">
        <v>988701407.01687396</v>
      </c>
      <c r="D350">
        <v>1049316579.4532431</v>
      </c>
      <c r="E350">
        <v>261782642.34234238</v>
      </c>
      <c r="F350">
        <v>374510658.55855858</v>
      </c>
      <c r="G350">
        <v>222</v>
      </c>
      <c r="H350">
        <v>134</v>
      </c>
      <c r="I350">
        <v>1</v>
      </c>
      <c r="K350">
        <v>260</v>
      </c>
      <c r="L350">
        <v>180</v>
      </c>
      <c r="M350">
        <v>129936486.48648649</v>
      </c>
      <c r="N350">
        <v>151939324.32432431</v>
      </c>
      <c r="O350">
        <v>211404671.17117116</v>
      </c>
      <c r="P350">
        <v>240036845.04504505</v>
      </c>
      <c r="Q350">
        <v>119900990.990991</v>
      </c>
      <c r="R350">
        <v>135602927.92792791</v>
      </c>
      <c r="S350">
        <v>31842</v>
      </c>
      <c r="T350">
        <v>31566</v>
      </c>
    </row>
    <row r="351" spans="1:20" x14ac:dyDescent="0.35">
      <c r="A351" s="7" t="s">
        <v>455</v>
      </c>
      <c r="B351" s="12" t="s">
        <v>71</v>
      </c>
      <c r="C351">
        <v>64215617.258889914</v>
      </c>
      <c r="D351">
        <v>65251828.499838993</v>
      </c>
      <c r="E351">
        <v>31994300.900900904</v>
      </c>
      <c r="F351">
        <v>79761745.945945948</v>
      </c>
      <c r="G351">
        <v>11</v>
      </c>
      <c r="H351">
        <v>5</v>
      </c>
      <c r="K351">
        <v>12</v>
      </c>
      <c r="L351">
        <v>6</v>
      </c>
      <c r="M351">
        <v>36808118.018018015</v>
      </c>
      <c r="N351">
        <v>45475812.612612613</v>
      </c>
      <c r="O351">
        <v>38997828.828828834</v>
      </c>
      <c r="P351">
        <v>36839936.936936937</v>
      </c>
      <c r="Q351">
        <v>1278018.0180180189</v>
      </c>
      <c r="R351">
        <v>2327477.4774774769</v>
      </c>
      <c r="S351">
        <v>2696</v>
      </c>
      <c r="T351">
        <v>2715</v>
      </c>
    </row>
    <row r="352" spans="1:20" x14ac:dyDescent="0.35">
      <c r="A352" s="7" t="s">
        <v>456</v>
      </c>
      <c r="B352" s="12" t="s">
        <v>168</v>
      </c>
      <c r="C352">
        <v>77227709.395712644</v>
      </c>
      <c r="D352">
        <v>80890330.478666767</v>
      </c>
      <c r="E352">
        <v>495495.49549549498</v>
      </c>
      <c r="F352">
        <v>382882.88288288302</v>
      </c>
      <c r="G352">
        <v>4</v>
      </c>
      <c r="H352">
        <v>9</v>
      </c>
      <c r="K352">
        <v>4</v>
      </c>
      <c r="L352">
        <v>10</v>
      </c>
      <c r="M352">
        <v>1386036.036036035</v>
      </c>
      <c r="N352">
        <v>2256756.7567567551</v>
      </c>
      <c r="O352">
        <v>14287990.990990993</v>
      </c>
      <c r="P352">
        <v>18431153.153153151</v>
      </c>
      <c r="Q352">
        <v>2891171.1711711711</v>
      </c>
      <c r="R352">
        <v>2914054.054054053</v>
      </c>
      <c r="S352">
        <v>3017</v>
      </c>
      <c r="T352">
        <v>2784</v>
      </c>
    </row>
    <row r="353" spans="1:20" x14ac:dyDescent="0.35">
      <c r="A353" s="7" t="s">
        <v>457</v>
      </c>
      <c r="B353" s="12" t="s">
        <v>122</v>
      </c>
      <c r="C353">
        <v>3453849.161638245</v>
      </c>
      <c r="D353">
        <v>3609434.908117122</v>
      </c>
      <c r="E353">
        <v>34234.234234233998</v>
      </c>
      <c r="M353">
        <v>36036.036036035999</v>
      </c>
      <c r="O353">
        <v>301126.12612612598</v>
      </c>
      <c r="P353">
        <v>164594.59459459499</v>
      </c>
      <c r="S353">
        <v>141</v>
      </c>
      <c r="T353">
        <v>139</v>
      </c>
    </row>
    <row r="354" spans="1:20" x14ac:dyDescent="0.35">
      <c r="A354" s="7" t="s">
        <v>458</v>
      </c>
      <c r="B354" s="12" t="s">
        <v>226</v>
      </c>
      <c r="C354">
        <v>25253053.436801143</v>
      </c>
      <c r="D354">
        <v>29131367.152550694</v>
      </c>
      <c r="K354">
        <v>1</v>
      </c>
      <c r="O354">
        <v>5518144.1441441439</v>
      </c>
      <c r="P354">
        <v>8681504.5045045037</v>
      </c>
      <c r="Q354">
        <v>138828.82882882899</v>
      </c>
      <c r="R354">
        <v>67027.027027026998</v>
      </c>
      <c r="S354">
        <v>1390</v>
      </c>
      <c r="T354">
        <v>1311</v>
      </c>
    </row>
    <row r="355" spans="1:20" x14ac:dyDescent="0.35">
      <c r="A355" s="7" t="s">
        <v>459</v>
      </c>
      <c r="B355" s="12" t="s">
        <v>95</v>
      </c>
      <c r="C355">
        <v>42985801.708886392</v>
      </c>
      <c r="D355">
        <v>53133466.759015374</v>
      </c>
      <c r="E355">
        <v>418918.91891891998</v>
      </c>
      <c r="F355">
        <v>815315.31531531597</v>
      </c>
      <c r="G355">
        <v>14</v>
      </c>
      <c r="H355">
        <v>22</v>
      </c>
      <c r="K355">
        <v>15</v>
      </c>
      <c r="L355">
        <v>24</v>
      </c>
      <c r="M355">
        <v>16779279.27927928</v>
      </c>
      <c r="N355">
        <v>9806306.3063063063</v>
      </c>
      <c r="O355">
        <v>10404572.072072072</v>
      </c>
      <c r="P355">
        <v>15021986.486486487</v>
      </c>
      <c r="Q355">
        <v>15911621.62162162</v>
      </c>
      <c r="R355">
        <v>9415765.7657657638</v>
      </c>
      <c r="S355">
        <v>1855</v>
      </c>
      <c r="T355">
        <v>2174</v>
      </c>
    </row>
    <row r="356" spans="1:20" x14ac:dyDescent="0.35">
      <c r="A356" s="7" t="s">
        <v>460</v>
      </c>
      <c r="B356" s="12" t="s">
        <v>61</v>
      </c>
      <c r="C356">
        <v>5702286.888628725</v>
      </c>
      <c r="D356">
        <v>7455111.7167897094</v>
      </c>
      <c r="E356">
        <v>137837.83783783799</v>
      </c>
      <c r="G356">
        <v>3</v>
      </c>
      <c r="H356">
        <v>2</v>
      </c>
      <c r="K356">
        <v>4</v>
      </c>
      <c r="L356">
        <v>3</v>
      </c>
      <c r="M356">
        <v>1173873.8738738741</v>
      </c>
      <c r="N356">
        <v>450450.45045045001</v>
      </c>
      <c r="O356">
        <v>2535171.1711711711</v>
      </c>
      <c r="P356">
        <v>4052099.0990990992</v>
      </c>
      <c r="Q356">
        <v>620270.27027026995</v>
      </c>
      <c r="R356">
        <v>523783.78378378402</v>
      </c>
      <c r="S356">
        <v>555</v>
      </c>
      <c r="T356">
        <v>605</v>
      </c>
    </row>
    <row r="357" spans="1:20" x14ac:dyDescent="0.35">
      <c r="A357" s="7" t="s">
        <v>461</v>
      </c>
      <c r="B357" s="12" t="s">
        <v>216</v>
      </c>
      <c r="C357">
        <v>107604234.20791988</v>
      </c>
      <c r="D357">
        <v>106237594.77318838</v>
      </c>
      <c r="E357">
        <v>360360.36036036001</v>
      </c>
      <c r="G357">
        <v>25</v>
      </c>
      <c r="K357">
        <v>27</v>
      </c>
      <c r="M357">
        <v>900900.90090090095</v>
      </c>
      <c r="N357">
        <v>360360.36036036001</v>
      </c>
      <c r="O357">
        <v>54669243.243243247</v>
      </c>
      <c r="P357">
        <v>55229009.009009011</v>
      </c>
      <c r="Q357">
        <v>1704504.5045045051</v>
      </c>
      <c r="R357">
        <v>386306.30630630598</v>
      </c>
      <c r="S357">
        <v>2797</v>
      </c>
      <c r="T357">
        <v>3149</v>
      </c>
    </row>
    <row r="358" spans="1:20" x14ac:dyDescent="0.35">
      <c r="A358" s="7" t="s">
        <v>462</v>
      </c>
      <c r="B358" s="12" t="s">
        <v>463</v>
      </c>
      <c r="C358">
        <v>416103425.58945477</v>
      </c>
      <c r="D358">
        <v>462095777.99525803</v>
      </c>
      <c r="E358">
        <v>6349099.0990991062</v>
      </c>
      <c r="F358">
        <v>8055855.8558558682</v>
      </c>
      <c r="G358">
        <v>167</v>
      </c>
      <c r="H358">
        <v>157</v>
      </c>
      <c r="K358">
        <v>226</v>
      </c>
      <c r="L358">
        <v>265</v>
      </c>
      <c r="M358">
        <v>199421351.35135135</v>
      </c>
      <c r="N358">
        <v>110824639.63963963</v>
      </c>
      <c r="O358">
        <v>149675056.3063063</v>
      </c>
      <c r="P358">
        <v>172036223.42342341</v>
      </c>
      <c r="Q358">
        <v>78888558.558558553</v>
      </c>
      <c r="R358">
        <v>94841756.756756753</v>
      </c>
      <c r="S358">
        <v>25027</v>
      </c>
      <c r="T358">
        <v>26824</v>
      </c>
    </row>
    <row r="359" spans="1:20" x14ac:dyDescent="0.35">
      <c r="A359" s="7" t="s">
        <v>464</v>
      </c>
      <c r="B359" s="12" t="s">
        <v>463</v>
      </c>
      <c r="C359">
        <v>1310828781.8304348</v>
      </c>
      <c r="D359">
        <v>1674336355.6736817</v>
      </c>
      <c r="E359">
        <v>8593693.6936936993</v>
      </c>
      <c r="F359">
        <v>9817117.11711712</v>
      </c>
      <c r="G359">
        <v>353</v>
      </c>
      <c r="H359">
        <v>278</v>
      </c>
      <c r="I359">
        <v>1</v>
      </c>
      <c r="K359">
        <v>423</v>
      </c>
      <c r="L359">
        <v>459</v>
      </c>
      <c r="M359">
        <v>70781441.441441432</v>
      </c>
      <c r="N359">
        <v>88746171.171171173</v>
      </c>
      <c r="O359">
        <v>807797157.65765762</v>
      </c>
      <c r="P359">
        <v>1137600414.4144144</v>
      </c>
      <c r="Q359">
        <v>62571711.711711705</v>
      </c>
      <c r="R359">
        <v>82859414.414414421</v>
      </c>
      <c r="S359">
        <v>30777</v>
      </c>
      <c r="T359">
        <v>31320</v>
      </c>
    </row>
    <row r="360" spans="1:20" x14ac:dyDescent="0.35">
      <c r="A360" s="7" t="s">
        <v>465</v>
      </c>
      <c r="B360" s="12" t="s">
        <v>463</v>
      </c>
      <c r="C360">
        <v>667100558.34417832</v>
      </c>
      <c r="D360">
        <v>689826337.17766845</v>
      </c>
      <c r="E360">
        <v>5365765.7657657703</v>
      </c>
      <c r="F360">
        <v>27695644.144144144</v>
      </c>
      <c r="G360">
        <v>215</v>
      </c>
      <c r="H360">
        <v>173</v>
      </c>
      <c r="I360">
        <v>6</v>
      </c>
      <c r="K360">
        <v>301</v>
      </c>
      <c r="L360">
        <v>296</v>
      </c>
      <c r="M360">
        <v>572316756.75675678</v>
      </c>
      <c r="N360">
        <v>1012459608.1081082</v>
      </c>
      <c r="O360">
        <v>184867768.01801801</v>
      </c>
      <c r="P360">
        <v>202383358.55855855</v>
      </c>
      <c r="Q360">
        <v>281906846.84684682</v>
      </c>
      <c r="R360">
        <v>74913423.423423424</v>
      </c>
      <c r="S360">
        <v>24291</v>
      </c>
      <c r="T360">
        <v>22875</v>
      </c>
    </row>
    <row r="361" spans="1:20" x14ac:dyDescent="0.35">
      <c r="A361" s="7" t="s">
        <v>466</v>
      </c>
      <c r="B361" s="12" t="s">
        <v>463</v>
      </c>
      <c r="C361">
        <v>483307491.77532959</v>
      </c>
      <c r="D361">
        <v>458288906.26373285</v>
      </c>
      <c r="E361">
        <v>1908108.1081081131</v>
      </c>
      <c r="F361">
        <v>3778378.3783783801</v>
      </c>
      <c r="G361">
        <v>157</v>
      </c>
      <c r="H361">
        <v>69</v>
      </c>
      <c r="K361">
        <v>196</v>
      </c>
      <c r="L361">
        <v>86</v>
      </c>
      <c r="M361">
        <v>74317702.702702701</v>
      </c>
      <c r="N361">
        <v>56490252.252252258</v>
      </c>
      <c r="O361">
        <v>110443108.10810812</v>
      </c>
      <c r="P361">
        <v>116578828.82882883</v>
      </c>
      <c r="Q361">
        <v>40306171.171171166</v>
      </c>
      <c r="R361">
        <v>46531891.891891889</v>
      </c>
      <c r="S361">
        <v>18887</v>
      </c>
      <c r="T361">
        <v>17932</v>
      </c>
    </row>
    <row r="362" spans="1:20" x14ac:dyDescent="0.35">
      <c r="A362" s="7" t="s">
        <v>467</v>
      </c>
      <c r="B362" s="12" t="s">
        <v>463</v>
      </c>
      <c r="C362">
        <v>469946409.78695416</v>
      </c>
      <c r="D362">
        <v>503372247.03493333</v>
      </c>
      <c r="E362">
        <v>6847072.0720720775</v>
      </c>
      <c r="F362">
        <v>4490540.5405405518</v>
      </c>
      <c r="G362">
        <v>266</v>
      </c>
      <c r="H362">
        <v>190</v>
      </c>
      <c r="K362">
        <v>354</v>
      </c>
      <c r="L362">
        <v>905</v>
      </c>
      <c r="M362">
        <v>140944279.27927929</v>
      </c>
      <c r="N362">
        <v>90940090.090090081</v>
      </c>
      <c r="O362">
        <v>186447734.23423424</v>
      </c>
      <c r="P362">
        <v>201108000</v>
      </c>
      <c r="Q362">
        <v>114137612.61261261</v>
      </c>
      <c r="R362">
        <v>65418738.738738738</v>
      </c>
      <c r="S362">
        <v>25911</v>
      </c>
      <c r="T362">
        <v>27174</v>
      </c>
    </row>
    <row r="363" spans="1:20" x14ac:dyDescent="0.35">
      <c r="A363" s="7" t="s">
        <v>468</v>
      </c>
      <c r="B363" s="12" t="s">
        <v>463</v>
      </c>
      <c r="C363">
        <v>541715658.01102686</v>
      </c>
      <c r="D363">
        <v>540401874.09495282</v>
      </c>
      <c r="E363">
        <v>1766305100.9009008</v>
      </c>
      <c r="F363">
        <v>1238452813.5135136</v>
      </c>
      <c r="G363">
        <v>162</v>
      </c>
      <c r="H363">
        <v>91</v>
      </c>
      <c r="K363">
        <v>208</v>
      </c>
      <c r="L363">
        <v>115</v>
      </c>
      <c r="M363">
        <v>84940752.252252251</v>
      </c>
      <c r="N363">
        <v>122739414.41441442</v>
      </c>
      <c r="O363">
        <v>229711878.37837836</v>
      </c>
      <c r="P363">
        <v>244259531.53153151</v>
      </c>
      <c r="Q363">
        <v>73967072.072072059</v>
      </c>
      <c r="R363">
        <v>93492432.432432428</v>
      </c>
      <c r="S363">
        <v>28720</v>
      </c>
      <c r="T363">
        <v>29040</v>
      </c>
    </row>
    <row r="364" spans="1:20" x14ac:dyDescent="0.35">
      <c r="A364" s="7" t="s">
        <v>469</v>
      </c>
      <c r="B364" s="12" t="s">
        <v>55</v>
      </c>
      <c r="C364">
        <v>34649712.59098234</v>
      </c>
      <c r="D364">
        <v>36572286.999859557</v>
      </c>
      <c r="E364">
        <v>110810.810810813</v>
      </c>
      <c r="F364">
        <v>281981.98198198201</v>
      </c>
      <c r="G364">
        <v>9</v>
      </c>
      <c r="H364">
        <v>3</v>
      </c>
      <c r="K364">
        <v>10</v>
      </c>
      <c r="L364">
        <v>3</v>
      </c>
      <c r="M364">
        <v>2780000.0000000019</v>
      </c>
      <c r="N364">
        <v>4518738.7387387389</v>
      </c>
      <c r="O364">
        <v>7327513.5135135129</v>
      </c>
      <c r="P364">
        <v>7609468.4684684677</v>
      </c>
      <c r="Q364">
        <v>3017297.2972972961</v>
      </c>
      <c r="R364">
        <v>3824954.9549549562</v>
      </c>
      <c r="S364">
        <v>1297</v>
      </c>
      <c r="T364">
        <v>1229</v>
      </c>
    </row>
    <row r="365" spans="1:20" x14ac:dyDescent="0.35">
      <c r="A365" s="7" t="s">
        <v>470</v>
      </c>
      <c r="B365" s="12" t="s">
        <v>88</v>
      </c>
      <c r="C365">
        <v>1332825.460819772</v>
      </c>
      <c r="D365">
        <v>1658963.728231811</v>
      </c>
      <c r="H365">
        <v>1</v>
      </c>
      <c r="L365">
        <v>1</v>
      </c>
      <c r="O365">
        <v>289864.86486486503</v>
      </c>
      <c r="P365">
        <v>672522.52252252295</v>
      </c>
      <c r="S365">
        <v>73</v>
      </c>
      <c r="T365">
        <v>102</v>
      </c>
    </row>
    <row r="366" spans="1:20" x14ac:dyDescent="0.35">
      <c r="A366" s="7" t="s">
        <v>471</v>
      </c>
      <c r="B366" s="12" t="s">
        <v>144</v>
      </c>
      <c r="C366">
        <v>172919544.48498863</v>
      </c>
      <c r="D366">
        <v>193993084.19323206</v>
      </c>
      <c r="E366">
        <v>221621.621621623</v>
      </c>
      <c r="F366">
        <v>144144.14414414499</v>
      </c>
      <c r="G366">
        <v>47</v>
      </c>
      <c r="K366">
        <v>58</v>
      </c>
      <c r="M366">
        <v>8149549.5495495498</v>
      </c>
      <c r="N366">
        <v>11405405.405405406</v>
      </c>
      <c r="O366">
        <v>26175185.585585583</v>
      </c>
      <c r="P366">
        <v>36615790.990990989</v>
      </c>
      <c r="Q366">
        <v>6581351.3513513505</v>
      </c>
      <c r="R366">
        <v>8044727.927927929</v>
      </c>
      <c r="S366">
        <v>5014</v>
      </c>
      <c r="T366">
        <v>5114</v>
      </c>
    </row>
    <row r="367" spans="1:20" x14ac:dyDescent="0.35">
      <c r="A367" s="7" t="s">
        <v>472</v>
      </c>
      <c r="B367" s="12" t="s">
        <v>81</v>
      </c>
      <c r="C367">
        <v>147950120.51252854</v>
      </c>
      <c r="D367">
        <v>143253665.20105621</v>
      </c>
      <c r="E367">
        <v>34850900.9009009</v>
      </c>
      <c r="F367">
        <v>36075675.675675683</v>
      </c>
      <c r="G367">
        <v>25</v>
      </c>
      <c r="H367">
        <v>7</v>
      </c>
      <c r="K367">
        <v>29</v>
      </c>
      <c r="L367">
        <v>7</v>
      </c>
      <c r="M367">
        <v>3813063.0630630632</v>
      </c>
      <c r="N367">
        <v>6430450.4504504493</v>
      </c>
      <c r="O367">
        <v>55075279.279279277</v>
      </c>
      <c r="P367">
        <v>54856600</v>
      </c>
      <c r="Q367">
        <v>2524504.504504506</v>
      </c>
      <c r="R367">
        <v>2795585.5855855839</v>
      </c>
      <c r="S367">
        <v>5454</v>
      </c>
      <c r="T367">
        <v>4648</v>
      </c>
    </row>
    <row r="368" spans="1:20" x14ac:dyDescent="0.35">
      <c r="A368" s="7" t="s">
        <v>473</v>
      </c>
      <c r="B368" s="12" t="s">
        <v>474</v>
      </c>
      <c r="C368">
        <v>176926949.13786194</v>
      </c>
      <c r="D368">
        <v>176130644.1446749</v>
      </c>
      <c r="E368">
        <v>1218918.91891892</v>
      </c>
      <c r="F368">
        <v>1475675.675675676</v>
      </c>
      <c r="G368">
        <v>15</v>
      </c>
      <c r="H368">
        <v>14</v>
      </c>
      <c r="K368">
        <v>16</v>
      </c>
      <c r="L368">
        <v>18</v>
      </c>
      <c r="M368">
        <v>12876576.576576576</v>
      </c>
      <c r="N368">
        <v>11475675.675675675</v>
      </c>
      <c r="O368">
        <v>54186666.666666664</v>
      </c>
      <c r="P368">
        <v>59202951.351351351</v>
      </c>
      <c r="Q368">
        <v>13824234.234234236</v>
      </c>
      <c r="R368">
        <v>27613452.252252251</v>
      </c>
      <c r="S368">
        <v>5608</v>
      </c>
      <c r="T368">
        <v>5528</v>
      </c>
    </row>
    <row r="369" spans="1:20" x14ac:dyDescent="0.35">
      <c r="A369" s="7" t="s">
        <v>475</v>
      </c>
      <c r="B369" s="12" t="s">
        <v>474</v>
      </c>
      <c r="C369">
        <v>13605202.61448908</v>
      </c>
      <c r="D369">
        <v>15301551.533680817</v>
      </c>
      <c r="E369">
        <v>72072.072072071998</v>
      </c>
      <c r="F369">
        <v>27027.027027027001</v>
      </c>
      <c r="M369">
        <v>1765765.7657657659</v>
      </c>
      <c r="N369">
        <v>27027.027027027001</v>
      </c>
      <c r="O369">
        <v>1354324.324324324</v>
      </c>
      <c r="P369">
        <v>1682594.594594595</v>
      </c>
      <c r="Q369">
        <v>1823423.4234234239</v>
      </c>
      <c r="R369">
        <v>111711.71171171201</v>
      </c>
      <c r="S369">
        <v>644</v>
      </c>
      <c r="T369">
        <v>638</v>
      </c>
    </row>
    <row r="370" spans="1:20" x14ac:dyDescent="0.35">
      <c r="A370" s="7" t="s">
        <v>476</v>
      </c>
      <c r="B370" s="12" t="s">
        <v>474</v>
      </c>
      <c r="C370">
        <v>1866390.953889173</v>
      </c>
      <c r="D370">
        <v>1995323.4809859721</v>
      </c>
      <c r="E370">
        <v>195185256.75675678</v>
      </c>
      <c r="F370">
        <v>122343517.11711712</v>
      </c>
      <c r="M370">
        <v>25892037.837837841</v>
      </c>
      <c r="N370">
        <v>11691177.477477478</v>
      </c>
      <c r="O370">
        <v>416981.98198198201</v>
      </c>
      <c r="P370">
        <v>438693.69369369402</v>
      </c>
      <c r="Q370">
        <v>1693693.693693694</v>
      </c>
      <c r="R370">
        <v>3725135.1351351351</v>
      </c>
      <c r="S370">
        <v>339</v>
      </c>
      <c r="T370">
        <v>318</v>
      </c>
    </row>
    <row r="371" spans="1:20" x14ac:dyDescent="0.35">
      <c r="A371" s="7" t="s">
        <v>477</v>
      </c>
      <c r="B371" s="12" t="s">
        <v>474</v>
      </c>
      <c r="C371">
        <v>62200479.106225997</v>
      </c>
      <c r="D371">
        <v>62269493.081345536</v>
      </c>
      <c r="E371">
        <v>233333.33333333401</v>
      </c>
      <c r="F371">
        <v>1236391.8918918921</v>
      </c>
      <c r="G371">
        <v>9</v>
      </c>
      <c r="H371">
        <v>7</v>
      </c>
      <c r="K371">
        <v>9</v>
      </c>
      <c r="L371">
        <v>7</v>
      </c>
      <c r="M371">
        <v>24629729.729729727</v>
      </c>
      <c r="N371">
        <v>7323063.0630630627</v>
      </c>
      <c r="O371">
        <v>8903504.5045045055</v>
      </c>
      <c r="P371">
        <v>10694448.648648648</v>
      </c>
      <c r="Q371">
        <v>11320090.090090092</v>
      </c>
      <c r="R371">
        <v>6324234.2342342343</v>
      </c>
      <c r="S371">
        <v>1901</v>
      </c>
      <c r="T371">
        <v>2197</v>
      </c>
    </row>
    <row r="372" spans="1:20" x14ac:dyDescent="0.35">
      <c r="A372" s="7" t="s">
        <v>478</v>
      </c>
      <c r="B372" s="12" t="s">
        <v>474</v>
      </c>
      <c r="C372">
        <v>87790800.016332179</v>
      </c>
      <c r="D372">
        <v>86930045.799973652</v>
      </c>
      <c r="E372">
        <v>503603.60360360402</v>
      </c>
      <c r="F372">
        <v>481981.981981983</v>
      </c>
      <c r="G372">
        <v>22</v>
      </c>
      <c r="H372">
        <v>6</v>
      </c>
      <c r="K372">
        <v>26</v>
      </c>
      <c r="L372">
        <v>6</v>
      </c>
      <c r="M372">
        <v>6035135.1351351347</v>
      </c>
      <c r="N372">
        <v>2916216.2162162159</v>
      </c>
      <c r="O372">
        <v>19329153.153153151</v>
      </c>
      <c r="P372">
        <v>20891315.315315317</v>
      </c>
      <c r="Q372">
        <v>6221621.6216216227</v>
      </c>
      <c r="R372">
        <v>9380090.0900900885</v>
      </c>
      <c r="S372">
        <v>2362</v>
      </c>
      <c r="T372">
        <v>2516</v>
      </c>
    </row>
    <row r="373" spans="1:20" x14ac:dyDescent="0.35">
      <c r="A373" s="7" t="s">
        <v>479</v>
      </c>
      <c r="B373" s="12" t="s">
        <v>474</v>
      </c>
      <c r="C373">
        <v>32913318.032142561</v>
      </c>
      <c r="D373">
        <v>32818992.851924948</v>
      </c>
      <c r="E373">
        <v>303603.60360360402</v>
      </c>
      <c r="F373">
        <v>309909.90990991</v>
      </c>
      <c r="G373">
        <v>4</v>
      </c>
      <c r="H373">
        <v>4</v>
      </c>
      <c r="K373">
        <v>4</v>
      </c>
      <c r="L373">
        <v>5</v>
      </c>
      <c r="M373">
        <v>5510810.8108108118</v>
      </c>
      <c r="N373">
        <v>1368468.4684684691</v>
      </c>
      <c r="O373">
        <v>6902763.963963964</v>
      </c>
      <c r="P373">
        <v>8555423.4234234225</v>
      </c>
      <c r="Q373">
        <v>4821351.3513513505</v>
      </c>
      <c r="R373">
        <v>6164324.3243243247</v>
      </c>
      <c r="S373">
        <v>1404</v>
      </c>
      <c r="T373">
        <v>1434</v>
      </c>
    </row>
    <row r="374" spans="1:20" x14ac:dyDescent="0.35">
      <c r="A374" s="7" t="s">
        <v>480</v>
      </c>
      <c r="B374" s="12" t="s">
        <v>474</v>
      </c>
      <c r="C374">
        <v>331283632.07900172</v>
      </c>
      <c r="D374">
        <v>347803688.25664562</v>
      </c>
      <c r="E374">
        <v>6009909.9099099189</v>
      </c>
      <c r="F374">
        <v>2597297.2972973008</v>
      </c>
      <c r="G374">
        <v>129</v>
      </c>
      <c r="H374">
        <v>193</v>
      </c>
      <c r="K374">
        <v>233</v>
      </c>
      <c r="L374">
        <v>220</v>
      </c>
      <c r="M374">
        <v>85549189.189189181</v>
      </c>
      <c r="N374">
        <v>57198378.378378376</v>
      </c>
      <c r="O374">
        <v>85792025.225225225</v>
      </c>
      <c r="P374">
        <v>95629156.756756753</v>
      </c>
      <c r="Q374">
        <v>85517837.837837845</v>
      </c>
      <c r="R374">
        <v>65923513.513513505</v>
      </c>
      <c r="S374">
        <v>16551</v>
      </c>
      <c r="T374">
        <v>16439</v>
      </c>
    </row>
    <row r="375" spans="1:20" x14ac:dyDescent="0.35">
      <c r="A375" s="7" t="s">
        <v>481</v>
      </c>
      <c r="B375" s="12" t="s">
        <v>262</v>
      </c>
      <c r="C375">
        <v>406912671.87977701</v>
      </c>
      <c r="D375">
        <v>396452034.20002538</v>
      </c>
      <c r="E375">
        <v>2433558.558558559</v>
      </c>
      <c r="F375">
        <v>3815315.3153153169</v>
      </c>
      <c r="G375">
        <v>76</v>
      </c>
      <c r="H375">
        <v>46</v>
      </c>
      <c r="I375">
        <v>1</v>
      </c>
      <c r="K375">
        <v>82</v>
      </c>
      <c r="L375">
        <v>50</v>
      </c>
      <c r="M375">
        <v>47754054.054054059</v>
      </c>
      <c r="N375">
        <v>53337837.837837838</v>
      </c>
      <c r="O375">
        <v>105402500</v>
      </c>
      <c r="P375">
        <v>110238972.97297297</v>
      </c>
      <c r="Q375">
        <v>47401711.711711712</v>
      </c>
      <c r="R375">
        <v>52221171.171171166</v>
      </c>
      <c r="S375">
        <v>11077</v>
      </c>
      <c r="T375">
        <v>12017</v>
      </c>
    </row>
    <row r="376" spans="1:20" x14ac:dyDescent="0.35">
      <c r="A376" s="7" t="s">
        <v>482</v>
      </c>
      <c r="B376" s="12" t="s">
        <v>483</v>
      </c>
      <c r="C376">
        <v>25245703.280966967</v>
      </c>
      <c r="D376">
        <v>27532411.423384864</v>
      </c>
      <c r="E376">
        <v>379279.27927927999</v>
      </c>
      <c r="F376">
        <v>349549.54954954999</v>
      </c>
      <c r="G376">
        <v>7</v>
      </c>
      <c r="H376">
        <v>5</v>
      </c>
      <c r="K376">
        <v>8</v>
      </c>
      <c r="L376">
        <v>6</v>
      </c>
      <c r="M376">
        <v>9481531.5315315314</v>
      </c>
      <c r="N376">
        <v>7566756.7567567574</v>
      </c>
      <c r="O376">
        <v>5963873.8738738736</v>
      </c>
      <c r="P376">
        <v>7233232.4324324327</v>
      </c>
      <c r="Q376">
        <v>9406306.3063063063</v>
      </c>
      <c r="R376">
        <v>7954684.6846846854</v>
      </c>
      <c r="S376">
        <v>788</v>
      </c>
      <c r="T376">
        <v>759</v>
      </c>
    </row>
    <row r="377" spans="1:20" x14ac:dyDescent="0.35">
      <c r="A377" s="7" t="s">
        <v>484</v>
      </c>
      <c r="B377" s="12" t="s">
        <v>124</v>
      </c>
      <c r="C377">
        <v>205111198.534403</v>
      </c>
      <c r="D377">
        <v>206692836.95086637</v>
      </c>
      <c r="E377">
        <v>933333.333333335</v>
      </c>
      <c r="F377">
        <v>1090090.0900900899</v>
      </c>
      <c r="G377">
        <v>39</v>
      </c>
      <c r="H377">
        <v>25</v>
      </c>
      <c r="K377">
        <v>44</v>
      </c>
      <c r="L377">
        <v>27</v>
      </c>
      <c r="M377">
        <v>13629549.549549548</v>
      </c>
      <c r="N377">
        <v>11615675.675675675</v>
      </c>
      <c r="O377">
        <v>77073049.54954955</v>
      </c>
      <c r="P377">
        <v>83954574.77477479</v>
      </c>
      <c r="Q377">
        <v>14321621.621621622</v>
      </c>
      <c r="R377">
        <v>12901891.891891891</v>
      </c>
      <c r="S377">
        <v>5759</v>
      </c>
      <c r="T377">
        <v>5584</v>
      </c>
    </row>
    <row r="378" spans="1:20" x14ac:dyDescent="0.35">
      <c r="A378" s="7" t="s">
        <v>485</v>
      </c>
      <c r="B378" s="12" t="s">
        <v>474</v>
      </c>
      <c r="C378">
        <v>16688802.454231882</v>
      </c>
      <c r="D378">
        <v>17243298.515257157</v>
      </c>
      <c r="E378">
        <v>69369.369369369</v>
      </c>
      <c r="F378">
        <v>270270.27027027</v>
      </c>
      <c r="G378">
        <v>2</v>
      </c>
      <c r="H378">
        <v>2</v>
      </c>
      <c r="K378">
        <v>3</v>
      </c>
      <c r="L378">
        <v>2</v>
      </c>
      <c r="M378">
        <v>1420720.7207207209</v>
      </c>
      <c r="N378">
        <v>734234.23423423502</v>
      </c>
      <c r="O378">
        <v>2688873.8738738741</v>
      </c>
      <c r="P378">
        <v>2656531.5315315318</v>
      </c>
      <c r="Q378">
        <v>606936.93693693704</v>
      </c>
      <c r="R378">
        <v>758108.10810810805</v>
      </c>
      <c r="S378">
        <v>566</v>
      </c>
      <c r="T378">
        <v>604</v>
      </c>
    </row>
    <row r="379" spans="1:20" x14ac:dyDescent="0.35">
      <c r="A379" s="7" t="s">
        <v>667</v>
      </c>
      <c r="B379" s="12" t="s">
        <v>86</v>
      </c>
      <c r="E379">
        <v>143690334.23423424</v>
      </c>
      <c r="F379">
        <v>294111662.16216218</v>
      </c>
    </row>
    <row r="380" spans="1:20" x14ac:dyDescent="0.35">
      <c r="A380" s="7" t="s">
        <v>486</v>
      </c>
      <c r="B380" s="12" t="s">
        <v>168</v>
      </c>
      <c r="C380">
        <v>167370872.00593421</v>
      </c>
      <c r="D380">
        <v>182610107.34833676</v>
      </c>
      <c r="E380">
        <v>1391891.8918918939</v>
      </c>
      <c r="F380">
        <v>1941441.441441441</v>
      </c>
      <c r="G380">
        <v>96</v>
      </c>
      <c r="H380">
        <v>12</v>
      </c>
      <c r="K380">
        <v>123</v>
      </c>
      <c r="L380">
        <v>17</v>
      </c>
      <c r="M380">
        <v>15747334.234234236</v>
      </c>
      <c r="N380">
        <v>14330405.405405408</v>
      </c>
      <c r="O380">
        <v>71501058.558558553</v>
      </c>
      <c r="P380">
        <v>74374873.873873875</v>
      </c>
      <c r="Q380">
        <v>15919189.189189192</v>
      </c>
      <c r="R380">
        <v>13812207.207207208</v>
      </c>
      <c r="S380">
        <v>8446</v>
      </c>
      <c r="T380">
        <v>8645</v>
      </c>
    </row>
    <row r="381" spans="1:20" x14ac:dyDescent="0.35">
      <c r="A381" s="7" t="s">
        <v>487</v>
      </c>
      <c r="B381" s="12" t="s">
        <v>168</v>
      </c>
      <c r="C381">
        <v>188694015.4184725</v>
      </c>
      <c r="D381">
        <v>204619797.4969981</v>
      </c>
      <c r="E381">
        <v>258923788.2882883</v>
      </c>
      <c r="F381">
        <v>297489579.27927929</v>
      </c>
      <c r="G381">
        <v>97</v>
      </c>
      <c r="H381">
        <v>39</v>
      </c>
      <c r="K381">
        <v>151</v>
      </c>
      <c r="L381">
        <v>96</v>
      </c>
      <c r="M381">
        <v>27716442.342342343</v>
      </c>
      <c r="N381">
        <v>29567567.567567572</v>
      </c>
      <c r="O381">
        <v>71080926.126126125</v>
      </c>
      <c r="P381">
        <v>79231790.990990996</v>
      </c>
      <c r="Q381">
        <v>25968962.16216217</v>
      </c>
      <c r="R381">
        <v>27667117.117117122</v>
      </c>
      <c r="S381">
        <v>9469</v>
      </c>
      <c r="T381">
        <v>9494</v>
      </c>
    </row>
    <row r="382" spans="1:20" x14ac:dyDescent="0.35">
      <c r="A382" s="7" t="s">
        <v>488</v>
      </c>
      <c r="B382" s="12" t="s">
        <v>51</v>
      </c>
      <c r="C382">
        <v>116099253.83177605</v>
      </c>
      <c r="D382">
        <v>121893682.0546736</v>
      </c>
      <c r="E382">
        <v>1231531.5315315339</v>
      </c>
      <c r="F382">
        <v>2416216.216216221</v>
      </c>
      <c r="G382">
        <v>29</v>
      </c>
      <c r="H382">
        <v>17</v>
      </c>
      <c r="K382">
        <v>31</v>
      </c>
      <c r="L382">
        <v>21</v>
      </c>
      <c r="M382">
        <v>16613333.333333332</v>
      </c>
      <c r="N382">
        <v>20318198.198198199</v>
      </c>
      <c r="O382">
        <v>51200990.990990989</v>
      </c>
      <c r="P382">
        <v>54123396.396396399</v>
      </c>
      <c r="Q382">
        <v>14887117.117117116</v>
      </c>
      <c r="R382">
        <v>16516846.846846849</v>
      </c>
      <c r="S382">
        <v>3774</v>
      </c>
      <c r="T382">
        <v>4190</v>
      </c>
    </row>
    <row r="383" spans="1:20" x14ac:dyDescent="0.35">
      <c r="A383" s="7" t="s">
        <v>489</v>
      </c>
      <c r="B383" s="12" t="s">
        <v>135</v>
      </c>
      <c r="C383">
        <v>155762781.30481774</v>
      </c>
      <c r="D383">
        <v>166535590.04316458</v>
      </c>
      <c r="E383">
        <v>709909.90990991099</v>
      </c>
      <c r="F383">
        <v>783783.78378378402</v>
      </c>
      <c r="G383">
        <v>24</v>
      </c>
      <c r="H383">
        <v>37</v>
      </c>
      <c r="K383">
        <v>25</v>
      </c>
      <c r="L383">
        <v>45</v>
      </c>
      <c r="M383">
        <v>23947747.747747749</v>
      </c>
      <c r="N383">
        <v>29145045.045045044</v>
      </c>
      <c r="O383">
        <v>29779592.792792793</v>
      </c>
      <c r="P383">
        <v>36176585.585585587</v>
      </c>
      <c r="Q383">
        <v>13676126.126126125</v>
      </c>
      <c r="R383">
        <v>23140090.090090089</v>
      </c>
      <c r="S383">
        <v>5290</v>
      </c>
      <c r="T383">
        <v>4793</v>
      </c>
    </row>
    <row r="384" spans="1:20" x14ac:dyDescent="0.35">
      <c r="A384" s="7" t="s">
        <v>490</v>
      </c>
      <c r="B384" s="12" t="s">
        <v>77</v>
      </c>
      <c r="C384">
        <v>31248813.370652966</v>
      </c>
      <c r="D384">
        <v>43968822.095285609</v>
      </c>
      <c r="E384">
        <v>765765.76576576696</v>
      </c>
      <c r="F384">
        <v>382882.88288288401</v>
      </c>
      <c r="G384">
        <v>9</v>
      </c>
      <c r="H384">
        <v>13</v>
      </c>
      <c r="K384">
        <v>9</v>
      </c>
      <c r="L384">
        <v>13</v>
      </c>
      <c r="M384">
        <v>6380090.0900900885</v>
      </c>
      <c r="N384">
        <v>8644144.1441441439</v>
      </c>
      <c r="O384">
        <v>12437428.828828828</v>
      </c>
      <c r="P384">
        <v>14926207.207207208</v>
      </c>
      <c r="Q384">
        <v>6603960.3603603598</v>
      </c>
      <c r="R384">
        <v>7690720.7207207214</v>
      </c>
      <c r="S384">
        <v>1426</v>
      </c>
      <c r="T384">
        <v>1543</v>
      </c>
    </row>
    <row r="385" spans="1:20" x14ac:dyDescent="0.35">
      <c r="A385" s="7" t="s">
        <v>491</v>
      </c>
      <c r="B385" s="12" t="s">
        <v>309</v>
      </c>
      <c r="C385">
        <v>265113862.36602828</v>
      </c>
      <c r="D385">
        <v>277273570.89078534</v>
      </c>
      <c r="E385">
        <v>2629729.7297297339</v>
      </c>
      <c r="F385">
        <v>1475675.6756756769</v>
      </c>
      <c r="G385">
        <v>92</v>
      </c>
      <c r="H385">
        <v>52</v>
      </c>
      <c r="K385">
        <v>117</v>
      </c>
      <c r="L385">
        <v>63</v>
      </c>
      <c r="M385">
        <v>86741306.306306303</v>
      </c>
      <c r="N385">
        <v>69429594.594594598</v>
      </c>
      <c r="O385">
        <v>113857423.42342342</v>
      </c>
      <c r="P385">
        <v>118282369.36936936</v>
      </c>
      <c r="Q385">
        <v>51951756.756756753</v>
      </c>
      <c r="R385">
        <v>58125180.180180177</v>
      </c>
      <c r="S385">
        <v>12228</v>
      </c>
      <c r="T385">
        <v>11636</v>
      </c>
    </row>
    <row r="386" spans="1:20" x14ac:dyDescent="0.35">
      <c r="A386" s="7" t="s">
        <v>668</v>
      </c>
      <c r="B386" s="12" t="s">
        <v>182</v>
      </c>
      <c r="F386">
        <v>160900900.9009009</v>
      </c>
      <c r="M386">
        <v>1015315.315315315</v>
      </c>
    </row>
    <row r="387" spans="1:20" x14ac:dyDescent="0.35">
      <c r="A387" s="7" t="s">
        <v>492</v>
      </c>
      <c r="B387" s="12" t="s">
        <v>317</v>
      </c>
      <c r="C387">
        <v>56980735.073800497</v>
      </c>
      <c r="D387">
        <v>58246378.951473251</v>
      </c>
      <c r="E387">
        <v>473873.87387387501</v>
      </c>
      <c r="F387">
        <v>538738.73873874301</v>
      </c>
      <c r="G387">
        <v>4</v>
      </c>
      <c r="H387">
        <v>5</v>
      </c>
      <c r="K387">
        <v>5</v>
      </c>
      <c r="L387">
        <v>5</v>
      </c>
      <c r="M387">
        <v>24178558.558558561</v>
      </c>
      <c r="N387">
        <v>32499819.819819819</v>
      </c>
      <c r="O387">
        <v>23868117.117117114</v>
      </c>
      <c r="P387">
        <v>22700297.297297295</v>
      </c>
      <c r="Q387">
        <v>24730000</v>
      </c>
      <c r="R387">
        <v>29902162.162162159</v>
      </c>
      <c r="S387">
        <v>1615</v>
      </c>
      <c r="T387">
        <v>1703</v>
      </c>
    </row>
    <row r="388" spans="1:20" x14ac:dyDescent="0.35">
      <c r="A388" s="7" t="s">
        <v>493</v>
      </c>
      <c r="B388" s="12" t="s">
        <v>182</v>
      </c>
      <c r="C388">
        <v>139803457.56813839</v>
      </c>
      <c r="D388">
        <v>154598236.47822303</v>
      </c>
      <c r="E388">
        <v>987837.83783783903</v>
      </c>
      <c r="F388">
        <v>349099.09909909999</v>
      </c>
      <c r="G388">
        <v>69</v>
      </c>
      <c r="H388">
        <v>49</v>
      </c>
      <c r="I388">
        <v>1</v>
      </c>
      <c r="K388">
        <v>121</v>
      </c>
      <c r="L388">
        <v>64</v>
      </c>
      <c r="M388">
        <v>11259639.639639638</v>
      </c>
      <c r="N388">
        <v>12768918.918918919</v>
      </c>
      <c r="O388">
        <v>42063675.675675675</v>
      </c>
      <c r="P388">
        <v>48282459.459459454</v>
      </c>
      <c r="Q388">
        <v>10258738.738738736</v>
      </c>
      <c r="R388">
        <v>13720360.36036036</v>
      </c>
      <c r="S388">
        <v>6531</v>
      </c>
      <c r="T388">
        <v>7046</v>
      </c>
    </row>
    <row r="389" spans="1:20" x14ac:dyDescent="0.35">
      <c r="A389" s="7" t="s">
        <v>494</v>
      </c>
      <c r="B389" s="12" t="s">
        <v>222</v>
      </c>
      <c r="C389">
        <v>78753483.722807735</v>
      </c>
      <c r="D389">
        <v>84903637.541489586</v>
      </c>
      <c r="E389">
        <v>18018.018018019</v>
      </c>
      <c r="G389">
        <v>23</v>
      </c>
      <c r="H389">
        <v>26</v>
      </c>
      <c r="K389">
        <v>33</v>
      </c>
      <c r="L389">
        <v>39</v>
      </c>
      <c r="M389">
        <v>2227027.0270270272</v>
      </c>
      <c r="N389">
        <v>554954.95495495503</v>
      </c>
      <c r="O389">
        <v>19244538.738738742</v>
      </c>
      <c r="P389">
        <v>23170153.153153151</v>
      </c>
      <c r="Q389">
        <v>1531981.9819819829</v>
      </c>
      <c r="R389">
        <v>655405.40540540603</v>
      </c>
      <c r="S389">
        <v>3977</v>
      </c>
      <c r="T389">
        <v>4099</v>
      </c>
    </row>
    <row r="390" spans="1:20" x14ac:dyDescent="0.35">
      <c r="A390" s="7" t="s">
        <v>495</v>
      </c>
      <c r="B390" s="12" t="s">
        <v>222</v>
      </c>
      <c r="C390">
        <v>26677336.628021777</v>
      </c>
      <c r="D390">
        <v>20486580.142292824</v>
      </c>
      <c r="E390">
        <v>289004463.96396399</v>
      </c>
      <c r="F390">
        <v>259971973.87387389</v>
      </c>
      <c r="G390">
        <v>14</v>
      </c>
      <c r="H390">
        <v>4</v>
      </c>
      <c r="I390">
        <v>1</v>
      </c>
      <c r="K390">
        <v>15</v>
      </c>
      <c r="L390">
        <v>4</v>
      </c>
      <c r="M390">
        <v>26240090.090090089</v>
      </c>
      <c r="N390">
        <v>13105955.855855856</v>
      </c>
      <c r="O390">
        <v>7949099.0990990987</v>
      </c>
      <c r="P390">
        <v>7930270.2702702703</v>
      </c>
      <c r="Q390">
        <v>14416036.036036037</v>
      </c>
      <c r="R390">
        <v>10549549.549549548</v>
      </c>
      <c r="S390">
        <v>1285</v>
      </c>
      <c r="T390">
        <v>1353</v>
      </c>
    </row>
    <row r="391" spans="1:20" x14ac:dyDescent="0.35">
      <c r="A391" s="7" t="s">
        <v>496</v>
      </c>
      <c r="B391" s="12" t="s">
        <v>61</v>
      </c>
      <c r="C391">
        <v>91392939.567384109</v>
      </c>
      <c r="D391">
        <v>100360576.59056345</v>
      </c>
      <c r="E391">
        <v>2371171.1711711781</v>
      </c>
      <c r="F391">
        <v>1523873.8738738771</v>
      </c>
      <c r="G391">
        <v>20</v>
      </c>
      <c r="H391">
        <v>4</v>
      </c>
      <c r="K391">
        <v>70</v>
      </c>
      <c r="L391">
        <v>13</v>
      </c>
      <c r="M391">
        <v>20828108.108108107</v>
      </c>
      <c r="N391">
        <v>19929279.27927928</v>
      </c>
      <c r="O391">
        <v>41057612.612612605</v>
      </c>
      <c r="P391">
        <v>45973081.081081077</v>
      </c>
      <c r="Q391">
        <v>18226936.936936937</v>
      </c>
      <c r="R391">
        <v>18837747.747747749</v>
      </c>
      <c r="S391">
        <v>3583</v>
      </c>
      <c r="T391">
        <v>3747</v>
      </c>
    </row>
    <row r="392" spans="1:20" x14ac:dyDescent="0.35">
      <c r="A392" s="7" t="s">
        <v>497</v>
      </c>
      <c r="B392" s="12" t="s">
        <v>452</v>
      </c>
      <c r="C392">
        <v>111584611.69941755</v>
      </c>
      <c r="D392">
        <v>114888044.49983375</v>
      </c>
      <c r="E392">
        <v>140540.540540541</v>
      </c>
      <c r="F392">
        <v>272972.97297297401</v>
      </c>
      <c r="G392">
        <v>81</v>
      </c>
      <c r="H392">
        <v>48</v>
      </c>
      <c r="K392">
        <v>84</v>
      </c>
      <c r="L392">
        <v>67</v>
      </c>
      <c r="M392">
        <v>10802702.702702705</v>
      </c>
      <c r="N392">
        <v>9156081.0810810793</v>
      </c>
      <c r="O392">
        <v>40036324.324324325</v>
      </c>
      <c r="P392">
        <v>44791927.927927926</v>
      </c>
      <c r="Q392">
        <v>9777387.3873873875</v>
      </c>
      <c r="R392">
        <v>10091531.531531531</v>
      </c>
      <c r="S392">
        <v>4960</v>
      </c>
      <c r="T392">
        <v>4761</v>
      </c>
    </row>
    <row r="393" spans="1:20" x14ac:dyDescent="0.35">
      <c r="A393" s="7" t="s">
        <v>7</v>
      </c>
      <c r="B393" s="12" t="s">
        <v>195</v>
      </c>
      <c r="C393">
        <v>93534604.607077047</v>
      </c>
      <c r="D393">
        <v>94100528.765244439</v>
      </c>
      <c r="E393">
        <v>237837.837837839</v>
      </c>
      <c r="F393">
        <v>78378.378378377995</v>
      </c>
      <c r="G393">
        <v>30</v>
      </c>
      <c r="H393">
        <v>18</v>
      </c>
      <c r="K393">
        <v>37</v>
      </c>
      <c r="L393">
        <v>26</v>
      </c>
      <c r="M393">
        <v>16400000</v>
      </c>
      <c r="N393">
        <v>19731531.531531528</v>
      </c>
      <c r="O393">
        <v>65780126.126126125</v>
      </c>
      <c r="P393">
        <v>62199540.540540546</v>
      </c>
      <c r="Q393">
        <v>19609639.639639638</v>
      </c>
      <c r="R393">
        <v>21560990.990990993</v>
      </c>
      <c r="S393">
        <v>4606</v>
      </c>
      <c r="T393">
        <v>4618</v>
      </c>
    </row>
    <row r="394" spans="1:20" x14ac:dyDescent="0.35">
      <c r="A394" s="7" t="s">
        <v>498</v>
      </c>
      <c r="B394" s="12" t="s">
        <v>332</v>
      </c>
      <c r="C394">
        <v>109648485.1252016</v>
      </c>
      <c r="D394">
        <v>113540483.76553126</v>
      </c>
      <c r="E394">
        <v>213513.51351351399</v>
      </c>
      <c r="F394">
        <v>73873.873873874007</v>
      </c>
      <c r="G394">
        <v>46</v>
      </c>
      <c r="H394">
        <v>41</v>
      </c>
      <c r="K394">
        <v>61</v>
      </c>
      <c r="L394">
        <v>53</v>
      </c>
      <c r="M394">
        <v>5150450.4504504502</v>
      </c>
      <c r="N394">
        <v>5972072.072072072</v>
      </c>
      <c r="O394">
        <v>27308873.873873871</v>
      </c>
      <c r="P394">
        <v>30300288.288288288</v>
      </c>
      <c r="Q394">
        <v>4954504.5045045046</v>
      </c>
      <c r="R394">
        <v>5491621.6216216218</v>
      </c>
      <c r="S394">
        <v>5772</v>
      </c>
      <c r="T394">
        <v>5940</v>
      </c>
    </row>
    <row r="395" spans="1:20" x14ac:dyDescent="0.35">
      <c r="A395" s="7" t="s">
        <v>499</v>
      </c>
      <c r="B395" s="12" t="s">
        <v>332</v>
      </c>
      <c r="C395">
        <v>187739309.72285095</v>
      </c>
      <c r="D395">
        <v>193819101.11780927</v>
      </c>
      <c r="E395">
        <v>815990.99099099496</v>
      </c>
      <c r="F395">
        <v>162162.16216216399</v>
      </c>
      <c r="G395">
        <v>90</v>
      </c>
      <c r="H395">
        <v>56</v>
      </c>
      <c r="K395">
        <v>102</v>
      </c>
      <c r="L395">
        <v>64</v>
      </c>
      <c r="M395">
        <v>5659459.4594594603</v>
      </c>
      <c r="N395">
        <v>6805405.4054054059</v>
      </c>
      <c r="O395">
        <v>44448009.009009011</v>
      </c>
      <c r="P395">
        <v>47910639.639639638</v>
      </c>
      <c r="Q395">
        <v>5142522.5225225249</v>
      </c>
      <c r="R395">
        <v>9640540.5405405425</v>
      </c>
      <c r="S395">
        <v>6902</v>
      </c>
      <c r="T395">
        <v>7288</v>
      </c>
    </row>
    <row r="396" spans="1:20" x14ac:dyDescent="0.35">
      <c r="A396" s="7" t="s">
        <v>500</v>
      </c>
      <c r="B396" s="12" t="s">
        <v>332</v>
      </c>
      <c r="C396">
        <v>190660389.29630181</v>
      </c>
      <c r="D396">
        <v>179152304.46103629</v>
      </c>
      <c r="E396">
        <v>2594369.3693693732</v>
      </c>
      <c r="F396">
        <v>1238738.7387387401</v>
      </c>
      <c r="G396">
        <v>79</v>
      </c>
      <c r="H396">
        <v>67</v>
      </c>
      <c r="K396">
        <v>88</v>
      </c>
      <c r="L396">
        <v>91</v>
      </c>
      <c r="M396">
        <v>25239639.639639646</v>
      </c>
      <c r="N396">
        <v>17180900.9009009</v>
      </c>
      <c r="O396">
        <v>41196360.360360362</v>
      </c>
      <c r="P396">
        <v>44222036.036036029</v>
      </c>
      <c r="Q396">
        <v>25409009.009009011</v>
      </c>
      <c r="R396">
        <v>16143063.063063065</v>
      </c>
      <c r="S396">
        <v>8484</v>
      </c>
      <c r="T396">
        <v>8086</v>
      </c>
    </row>
    <row r="397" spans="1:20" x14ac:dyDescent="0.35">
      <c r="A397" s="7" t="s">
        <v>501</v>
      </c>
      <c r="B397" s="12" t="s">
        <v>332</v>
      </c>
      <c r="C397">
        <v>720002056.27460575</v>
      </c>
      <c r="D397">
        <v>706263001.46408844</v>
      </c>
      <c r="E397">
        <v>669390843.24324322</v>
      </c>
      <c r="F397">
        <v>13403365.765765769</v>
      </c>
      <c r="G397">
        <v>609</v>
      </c>
      <c r="H397">
        <v>369</v>
      </c>
      <c r="K397">
        <v>684</v>
      </c>
      <c r="L397">
        <v>424</v>
      </c>
      <c r="M397">
        <v>176471171.17117116</v>
      </c>
      <c r="N397">
        <v>251418861.26126128</v>
      </c>
      <c r="O397">
        <v>152908603.6036036</v>
      </c>
      <c r="P397">
        <v>152296324.32432431</v>
      </c>
      <c r="Q397">
        <v>124778468.46846846</v>
      </c>
      <c r="R397">
        <v>172296126.12612611</v>
      </c>
      <c r="S397">
        <v>27660</v>
      </c>
      <c r="T397">
        <v>26705</v>
      </c>
    </row>
    <row r="398" spans="1:20" x14ac:dyDescent="0.35">
      <c r="A398" s="7" t="s">
        <v>502</v>
      </c>
      <c r="B398" s="12" t="s">
        <v>332</v>
      </c>
      <c r="C398">
        <v>577452640.84802854</v>
      </c>
      <c r="D398">
        <v>578013446.26983464</v>
      </c>
      <c r="E398">
        <v>3431081.0810810891</v>
      </c>
      <c r="F398">
        <v>1897747.74774775</v>
      </c>
      <c r="G398">
        <v>233</v>
      </c>
      <c r="H398">
        <v>192</v>
      </c>
      <c r="I398">
        <v>1</v>
      </c>
      <c r="K398">
        <v>273</v>
      </c>
      <c r="L398">
        <v>235</v>
      </c>
      <c r="M398">
        <v>138966216.21621621</v>
      </c>
      <c r="N398">
        <v>66188738.738738738</v>
      </c>
      <c r="O398">
        <v>143189668.91891891</v>
      </c>
      <c r="P398">
        <v>152400200</v>
      </c>
      <c r="Q398">
        <v>60073243.24324324</v>
      </c>
      <c r="R398">
        <v>62368648.648648657</v>
      </c>
      <c r="S398">
        <v>25750</v>
      </c>
      <c r="T398">
        <v>26619</v>
      </c>
    </row>
    <row r="399" spans="1:20" x14ac:dyDescent="0.35">
      <c r="A399" s="7" t="s">
        <v>503</v>
      </c>
      <c r="B399" s="12" t="s">
        <v>144</v>
      </c>
      <c r="C399">
        <v>246388368.54323441</v>
      </c>
      <c r="D399">
        <v>255632778.3908318</v>
      </c>
      <c r="E399">
        <v>37829054.054054059</v>
      </c>
      <c r="F399">
        <v>24540540.540540542</v>
      </c>
      <c r="G399">
        <v>66</v>
      </c>
      <c r="H399">
        <v>37</v>
      </c>
      <c r="K399">
        <v>79</v>
      </c>
      <c r="L399">
        <v>52</v>
      </c>
      <c r="M399">
        <v>27712612.612612613</v>
      </c>
      <c r="N399">
        <v>16516216.21621622</v>
      </c>
      <c r="O399">
        <v>38814556.756756753</v>
      </c>
      <c r="P399">
        <v>46522639.639639638</v>
      </c>
      <c r="Q399">
        <v>15951441.441441435</v>
      </c>
      <c r="R399">
        <v>12641171.171171172</v>
      </c>
      <c r="S399">
        <v>8302</v>
      </c>
      <c r="T399">
        <v>8274</v>
      </c>
    </row>
    <row r="400" spans="1:20" x14ac:dyDescent="0.35">
      <c r="A400" s="7" t="s">
        <v>504</v>
      </c>
      <c r="B400" s="12" t="s">
        <v>222</v>
      </c>
      <c r="C400">
        <v>286234841.72456914</v>
      </c>
      <c r="D400">
        <v>308841981.17456037</v>
      </c>
      <c r="E400">
        <v>3141666.6666666749</v>
      </c>
      <c r="F400">
        <v>7367567.5675675701</v>
      </c>
      <c r="G400">
        <v>115</v>
      </c>
      <c r="H400">
        <v>129</v>
      </c>
      <c r="I400">
        <v>4</v>
      </c>
      <c r="K400">
        <v>150</v>
      </c>
      <c r="L400">
        <v>172</v>
      </c>
      <c r="M400">
        <v>145679009.00900903</v>
      </c>
      <c r="N400">
        <v>268131801.8018018</v>
      </c>
      <c r="O400">
        <v>87135157.657657668</v>
      </c>
      <c r="P400">
        <v>97105270.270270273</v>
      </c>
      <c r="Q400">
        <v>145551891.8918919</v>
      </c>
      <c r="R400">
        <v>231117477.47747746</v>
      </c>
      <c r="S400">
        <v>11223</v>
      </c>
      <c r="T400">
        <v>12260</v>
      </c>
    </row>
    <row r="401" spans="1:20" x14ac:dyDescent="0.35">
      <c r="A401" s="7" t="s">
        <v>505</v>
      </c>
      <c r="B401" s="12" t="s">
        <v>401</v>
      </c>
      <c r="C401">
        <v>823056179.80498493</v>
      </c>
      <c r="D401">
        <v>865238103.07181931</v>
      </c>
      <c r="E401">
        <v>6742805.4054054134</v>
      </c>
      <c r="F401">
        <v>185404681.08108109</v>
      </c>
      <c r="G401">
        <v>265</v>
      </c>
      <c r="H401">
        <v>132</v>
      </c>
      <c r="K401">
        <v>339</v>
      </c>
      <c r="L401">
        <v>180</v>
      </c>
      <c r="M401">
        <v>94501576.576576576</v>
      </c>
      <c r="N401">
        <v>95474099.099099085</v>
      </c>
      <c r="O401">
        <v>175139547.74774775</v>
      </c>
      <c r="P401">
        <v>192938527.92792794</v>
      </c>
      <c r="Q401">
        <v>84404279.279279277</v>
      </c>
      <c r="R401">
        <v>89866711.711711705</v>
      </c>
      <c r="S401">
        <v>26819</v>
      </c>
      <c r="T401">
        <v>27044</v>
      </c>
    </row>
    <row r="402" spans="1:20" x14ac:dyDescent="0.35">
      <c r="A402" s="7" t="s">
        <v>506</v>
      </c>
      <c r="B402" s="12" t="s">
        <v>71</v>
      </c>
      <c r="C402">
        <v>12446332.575203776</v>
      </c>
      <c r="D402">
        <v>12801192.500907</v>
      </c>
      <c r="E402">
        <v>136036.03603603601</v>
      </c>
      <c r="F402">
        <v>89639.639639640998</v>
      </c>
      <c r="G402">
        <v>3</v>
      </c>
      <c r="H402">
        <v>5</v>
      </c>
      <c r="K402">
        <v>4</v>
      </c>
      <c r="L402">
        <v>8</v>
      </c>
      <c r="M402">
        <v>411711.71171171201</v>
      </c>
      <c r="N402">
        <v>574324.32432432403</v>
      </c>
      <c r="O402">
        <v>8636207.2072072066</v>
      </c>
      <c r="P402">
        <v>9485180.1801801808</v>
      </c>
      <c r="Q402">
        <v>298918.91891891899</v>
      </c>
      <c r="R402">
        <v>496396.39639639598</v>
      </c>
      <c r="S402">
        <v>642</v>
      </c>
      <c r="T402">
        <v>700</v>
      </c>
    </row>
    <row r="403" spans="1:20" x14ac:dyDescent="0.35">
      <c r="A403" s="7" t="s">
        <v>507</v>
      </c>
      <c r="B403" s="12" t="s">
        <v>332</v>
      </c>
      <c r="C403">
        <v>344706493.83772653</v>
      </c>
      <c r="D403">
        <v>350768875.49086702</v>
      </c>
      <c r="E403">
        <v>2718693.6936936951</v>
      </c>
      <c r="F403">
        <v>54900000</v>
      </c>
      <c r="G403">
        <v>144</v>
      </c>
      <c r="H403">
        <v>92</v>
      </c>
      <c r="K403">
        <v>164</v>
      </c>
      <c r="L403">
        <v>127</v>
      </c>
      <c r="M403">
        <v>34448873.873873875</v>
      </c>
      <c r="N403">
        <v>44241666.666666664</v>
      </c>
      <c r="O403">
        <v>87972641.891891882</v>
      </c>
      <c r="P403">
        <v>91766538.738738731</v>
      </c>
      <c r="Q403">
        <v>31877927.927927926</v>
      </c>
      <c r="R403">
        <v>40238918.918918923</v>
      </c>
      <c r="S403">
        <v>16400</v>
      </c>
      <c r="T403">
        <v>16203</v>
      </c>
    </row>
    <row r="404" spans="1:20" x14ac:dyDescent="0.35">
      <c r="A404" s="7" t="s">
        <v>508</v>
      </c>
      <c r="B404" s="12" t="s">
        <v>285</v>
      </c>
      <c r="C404">
        <v>107280911.15763378</v>
      </c>
      <c r="D404">
        <v>119861768.08454441</v>
      </c>
      <c r="E404">
        <v>215315.31531531599</v>
      </c>
      <c r="F404">
        <v>1490090.0900900899</v>
      </c>
      <c r="G404">
        <v>17</v>
      </c>
      <c r="H404">
        <v>8</v>
      </c>
      <c r="K404">
        <v>18</v>
      </c>
      <c r="L404">
        <v>9</v>
      </c>
      <c r="M404">
        <v>10413513.513513517</v>
      </c>
      <c r="N404">
        <v>11418018.018018017</v>
      </c>
      <c r="O404">
        <v>19392738.738738742</v>
      </c>
      <c r="P404">
        <v>21817648.648648649</v>
      </c>
      <c r="Q404">
        <v>10780720.72072072</v>
      </c>
      <c r="R404">
        <v>10516576.576576576</v>
      </c>
      <c r="S404">
        <v>2999</v>
      </c>
      <c r="T404">
        <v>3094</v>
      </c>
    </row>
    <row r="405" spans="1:20" x14ac:dyDescent="0.35">
      <c r="A405" s="7" t="s">
        <v>509</v>
      </c>
      <c r="B405" s="12" t="s">
        <v>262</v>
      </c>
      <c r="C405">
        <v>63510677.826870739</v>
      </c>
      <c r="D405">
        <v>77785750.527029783</v>
      </c>
      <c r="E405">
        <v>40540.540540540998</v>
      </c>
      <c r="G405">
        <v>3</v>
      </c>
      <c r="H405">
        <v>9</v>
      </c>
      <c r="K405">
        <v>5</v>
      </c>
      <c r="L405">
        <v>12</v>
      </c>
      <c r="M405">
        <v>1842342.342342342</v>
      </c>
      <c r="N405">
        <v>2702702.702702703</v>
      </c>
      <c r="O405">
        <v>13505945.945945946</v>
      </c>
      <c r="P405">
        <v>21252016.216216218</v>
      </c>
      <c r="Q405">
        <v>1318018.0180180189</v>
      </c>
      <c r="R405">
        <v>3281531.5315315309</v>
      </c>
      <c r="S405">
        <v>2103</v>
      </c>
      <c r="T405">
        <v>2367</v>
      </c>
    </row>
    <row r="406" spans="1:20" x14ac:dyDescent="0.35">
      <c r="A406" s="7" t="s">
        <v>510</v>
      </c>
      <c r="B406" s="12" t="s">
        <v>238</v>
      </c>
      <c r="C406">
        <v>157073968.30357447</v>
      </c>
      <c r="D406">
        <v>164699152.58144253</v>
      </c>
      <c r="E406">
        <v>340990.99099099298</v>
      </c>
      <c r="F406">
        <v>1614414.414414427</v>
      </c>
      <c r="G406">
        <v>12</v>
      </c>
      <c r="H406">
        <v>56</v>
      </c>
      <c r="K406">
        <v>62</v>
      </c>
      <c r="L406">
        <v>146</v>
      </c>
      <c r="M406">
        <v>34355495.495495498</v>
      </c>
      <c r="N406">
        <v>25010810.810810812</v>
      </c>
      <c r="O406">
        <v>34421324.324324325</v>
      </c>
      <c r="P406">
        <v>38529657.657657653</v>
      </c>
      <c r="Q406">
        <v>33889099.0990991</v>
      </c>
      <c r="R406">
        <v>21984414.414414417</v>
      </c>
      <c r="S406">
        <v>4483</v>
      </c>
      <c r="T406">
        <v>4693</v>
      </c>
    </row>
    <row r="407" spans="1:20" x14ac:dyDescent="0.35">
      <c r="A407" s="7" t="s">
        <v>511</v>
      </c>
      <c r="B407" s="12" t="s">
        <v>135</v>
      </c>
      <c r="C407">
        <v>14799164.398457972</v>
      </c>
      <c r="D407">
        <v>27697687.63634361</v>
      </c>
      <c r="E407">
        <v>183941151.35135135</v>
      </c>
      <c r="F407">
        <v>193618390.99099097</v>
      </c>
      <c r="L407">
        <v>1</v>
      </c>
      <c r="M407">
        <v>35675675.675675675</v>
      </c>
      <c r="N407">
        <v>23789835.135135137</v>
      </c>
      <c r="O407">
        <v>2590846.8468468469</v>
      </c>
      <c r="P407">
        <v>4603720.7207207214</v>
      </c>
      <c r="S407">
        <v>1257</v>
      </c>
      <c r="T407">
        <v>1303</v>
      </c>
    </row>
    <row r="408" spans="1:20" x14ac:dyDescent="0.35">
      <c r="A408" s="7" t="s">
        <v>512</v>
      </c>
      <c r="B408" s="12" t="s">
        <v>401</v>
      </c>
      <c r="C408">
        <v>164690060.38939872</v>
      </c>
      <c r="D408">
        <v>175508533.31982717</v>
      </c>
      <c r="E408">
        <v>608108.10810810898</v>
      </c>
      <c r="F408">
        <v>28790540.540540542</v>
      </c>
      <c r="G408">
        <v>24</v>
      </c>
      <c r="H408">
        <v>36</v>
      </c>
      <c r="K408">
        <v>52</v>
      </c>
      <c r="L408">
        <v>43</v>
      </c>
      <c r="M408">
        <v>22972522.52252252</v>
      </c>
      <c r="N408">
        <v>19231981.981981985</v>
      </c>
      <c r="O408">
        <v>26372729.729729727</v>
      </c>
      <c r="P408">
        <v>27813063.063063063</v>
      </c>
      <c r="Q408">
        <v>19814954.954954956</v>
      </c>
      <c r="R408">
        <v>15852972.972972974</v>
      </c>
      <c r="S408">
        <v>4453</v>
      </c>
      <c r="T408">
        <v>4560</v>
      </c>
    </row>
    <row r="409" spans="1:20" x14ac:dyDescent="0.35">
      <c r="A409" s="7" t="s">
        <v>513</v>
      </c>
      <c r="B409" s="12" t="s">
        <v>135</v>
      </c>
      <c r="C409">
        <v>184311275.87450659</v>
      </c>
      <c r="D409">
        <v>203369855.38483939</v>
      </c>
      <c r="E409">
        <v>1052252.2522522551</v>
      </c>
      <c r="F409">
        <v>1127927.9279279311</v>
      </c>
      <c r="G409">
        <v>50</v>
      </c>
      <c r="H409">
        <v>42</v>
      </c>
      <c r="K409">
        <v>55</v>
      </c>
      <c r="L409">
        <v>46</v>
      </c>
      <c r="M409">
        <v>18624324.324324325</v>
      </c>
      <c r="N409">
        <v>19349549.54954955</v>
      </c>
      <c r="O409">
        <v>29745060.810810808</v>
      </c>
      <c r="P409">
        <v>34624360.360360362</v>
      </c>
      <c r="Q409">
        <v>15601621.62162162</v>
      </c>
      <c r="R409">
        <v>16200720.72072072</v>
      </c>
      <c r="S409">
        <v>5629</v>
      </c>
      <c r="T409">
        <v>5653</v>
      </c>
    </row>
    <row r="410" spans="1:20" x14ac:dyDescent="0.35">
      <c r="A410" s="7" t="s">
        <v>514</v>
      </c>
      <c r="B410" s="12" t="s">
        <v>135</v>
      </c>
      <c r="C410">
        <v>506881304.18263543</v>
      </c>
      <c r="D410">
        <v>534537522.75458491</v>
      </c>
      <c r="E410">
        <v>3068468.4684684789</v>
      </c>
      <c r="F410">
        <v>3158558.5585585618</v>
      </c>
      <c r="G410">
        <v>104</v>
      </c>
      <c r="H410">
        <v>93</v>
      </c>
      <c r="K410">
        <v>146</v>
      </c>
      <c r="L410">
        <v>119</v>
      </c>
      <c r="M410">
        <v>36954054.054054059</v>
      </c>
      <c r="N410">
        <v>46013063.063063063</v>
      </c>
      <c r="O410">
        <v>53170954.954954952</v>
      </c>
      <c r="P410">
        <v>61849018.018018015</v>
      </c>
      <c r="Q410">
        <v>35512342.342342347</v>
      </c>
      <c r="R410">
        <v>39010810.810810819</v>
      </c>
      <c r="S410">
        <v>16270</v>
      </c>
      <c r="T410">
        <v>16817</v>
      </c>
    </row>
    <row r="411" spans="1:20" x14ac:dyDescent="0.35">
      <c r="A411" s="7" t="s">
        <v>8</v>
      </c>
      <c r="B411" s="12" t="s">
        <v>159</v>
      </c>
      <c r="C411">
        <v>129223397.55215171</v>
      </c>
      <c r="D411">
        <v>137783007.18470979</v>
      </c>
      <c r="E411">
        <v>2511711.7117117131</v>
      </c>
      <c r="F411">
        <v>2648648.648648649</v>
      </c>
      <c r="G411">
        <v>5</v>
      </c>
      <c r="H411">
        <v>28</v>
      </c>
      <c r="K411">
        <v>6</v>
      </c>
      <c r="L411">
        <v>30</v>
      </c>
      <c r="M411">
        <v>20054954.954954956</v>
      </c>
      <c r="N411">
        <v>26245045.045045048</v>
      </c>
      <c r="O411">
        <v>38588054.054054059</v>
      </c>
      <c r="P411">
        <v>41954711.711711712</v>
      </c>
      <c r="Q411">
        <v>19127297.297297295</v>
      </c>
      <c r="R411">
        <v>23762342.342342343</v>
      </c>
      <c r="S411">
        <v>3594</v>
      </c>
      <c r="T411">
        <v>3781</v>
      </c>
    </row>
    <row r="412" spans="1:20" x14ac:dyDescent="0.35">
      <c r="A412" s="7" t="s">
        <v>515</v>
      </c>
      <c r="B412" s="12" t="s">
        <v>135</v>
      </c>
      <c r="C412">
        <v>96404405.355699345</v>
      </c>
      <c r="D412">
        <v>126100031.8166087</v>
      </c>
      <c r="E412">
        <v>328828.82882882899</v>
      </c>
      <c r="F412">
        <v>373873.87387387402</v>
      </c>
      <c r="G412">
        <v>6</v>
      </c>
      <c r="K412">
        <v>8</v>
      </c>
      <c r="M412">
        <v>5734234.2342342352</v>
      </c>
      <c r="N412">
        <v>8031531.5315315314</v>
      </c>
      <c r="O412">
        <v>14206684.684684685</v>
      </c>
      <c r="P412">
        <v>19412936.936936937</v>
      </c>
      <c r="Q412">
        <v>3112972.9729729728</v>
      </c>
      <c r="R412">
        <v>4600900.9009009022</v>
      </c>
      <c r="S412">
        <v>3969</v>
      </c>
      <c r="T412">
        <v>3689</v>
      </c>
    </row>
    <row r="413" spans="1:20" x14ac:dyDescent="0.35">
      <c r="A413" s="7" t="s">
        <v>516</v>
      </c>
      <c r="B413" s="12" t="s">
        <v>63</v>
      </c>
      <c r="C413">
        <v>422007405.56015897</v>
      </c>
      <c r="D413">
        <v>414488880.71438104</v>
      </c>
      <c r="E413">
        <v>2409009.009009013</v>
      </c>
      <c r="F413">
        <v>3063063.0630630618</v>
      </c>
      <c r="G413">
        <v>109</v>
      </c>
      <c r="H413">
        <v>45</v>
      </c>
      <c r="K413">
        <v>156</v>
      </c>
      <c r="L413">
        <v>59</v>
      </c>
      <c r="M413">
        <v>28131081.081081085</v>
      </c>
      <c r="N413">
        <v>22873513.513513517</v>
      </c>
      <c r="O413">
        <v>86181881.081081077</v>
      </c>
      <c r="P413">
        <v>91491277.477477476</v>
      </c>
      <c r="Q413">
        <v>25123423.423423428</v>
      </c>
      <c r="R413">
        <v>26412385.585585583</v>
      </c>
      <c r="S413">
        <v>15160</v>
      </c>
      <c r="T413">
        <v>14783</v>
      </c>
    </row>
    <row r="414" spans="1:20" x14ac:dyDescent="0.35">
      <c r="A414" s="7" t="s">
        <v>517</v>
      </c>
      <c r="B414" s="12" t="s">
        <v>118</v>
      </c>
      <c r="C414">
        <v>41404368.143628992</v>
      </c>
      <c r="D414">
        <v>37144442.377881661</v>
      </c>
      <c r="E414">
        <v>234234.234234234</v>
      </c>
      <c r="F414">
        <v>144144.14414414499</v>
      </c>
      <c r="G414">
        <v>23</v>
      </c>
      <c r="H414">
        <v>15</v>
      </c>
      <c r="K414">
        <v>24</v>
      </c>
      <c r="L414">
        <v>16</v>
      </c>
      <c r="M414">
        <v>1933423.423423423</v>
      </c>
      <c r="N414">
        <v>2364639.6396396402</v>
      </c>
      <c r="O414">
        <v>17665873.873873875</v>
      </c>
      <c r="P414">
        <v>17610306.306306306</v>
      </c>
      <c r="Q414">
        <v>1250540.540540542</v>
      </c>
      <c r="R414">
        <v>1475090.0900900911</v>
      </c>
      <c r="S414">
        <v>2082</v>
      </c>
      <c r="T414">
        <v>2024</v>
      </c>
    </row>
    <row r="415" spans="1:20" x14ac:dyDescent="0.35">
      <c r="A415" s="7" t="s">
        <v>518</v>
      </c>
      <c r="B415" s="12" t="s">
        <v>306</v>
      </c>
      <c r="C415">
        <v>78822121.211665407</v>
      </c>
      <c r="D415">
        <v>74792838.120058939</v>
      </c>
      <c r="E415">
        <v>509009.00900900998</v>
      </c>
      <c r="F415">
        <v>252252.25225225301</v>
      </c>
      <c r="G415">
        <v>41</v>
      </c>
      <c r="H415">
        <v>46</v>
      </c>
      <c r="I415">
        <v>2</v>
      </c>
      <c r="K415">
        <v>43</v>
      </c>
      <c r="L415">
        <v>55</v>
      </c>
      <c r="M415">
        <v>8413963.9639639631</v>
      </c>
      <c r="N415">
        <v>3318918.9189189179</v>
      </c>
      <c r="O415">
        <v>8212657.6576576587</v>
      </c>
      <c r="P415">
        <v>9547180.1801801808</v>
      </c>
      <c r="Q415">
        <v>9360090.0900900923</v>
      </c>
      <c r="R415">
        <v>3043153.1531531541</v>
      </c>
      <c r="S415">
        <v>1480</v>
      </c>
      <c r="T415">
        <v>1337</v>
      </c>
    </row>
    <row r="416" spans="1:20" x14ac:dyDescent="0.35">
      <c r="A416" s="7" t="s">
        <v>519</v>
      </c>
      <c r="B416" s="12" t="s">
        <v>306</v>
      </c>
      <c r="C416">
        <v>19706971.27804438</v>
      </c>
      <c r="D416">
        <v>26792942.694213632</v>
      </c>
      <c r="E416">
        <v>208108.10810810799</v>
      </c>
      <c r="F416">
        <v>261261.261261262</v>
      </c>
      <c r="G416">
        <v>5</v>
      </c>
      <c r="H416">
        <v>5</v>
      </c>
      <c r="K416">
        <v>5</v>
      </c>
      <c r="L416">
        <v>5</v>
      </c>
      <c r="M416">
        <v>2178378.3783783782</v>
      </c>
      <c r="N416">
        <v>4207207.2072072076</v>
      </c>
      <c r="O416">
        <v>3269648.648648649</v>
      </c>
      <c r="P416">
        <v>4582918.9189189188</v>
      </c>
      <c r="Q416">
        <v>2015315.3153153141</v>
      </c>
      <c r="R416">
        <v>2550810.8108108109</v>
      </c>
      <c r="S416">
        <v>594</v>
      </c>
      <c r="T416">
        <v>580</v>
      </c>
    </row>
    <row r="417" spans="1:20" x14ac:dyDescent="0.35">
      <c r="A417" s="7" t="s">
        <v>520</v>
      </c>
      <c r="B417" s="12" t="s">
        <v>306</v>
      </c>
      <c r="C417">
        <v>48328633.940373391</v>
      </c>
      <c r="D417">
        <v>49796810.323227458</v>
      </c>
      <c r="E417">
        <v>616216.21621621505</v>
      </c>
      <c r="F417">
        <v>40540.540540540998</v>
      </c>
      <c r="G417">
        <v>27</v>
      </c>
      <c r="H417">
        <v>13</v>
      </c>
      <c r="K417">
        <v>28</v>
      </c>
      <c r="L417">
        <v>18</v>
      </c>
      <c r="M417">
        <v>2668468.4684684682</v>
      </c>
      <c r="N417">
        <v>2923423.423423422</v>
      </c>
      <c r="O417">
        <v>7319270.2702702712</v>
      </c>
      <c r="P417">
        <v>6912108.1081081079</v>
      </c>
      <c r="Q417">
        <v>2484594.594594596</v>
      </c>
      <c r="R417">
        <v>2282432.4324324308</v>
      </c>
      <c r="S417">
        <v>1109</v>
      </c>
      <c r="T417">
        <v>1107</v>
      </c>
    </row>
    <row r="418" spans="1:20" x14ac:dyDescent="0.35">
      <c r="A418" s="7" t="s">
        <v>521</v>
      </c>
      <c r="B418" s="12" t="s">
        <v>306</v>
      </c>
      <c r="C418">
        <v>36438644.972522818</v>
      </c>
      <c r="D418">
        <v>36371732.864089176</v>
      </c>
      <c r="E418">
        <v>94594.594594594993</v>
      </c>
      <c r="G418">
        <v>13</v>
      </c>
      <c r="H418">
        <v>13</v>
      </c>
      <c r="K418">
        <v>14</v>
      </c>
      <c r="L418">
        <v>13</v>
      </c>
      <c r="M418">
        <v>950450.450450451</v>
      </c>
      <c r="N418">
        <v>1018018.018018018</v>
      </c>
      <c r="O418">
        <v>4948423.4234234234</v>
      </c>
      <c r="P418">
        <v>5705081.0810810821</v>
      </c>
      <c r="Q418">
        <v>613783.78378378297</v>
      </c>
      <c r="R418">
        <v>449099.099099099</v>
      </c>
      <c r="S418">
        <v>783</v>
      </c>
      <c r="T418">
        <v>859</v>
      </c>
    </row>
    <row r="419" spans="1:20" x14ac:dyDescent="0.35">
      <c r="A419" s="7" t="s">
        <v>522</v>
      </c>
      <c r="B419" s="12" t="s">
        <v>452</v>
      </c>
      <c r="C419">
        <v>36383986.562908635</v>
      </c>
      <c r="D419">
        <v>36898100.200118281</v>
      </c>
      <c r="E419">
        <v>246846.84684684701</v>
      </c>
      <c r="F419">
        <v>637837.83783783903</v>
      </c>
      <c r="G419">
        <v>7</v>
      </c>
      <c r="H419">
        <v>11</v>
      </c>
      <c r="K419">
        <v>9</v>
      </c>
      <c r="L419">
        <v>16</v>
      </c>
      <c r="M419">
        <v>1585135.1351351349</v>
      </c>
      <c r="N419">
        <v>48869639.639639638</v>
      </c>
      <c r="O419">
        <v>12371353.603603603</v>
      </c>
      <c r="P419">
        <v>12520261.26126126</v>
      </c>
      <c r="Q419">
        <v>2400270.2702702698</v>
      </c>
      <c r="R419">
        <v>49460270.270270273</v>
      </c>
      <c r="S419">
        <v>1708</v>
      </c>
      <c r="T419">
        <v>1669</v>
      </c>
    </row>
    <row r="420" spans="1:20" x14ac:dyDescent="0.35">
      <c r="A420" s="7" t="s">
        <v>523</v>
      </c>
      <c r="B420" s="12" t="s">
        <v>86</v>
      </c>
      <c r="C420">
        <v>114470383.92872801</v>
      </c>
      <c r="D420">
        <v>121327457.4695193</v>
      </c>
      <c r="E420">
        <v>936936.93693693797</v>
      </c>
      <c r="F420">
        <v>1391891.8918918951</v>
      </c>
      <c r="G420">
        <v>13</v>
      </c>
      <c r="H420">
        <v>6</v>
      </c>
      <c r="K420">
        <v>16</v>
      </c>
      <c r="L420">
        <v>8</v>
      </c>
      <c r="M420">
        <v>23360360.360360362</v>
      </c>
      <c r="N420">
        <v>40884774.774774775</v>
      </c>
      <c r="O420">
        <v>28769432.432432432</v>
      </c>
      <c r="P420">
        <v>36044117.117117122</v>
      </c>
      <c r="Q420">
        <v>21197881.081081081</v>
      </c>
      <c r="R420">
        <v>33599189.189189188</v>
      </c>
      <c r="S420">
        <v>6923</v>
      </c>
      <c r="T420">
        <v>4148</v>
      </c>
    </row>
    <row r="421" spans="1:20" x14ac:dyDescent="0.35">
      <c r="A421" s="7" t="s">
        <v>524</v>
      </c>
      <c r="B421" s="12" t="s">
        <v>306</v>
      </c>
      <c r="C421">
        <v>61587380.24931635</v>
      </c>
      <c r="D421">
        <v>63360400.433349915</v>
      </c>
      <c r="E421">
        <v>44144.144144143997</v>
      </c>
      <c r="G421">
        <v>10</v>
      </c>
      <c r="H421">
        <v>9</v>
      </c>
      <c r="K421">
        <v>10</v>
      </c>
      <c r="L421">
        <v>9</v>
      </c>
      <c r="M421">
        <v>4180180.1801801799</v>
      </c>
      <c r="N421">
        <v>3693693.6936936928</v>
      </c>
      <c r="O421">
        <v>9772594.594594596</v>
      </c>
      <c r="P421">
        <v>11468459.459459459</v>
      </c>
      <c r="Q421">
        <v>1930000</v>
      </c>
      <c r="R421">
        <v>2664954.9549549539</v>
      </c>
      <c r="S421">
        <v>1388</v>
      </c>
      <c r="T421">
        <v>1348</v>
      </c>
    </row>
    <row r="422" spans="1:20" x14ac:dyDescent="0.35">
      <c r="A422" s="7" t="s">
        <v>525</v>
      </c>
      <c r="B422" s="12" t="s">
        <v>403</v>
      </c>
      <c r="C422">
        <v>410020337.73093462</v>
      </c>
      <c r="D422">
        <v>428163044.61861461</v>
      </c>
      <c r="E422">
        <v>119517554.95495497</v>
      </c>
      <c r="F422">
        <v>56029500.900900915</v>
      </c>
      <c r="G422">
        <v>168</v>
      </c>
      <c r="H422">
        <v>51</v>
      </c>
      <c r="I422">
        <v>1</v>
      </c>
      <c r="K422">
        <v>443</v>
      </c>
      <c r="L422">
        <v>79</v>
      </c>
      <c r="M422">
        <v>85643243.243243247</v>
      </c>
      <c r="N422">
        <v>125561486.48648648</v>
      </c>
      <c r="O422">
        <v>102181891.89189188</v>
      </c>
      <c r="P422">
        <v>106338279.27927928</v>
      </c>
      <c r="Q422">
        <v>70050450.45045045</v>
      </c>
      <c r="R422">
        <v>66495538.738738738</v>
      </c>
      <c r="S422">
        <v>14399</v>
      </c>
      <c r="T422">
        <v>14367</v>
      </c>
    </row>
    <row r="423" spans="1:20" x14ac:dyDescent="0.35">
      <c r="A423" s="7" t="s">
        <v>526</v>
      </c>
      <c r="B423" s="12" t="s">
        <v>144</v>
      </c>
      <c r="C423">
        <v>115093168.27145153</v>
      </c>
      <c r="D423">
        <v>125169796.08158812</v>
      </c>
      <c r="E423">
        <v>243243.243243245</v>
      </c>
      <c r="F423">
        <v>324324.32432432403</v>
      </c>
      <c r="G423">
        <v>33</v>
      </c>
      <c r="H423">
        <v>7</v>
      </c>
      <c r="K423">
        <v>36</v>
      </c>
      <c r="L423">
        <v>8</v>
      </c>
      <c r="M423">
        <v>6549549.5495495489</v>
      </c>
      <c r="N423">
        <v>7081081.0810810821</v>
      </c>
      <c r="O423">
        <v>14532846.846846849</v>
      </c>
      <c r="P423">
        <v>16522818.018018018</v>
      </c>
      <c r="Q423">
        <v>5814504.5045045046</v>
      </c>
      <c r="R423">
        <v>5854684.6846846836</v>
      </c>
      <c r="S423">
        <v>2990</v>
      </c>
      <c r="T423">
        <v>3083</v>
      </c>
    </row>
    <row r="424" spans="1:20" x14ac:dyDescent="0.35">
      <c r="A424" s="7" t="s">
        <v>527</v>
      </c>
      <c r="B424" s="12" t="s">
        <v>67</v>
      </c>
      <c r="C424">
        <v>79167627.234334394</v>
      </c>
      <c r="D424">
        <v>74850042.219911158</v>
      </c>
      <c r="E424">
        <v>1366666.6666666691</v>
      </c>
      <c r="F424">
        <v>878378.37837837904</v>
      </c>
      <c r="G424">
        <v>16</v>
      </c>
      <c r="H424">
        <v>12</v>
      </c>
      <c r="K424">
        <v>22</v>
      </c>
      <c r="L424">
        <v>13</v>
      </c>
      <c r="M424">
        <v>56508648.648648649</v>
      </c>
      <c r="N424">
        <v>26326576.576576579</v>
      </c>
      <c r="O424">
        <v>37301729.729729727</v>
      </c>
      <c r="P424">
        <v>38368747.747747742</v>
      </c>
      <c r="Q424">
        <v>21867567.567567568</v>
      </c>
      <c r="R424">
        <v>14293783.783783784</v>
      </c>
      <c r="S424">
        <v>3770</v>
      </c>
      <c r="T424">
        <v>3655</v>
      </c>
    </row>
    <row r="425" spans="1:20" x14ac:dyDescent="0.35">
      <c r="A425" s="7" t="s">
        <v>669</v>
      </c>
      <c r="B425" s="12" t="s">
        <v>306</v>
      </c>
      <c r="E425">
        <v>87084001.801801801</v>
      </c>
      <c r="F425">
        <v>104109205.4054054</v>
      </c>
      <c r="M425">
        <v>44594.594594595001</v>
      </c>
      <c r="N425">
        <v>81081.081081081007</v>
      </c>
    </row>
    <row r="426" spans="1:20" x14ac:dyDescent="0.35">
      <c r="A426" s="7" t="s">
        <v>528</v>
      </c>
      <c r="B426" s="12" t="s">
        <v>222</v>
      </c>
      <c r="C426">
        <v>102556233.69358312</v>
      </c>
      <c r="D426">
        <v>106599478.07208131</v>
      </c>
      <c r="E426">
        <v>89495495.495495483</v>
      </c>
      <c r="F426">
        <v>52162162.162162162</v>
      </c>
      <c r="G426">
        <v>29</v>
      </c>
      <c r="H426">
        <v>23</v>
      </c>
      <c r="K426">
        <v>36</v>
      </c>
      <c r="L426">
        <v>26</v>
      </c>
      <c r="M426">
        <v>10758108.108108109</v>
      </c>
      <c r="N426">
        <v>6701801.8018018007</v>
      </c>
      <c r="O426">
        <v>24931837.837837841</v>
      </c>
      <c r="P426">
        <v>28221151.351351351</v>
      </c>
      <c r="Q426">
        <v>4549279.2792792786</v>
      </c>
      <c r="R426">
        <v>3766396.3963963971</v>
      </c>
      <c r="S426">
        <v>4324</v>
      </c>
      <c r="T426">
        <v>4416</v>
      </c>
    </row>
    <row r="427" spans="1:20" x14ac:dyDescent="0.35">
      <c r="A427" s="7" t="s">
        <v>529</v>
      </c>
      <c r="B427" s="12" t="s">
        <v>417</v>
      </c>
      <c r="C427">
        <v>1127203246.6730578</v>
      </c>
      <c r="D427">
        <v>1158749883.5143847</v>
      </c>
      <c r="E427">
        <v>204026954.05405408</v>
      </c>
      <c r="F427">
        <v>338653352.25225228</v>
      </c>
      <c r="G427">
        <v>180</v>
      </c>
      <c r="H427">
        <v>422</v>
      </c>
      <c r="I427">
        <v>1</v>
      </c>
      <c r="K427">
        <v>667</v>
      </c>
      <c r="L427">
        <v>656</v>
      </c>
      <c r="M427">
        <v>98400846.846846849</v>
      </c>
      <c r="N427">
        <v>120517477.47747748</v>
      </c>
      <c r="O427">
        <v>330403626.12612617</v>
      </c>
      <c r="P427">
        <v>365835471.17117119</v>
      </c>
      <c r="Q427">
        <v>92873963.963963971</v>
      </c>
      <c r="R427">
        <v>117687027.02702703</v>
      </c>
      <c r="S427">
        <v>31915</v>
      </c>
      <c r="T427">
        <v>33096</v>
      </c>
    </row>
    <row r="428" spans="1:20" x14ac:dyDescent="0.35">
      <c r="A428" s="7" t="s">
        <v>530</v>
      </c>
      <c r="B428" s="12" t="s">
        <v>417</v>
      </c>
      <c r="C428">
        <v>128800812.67961094</v>
      </c>
      <c r="D428">
        <v>134677124.26993388</v>
      </c>
      <c r="E428">
        <v>3305630.6306306319</v>
      </c>
      <c r="F428">
        <v>42531531.531531535</v>
      </c>
      <c r="G428">
        <v>25</v>
      </c>
      <c r="H428">
        <v>12</v>
      </c>
      <c r="K428">
        <v>30</v>
      </c>
      <c r="L428">
        <v>13</v>
      </c>
      <c r="M428">
        <v>11323921.621621624</v>
      </c>
      <c r="N428">
        <v>10172972.972972972</v>
      </c>
      <c r="O428">
        <v>41166081.081081077</v>
      </c>
      <c r="P428">
        <v>44930121.621621624</v>
      </c>
      <c r="Q428">
        <v>6518738.738738738</v>
      </c>
      <c r="R428">
        <v>6791261.261261262</v>
      </c>
      <c r="S428">
        <v>4993</v>
      </c>
      <c r="T428">
        <v>4440</v>
      </c>
    </row>
    <row r="429" spans="1:20" x14ac:dyDescent="0.35">
      <c r="A429" s="7" t="s">
        <v>531</v>
      </c>
      <c r="B429" s="12" t="s">
        <v>148</v>
      </c>
      <c r="C429">
        <v>268707987.86899453</v>
      </c>
      <c r="D429">
        <v>248486312.07465172</v>
      </c>
      <c r="E429">
        <v>4905630.6306306319</v>
      </c>
      <c r="F429">
        <v>4251351.3513513552</v>
      </c>
      <c r="G429">
        <v>62</v>
      </c>
      <c r="H429">
        <v>75</v>
      </c>
      <c r="K429">
        <v>198</v>
      </c>
      <c r="L429">
        <v>79</v>
      </c>
      <c r="M429">
        <v>63388510.810810804</v>
      </c>
      <c r="N429">
        <v>65314067.567567565</v>
      </c>
      <c r="O429">
        <v>93774169.369369373</v>
      </c>
      <c r="P429">
        <v>98092441.441441447</v>
      </c>
      <c r="Q429">
        <v>62048828.828828827</v>
      </c>
      <c r="R429">
        <v>64424774.774774775</v>
      </c>
      <c r="S429">
        <v>9736</v>
      </c>
      <c r="T429">
        <v>9994</v>
      </c>
    </row>
    <row r="430" spans="1:20" x14ac:dyDescent="0.35">
      <c r="A430" s="7" t="s">
        <v>532</v>
      </c>
      <c r="B430" s="12" t="s">
        <v>122</v>
      </c>
      <c r="C430">
        <v>29585356.730628904</v>
      </c>
      <c r="D430">
        <v>26667925.178254087</v>
      </c>
      <c r="E430">
        <v>315315.31531531602</v>
      </c>
      <c r="F430">
        <v>100900.90090090199</v>
      </c>
      <c r="G430">
        <v>19</v>
      </c>
      <c r="H430">
        <v>9</v>
      </c>
      <c r="K430">
        <v>20</v>
      </c>
      <c r="L430">
        <v>9</v>
      </c>
      <c r="M430">
        <v>2860360.3603603612</v>
      </c>
      <c r="N430">
        <v>1587387.3873873879</v>
      </c>
      <c r="O430">
        <v>3497986.4864864871</v>
      </c>
      <c r="P430">
        <v>3251702.702702703</v>
      </c>
      <c r="Q430">
        <v>2157477.4774774779</v>
      </c>
      <c r="R430">
        <v>2289729.7297297302</v>
      </c>
      <c r="S430">
        <v>969</v>
      </c>
      <c r="T430">
        <v>891</v>
      </c>
    </row>
    <row r="431" spans="1:20" x14ac:dyDescent="0.35">
      <c r="A431" s="7" t="s">
        <v>533</v>
      </c>
      <c r="B431" s="12" t="s">
        <v>452</v>
      </c>
      <c r="C431">
        <v>47839511.767747663</v>
      </c>
      <c r="D431">
        <v>72219670.186102003</v>
      </c>
      <c r="E431">
        <v>284684.68468468502</v>
      </c>
      <c r="F431">
        <v>147747.74774774801</v>
      </c>
      <c r="G431">
        <v>6</v>
      </c>
      <c r="H431">
        <v>13</v>
      </c>
      <c r="K431">
        <v>6</v>
      </c>
      <c r="L431">
        <v>15</v>
      </c>
      <c r="M431">
        <v>1759459.4594594589</v>
      </c>
      <c r="N431">
        <v>4548648.6486486504</v>
      </c>
      <c r="O431">
        <v>23315434.684684683</v>
      </c>
      <c r="P431">
        <v>34631882.882882886</v>
      </c>
      <c r="Q431">
        <v>3579729.7297297288</v>
      </c>
      <c r="R431">
        <v>4582612.6126126125</v>
      </c>
      <c r="S431">
        <v>2114</v>
      </c>
      <c r="T431">
        <v>2196</v>
      </c>
    </row>
    <row r="432" spans="1:20" x14ac:dyDescent="0.35">
      <c r="A432" s="7" t="s">
        <v>534</v>
      </c>
      <c r="B432" s="12" t="s">
        <v>452</v>
      </c>
      <c r="C432">
        <v>120938555.69274867</v>
      </c>
      <c r="D432">
        <v>132698741.91868843</v>
      </c>
      <c r="E432">
        <v>194658558.55855855</v>
      </c>
      <c r="F432">
        <v>26985585.585585587</v>
      </c>
      <c r="G432">
        <v>40</v>
      </c>
      <c r="H432">
        <v>39</v>
      </c>
      <c r="K432">
        <v>45</v>
      </c>
      <c r="L432">
        <v>45</v>
      </c>
      <c r="M432">
        <v>8443468.4684684686</v>
      </c>
      <c r="N432">
        <v>8356531.5315315314</v>
      </c>
      <c r="O432">
        <v>54539351.351351351</v>
      </c>
      <c r="P432">
        <v>64666459.459459454</v>
      </c>
      <c r="Q432">
        <v>5909279.2792792777</v>
      </c>
      <c r="R432">
        <v>7324909.9099099096</v>
      </c>
      <c r="S432">
        <v>5078</v>
      </c>
      <c r="T432">
        <v>5219</v>
      </c>
    </row>
    <row r="433" spans="1:20" x14ac:dyDescent="0.35">
      <c r="A433" s="7" t="s">
        <v>535</v>
      </c>
      <c r="B433" s="12" t="s">
        <v>124</v>
      </c>
      <c r="C433">
        <v>330669415.82322878</v>
      </c>
      <c r="D433">
        <v>342410205.35311955</v>
      </c>
      <c r="E433">
        <v>235344812.61261261</v>
      </c>
      <c r="F433">
        <v>174718925.22522521</v>
      </c>
      <c r="G433">
        <v>116</v>
      </c>
      <c r="H433">
        <v>176</v>
      </c>
      <c r="I433">
        <v>3</v>
      </c>
      <c r="K433">
        <v>161</v>
      </c>
      <c r="L433">
        <v>356</v>
      </c>
      <c r="M433">
        <v>90365045.045045033</v>
      </c>
      <c r="N433">
        <v>82020450.45045045</v>
      </c>
      <c r="O433">
        <v>114759962.16216215</v>
      </c>
      <c r="P433">
        <v>120550606.3063063</v>
      </c>
      <c r="Q433">
        <v>94591801.801801786</v>
      </c>
      <c r="R433">
        <v>85703063.063063055</v>
      </c>
      <c r="S433">
        <v>11185</v>
      </c>
      <c r="T433">
        <v>11225</v>
      </c>
    </row>
    <row r="434" spans="1:20" x14ac:dyDescent="0.35">
      <c r="A434" s="7" t="s">
        <v>536</v>
      </c>
      <c r="B434" s="12" t="s">
        <v>86</v>
      </c>
      <c r="C434">
        <v>98289520.014079943</v>
      </c>
      <c r="D434">
        <v>109825794.39471176</v>
      </c>
      <c r="E434">
        <v>229729.72972973101</v>
      </c>
      <c r="F434">
        <v>3081081.0810810812</v>
      </c>
      <c r="G434">
        <v>16</v>
      </c>
      <c r="H434">
        <v>5</v>
      </c>
      <c r="K434">
        <v>20</v>
      </c>
      <c r="L434">
        <v>7</v>
      </c>
      <c r="M434">
        <v>9825765.7657657675</v>
      </c>
      <c r="N434">
        <v>38600450.45045045</v>
      </c>
      <c r="O434">
        <v>21176981.981981985</v>
      </c>
      <c r="P434">
        <v>28706207.207207207</v>
      </c>
      <c r="Q434">
        <v>6499369.3693693699</v>
      </c>
      <c r="R434">
        <v>32548828.82882883</v>
      </c>
      <c r="S434">
        <v>3470</v>
      </c>
      <c r="T434">
        <v>4018</v>
      </c>
    </row>
    <row r="435" spans="1:20" x14ac:dyDescent="0.35">
      <c r="A435" s="7" t="s">
        <v>9</v>
      </c>
      <c r="B435" s="12" t="s">
        <v>159</v>
      </c>
      <c r="C435">
        <v>253714695.44089374</v>
      </c>
      <c r="D435">
        <v>248315440.82106227</v>
      </c>
      <c r="E435">
        <v>3145293.6936936979</v>
      </c>
      <c r="F435">
        <v>4921784.6846846873</v>
      </c>
      <c r="G435">
        <v>38</v>
      </c>
      <c r="H435">
        <v>65</v>
      </c>
      <c r="K435">
        <v>42</v>
      </c>
      <c r="L435">
        <v>83</v>
      </c>
      <c r="M435">
        <v>325739806.3063063</v>
      </c>
      <c r="N435">
        <v>353670793.6936937</v>
      </c>
      <c r="O435">
        <v>92749387.387387395</v>
      </c>
      <c r="P435">
        <v>91307754.954954967</v>
      </c>
      <c r="Q435">
        <v>265941981.98198199</v>
      </c>
      <c r="R435">
        <v>324187747.74774778</v>
      </c>
      <c r="S435">
        <v>7170</v>
      </c>
      <c r="T435">
        <v>7019</v>
      </c>
    </row>
    <row r="436" spans="1:20" x14ac:dyDescent="0.35">
      <c r="A436" s="7" t="s">
        <v>537</v>
      </c>
      <c r="B436" s="12" t="s">
        <v>95</v>
      </c>
      <c r="C436">
        <v>251048985.46655637</v>
      </c>
      <c r="D436">
        <v>270558865.19386983</v>
      </c>
      <c r="E436">
        <v>956756.75675676099</v>
      </c>
      <c r="F436">
        <v>554054.05405405804</v>
      </c>
      <c r="G436">
        <v>47</v>
      </c>
      <c r="H436">
        <v>61</v>
      </c>
      <c r="K436">
        <v>52</v>
      </c>
      <c r="L436">
        <v>69</v>
      </c>
      <c r="M436">
        <v>20641441.441441439</v>
      </c>
      <c r="N436">
        <v>29405405.40540541</v>
      </c>
      <c r="O436">
        <v>34140711.711711712</v>
      </c>
      <c r="P436">
        <v>40850005.40540541</v>
      </c>
      <c r="Q436">
        <v>15066306.306306308</v>
      </c>
      <c r="R436">
        <v>16940180.180180181</v>
      </c>
      <c r="S436">
        <v>6486</v>
      </c>
      <c r="T436">
        <v>6522</v>
      </c>
    </row>
    <row r="437" spans="1:20" x14ac:dyDescent="0.35">
      <c r="A437" s="7" t="s">
        <v>538</v>
      </c>
      <c r="B437" s="12" t="s">
        <v>306</v>
      </c>
      <c r="C437">
        <v>7283918.4688832182</v>
      </c>
      <c r="D437">
        <v>9222927.7921996415</v>
      </c>
      <c r="G437">
        <v>1</v>
      </c>
      <c r="H437">
        <v>5</v>
      </c>
      <c r="K437">
        <v>1</v>
      </c>
      <c r="L437">
        <v>5</v>
      </c>
      <c r="O437">
        <v>1131171.1711711709</v>
      </c>
      <c r="P437">
        <v>1007477.477477478</v>
      </c>
      <c r="S437">
        <v>408</v>
      </c>
      <c r="T437">
        <v>395</v>
      </c>
    </row>
    <row r="438" spans="1:20" x14ac:dyDescent="0.35">
      <c r="A438" s="7" t="s">
        <v>539</v>
      </c>
      <c r="B438" s="12" t="s">
        <v>306</v>
      </c>
      <c r="C438">
        <v>102725949.54094514</v>
      </c>
      <c r="D438">
        <v>100718561.39941104</v>
      </c>
      <c r="E438">
        <v>486486.48648648697</v>
      </c>
      <c r="F438">
        <v>1229729.7297297299</v>
      </c>
      <c r="G438">
        <v>9</v>
      </c>
      <c r="H438">
        <v>22</v>
      </c>
      <c r="K438">
        <v>12</v>
      </c>
      <c r="L438">
        <v>25</v>
      </c>
      <c r="M438">
        <v>8117117.1171171172</v>
      </c>
      <c r="N438">
        <v>9256756.7567567565</v>
      </c>
      <c r="O438">
        <v>9538558.5585585572</v>
      </c>
      <c r="P438">
        <v>8922963.9639639631</v>
      </c>
      <c r="Q438">
        <v>3192972.9729729709</v>
      </c>
      <c r="R438">
        <v>4575135.1351351347</v>
      </c>
      <c r="S438">
        <v>2671</v>
      </c>
      <c r="T438">
        <v>2746</v>
      </c>
    </row>
    <row r="439" spans="1:20" x14ac:dyDescent="0.35">
      <c r="A439" s="7" t="s">
        <v>540</v>
      </c>
      <c r="B439" s="12" t="s">
        <v>86</v>
      </c>
      <c r="C439">
        <v>86959873.996200204</v>
      </c>
      <c r="D439">
        <v>95557899.170616135</v>
      </c>
      <c r="E439">
        <v>520720.72072072199</v>
      </c>
      <c r="F439">
        <v>709009.00900901202</v>
      </c>
      <c r="G439">
        <v>37</v>
      </c>
      <c r="H439">
        <v>47</v>
      </c>
      <c r="I439">
        <v>4</v>
      </c>
      <c r="K439">
        <v>45</v>
      </c>
      <c r="L439">
        <v>104</v>
      </c>
      <c r="M439">
        <v>25767927.927927926</v>
      </c>
      <c r="N439">
        <v>36545225.225225225</v>
      </c>
      <c r="O439">
        <v>41237567.567567565</v>
      </c>
      <c r="P439">
        <v>47284234.234234229</v>
      </c>
      <c r="Q439">
        <v>24285405.40540541</v>
      </c>
      <c r="R439">
        <v>37535045.045045048</v>
      </c>
      <c r="S439">
        <v>2993</v>
      </c>
      <c r="T439">
        <v>3193</v>
      </c>
    </row>
    <row r="440" spans="1:20" x14ac:dyDescent="0.35">
      <c r="A440" s="7" t="s">
        <v>541</v>
      </c>
      <c r="B440" s="12" t="s">
        <v>452</v>
      </c>
      <c r="C440">
        <v>121903820.8899783</v>
      </c>
      <c r="D440">
        <v>116833760.01965244</v>
      </c>
      <c r="E440">
        <v>1181081.08108108</v>
      </c>
      <c r="F440">
        <v>233783.783783783</v>
      </c>
      <c r="G440">
        <v>89</v>
      </c>
      <c r="H440">
        <v>29</v>
      </c>
      <c r="I440">
        <v>2</v>
      </c>
      <c r="K440">
        <v>233</v>
      </c>
      <c r="L440">
        <v>32</v>
      </c>
      <c r="M440">
        <v>4933783.7837837832</v>
      </c>
      <c r="N440">
        <v>7211936.9369369363</v>
      </c>
      <c r="O440">
        <v>33928845.045045048</v>
      </c>
      <c r="P440">
        <v>36587981.981981985</v>
      </c>
      <c r="Q440">
        <v>5409909.9099099087</v>
      </c>
      <c r="R440">
        <v>6230675.6756756753</v>
      </c>
      <c r="S440">
        <v>5403</v>
      </c>
      <c r="T440">
        <v>5151</v>
      </c>
    </row>
    <row r="441" spans="1:20" x14ac:dyDescent="0.35">
      <c r="A441" s="7" t="s">
        <v>542</v>
      </c>
      <c r="B441" s="12" t="s">
        <v>118</v>
      </c>
      <c r="C441">
        <v>279677376.13450521</v>
      </c>
      <c r="D441">
        <v>268449234.24597198</v>
      </c>
      <c r="E441">
        <v>4543243.2432432538</v>
      </c>
      <c r="F441">
        <v>3703153.1531531569</v>
      </c>
      <c r="G441">
        <v>65</v>
      </c>
      <c r="H441">
        <v>66</v>
      </c>
      <c r="K441">
        <v>103</v>
      </c>
      <c r="L441">
        <v>79</v>
      </c>
      <c r="M441">
        <v>55775224.324324325</v>
      </c>
      <c r="N441">
        <v>47166162.162162162</v>
      </c>
      <c r="O441">
        <v>154027405.4054054</v>
      </c>
      <c r="P441">
        <v>153189396.3963964</v>
      </c>
      <c r="Q441">
        <v>45834234.234234229</v>
      </c>
      <c r="R441">
        <v>39035900.9009009</v>
      </c>
      <c r="S441">
        <v>11514</v>
      </c>
      <c r="T441">
        <v>11494</v>
      </c>
    </row>
    <row r="442" spans="1:20" x14ac:dyDescent="0.35">
      <c r="A442" s="7" t="s">
        <v>543</v>
      </c>
      <c r="B442" s="12" t="s">
        <v>84</v>
      </c>
      <c r="C442">
        <v>878055276.53433359</v>
      </c>
      <c r="D442">
        <v>875057107.44932163</v>
      </c>
      <c r="E442">
        <v>4461338.7387387399</v>
      </c>
      <c r="F442">
        <v>4085135.1351351389</v>
      </c>
      <c r="G442">
        <v>195</v>
      </c>
      <c r="H442">
        <v>97</v>
      </c>
      <c r="I442">
        <v>1</v>
      </c>
      <c r="K442">
        <v>224</v>
      </c>
      <c r="L442">
        <v>120</v>
      </c>
      <c r="M442">
        <v>48142423.423423424</v>
      </c>
      <c r="N442">
        <v>61527477.477477469</v>
      </c>
      <c r="O442">
        <v>94563985.135135129</v>
      </c>
      <c r="P442">
        <v>102589936.93693693</v>
      </c>
      <c r="Q442">
        <v>48707790.990990989</v>
      </c>
      <c r="R442">
        <v>50391891.891891897</v>
      </c>
      <c r="S442">
        <v>21801</v>
      </c>
      <c r="T442">
        <v>21752</v>
      </c>
    </row>
    <row r="443" spans="1:20" x14ac:dyDescent="0.35">
      <c r="A443" s="7" t="s">
        <v>544</v>
      </c>
      <c r="B443" s="12" t="s">
        <v>317</v>
      </c>
      <c r="C443">
        <v>107382689.03355712</v>
      </c>
      <c r="D443">
        <v>104998372.44016711</v>
      </c>
      <c r="E443">
        <v>1394819.8198198201</v>
      </c>
      <c r="F443">
        <v>1696396.3963963969</v>
      </c>
      <c r="G443">
        <v>17</v>
      </c>
      <c r="H443">
        <v>13</v>
      </c>
      <c r="K443">
        <v>18</v>
      </c>
      <c r="L443">
        <v>13</v>
      </c>
      <c r="M443">
        <v>7749099.0990990978</v>
      </c>
      <c r="N443">
        <v>14137837.837837836</v>
      </c>
      <c r="O443">
        <v>22684468.468468469</v>
      </c>
      <c r="P443">
        <v>21567369.369369369</v>
      </c>
      <c r="Q443">
        <v>6105405.4054054059</v>
      </c>
      <c r="R443">
        <v>13820900.9009009</v>
      </c>
      <c r="S443">
        <v>2501</v>
      </c>
      <c r="T443">
        <v>2651</v>
      </c>
    </row>
    <row r="444" spans="1:20" x14ac:dyDescent="0.35">
      <c r="A444" s="7" t="s">
        <v>545</v>
      </c>
      <c r="B444" s="12" t="s">
        <v>170</v>
      </c>
      <c r="C444">
        <v>727605661.91220951</v>
      </c>
      <c r="D444">
        <v>783351095.66144764</v>
      </c>
      <c r="E444">
        <v>1710810.8108108139</v>
      </c>
      <c r="F444">
        <v>1567567.567567568</v>
      </c>
      <c r="G444">
        <v>90</v>
      </c>
      <c r="H444">
        <v>95</v>
      </c>
      <c r="I444">
        <v>1</v>
      </c>
      <c r="K444">
        <v>143</v>
      </c>
      <c r="L444">
        <v>115</v>
      </c>
      <c r="M444">
        <v>42448896.396396391</v>
      </c>
      <c r="N444">
        <v>41885945.045045041</v>
      </c>
      <c r="O444">
        <v>272326862.61261261</v>
      </c>
      <c r="P444">
        <v>303764585.58558559</v>
      </c>
      <c r="Q444">
        <v>41715765.765765771</v>
      </c>
      <c r="R444">
        <v>41764594.59459459</v>
      </c>
      <c r="S444">
        <v>21899</v>
      </c>
      <c r="T444">
        <v>21468</v>
      </c>
    </row>
    <row r="445" spans="1:20" x14ac:dyDescent="0.35">
      <c r="A445" s="7" t="s">
        <v>546</v>
      </c>
      <c r="B445" s="12" t="s">
        <v>483</v>
      </c>
      <c r="C445">
        <v>230108338.46482059</v>
      </c>
      <c r="D445">
        <v>224504905.7827417</v>
      </c>
      <c r="E445">
        <v>81081.081081084005</v>
      </c>
      <c r="F445">
        <v>1180180.1801801799</v>
      </c>
      <c r="G445">
        <v>21</v>
      </c>
      <c r="H445">
        <v>14</v>
      </c>
      <c r="K445">
        <v>25</v>
      </c>
      <c r="L445">
        <v>17</v>
      </c>
      <c r="M445">
        <v>1000000.000000003</v>
      </c>
      <c r="N445">
        <v>2108108.1081081079</v>
      </c>
      <c r="O445">
        <v>29638990.990990993</v>
      </c>
      <c r="P445">
        <v>40927423.423423424</v>
      </c>
      <c r="Q445">
        <v>133063.063063062</v>
      </c>
      <c r="R445">
        <v>1359549.5495495501</v>
      </c>
      <c r="S445">
        <v>5438</v>
      </c>
      <c r="T445">
        <v>5463</v>
      </c>
    </row>
    <row r="446" spans="1:20" x14ac:dyDescent="0.35">
      <c r="A446" s="7" t="s">
        <v>547</v>
      </c>
      <c r="B446" s="12" t="s">
        <v>81</v>
      </c>
      <c r="C446">
        <v>53457283.556977756</v>
      </c>
      <c r="D446">
        <v>64294485.999538928</v>
      </c>
      <c r="E446">
        <v>254504.50450450601</v>
      </c>
      <c r="F446">
        <v>713513.51351351396</v>
      </c>
      <c r="G446">
        <v>17</v>
      </c>
      <c r="H446">
        <v>4</v>
      </c>
      <c r="K446">
        <v>23</v>
      </c>
      <c r="L446">
        <v>8</v>
      </c>
      <c r="M446">
        <v>5757657.6576576577</v>
      </c>
      <c r="N446">
        <v>6875675.6756756753</v>
      </c>
      <c r="O446">
        <v>20011423.423423424</v>
      </c>
      <c r="P446">
        <v>23490792.792792793</v>
      </c>
      <c r="Q446">
        <v>5479189.1891891891</v>
      </c>
      <c r="R446">
        <v>5212072.072072071</v>
      </c>
      <c r="S446">
        <v>2284</v>
      </c>
      <c r="T446">
        <v>2242</v>
      </c>
    </row>
    <row r="447" spans="1:20" x14ac:dyDescent="0.35">
      <c r="A447" s="7" t="s">
        <v>548</v>
      </c>
      <c r="B447" s="12" t="s">
        <v>170</v>
      </c>
      <c r="C447">
        <v>55182621.189757027</v>
      </c>
      <c r="D447">
        <v>88065460.203046277</v>
      </c>
      <c r="E447">
        <v>271171.17117117101</v>
      </c>
      <c r="F447">
        <v>456756.75675675698</v>
      </c>
      <c r="G447">
        <v>11</v>
      </c>
      <c r="K447">
        <v>11</v>
      </c>
      <c r="M447">
        <v>1172072.072072071</v>
      </c>
      <c r="N447">
        <v>456756.75675675698</v>
      </c>
      <c r="O447">
        <v>24749315.315315317</v>
      </c>
      <c r="P447">
        <v>31590117.117117114</v>
      </c>
      <c r="Q447">
        <v>382792.79279279202</v>
      </c>
      <c r="R447">
        <v>847657.65765765798</v>
      </c>
      <c r="S447">
        <v>2448</v>
      </c>
      <c r="T447">
        <v>2522</v>
      </c>
    </row>
    <row r="448" spans="1:20" x14ac:dyDescent="0.35">
      <c r="A448" s="7" t="s">
        <v>549</v>
      </c>
      <c r="B448" s="12" t="s">
        <v>226</v>
      </c>
      <c r="C448">
        <v>3282.9748894660001</v>
      </c>
      <c r="D448">
        <v>42299.457350493001</v>
      </c>
      <c r="P448">
        <v>6081.0810810809999</v>
      </c>
      <c r="S448">
        <v>300</v>
      </c>
    </row>
    <row r="449" spans="1:20" x14ac:dyDescent="0.35">
      <c r="A449" s="7" t="s">
        <v>550</v>
      </c>
      <c r="B449" s="12" t="s">
        <v>137</v>
      </c>
      <c r="C449">
        <v>150815855.24518207</v>
      </c>
      <c r="D449">
        <v>159718345.18476674</v>
      </c>
      <c r="E449">
        <v>13366666.666666668</v>
      </c>
      <c r="F449">
        <v>11399099.0990991</v>
      </c>
      <c r="G449">
        <v>49</v>
      </c>
      <c r="H449">
        <v>24</v>
      </c>
      <c r="K449">
        <v>56</v>
      </c>
      <c r="L449">
        <v>27</v>
      </c>
      <c r="M449">
        <v>34977477.477477476</v>
      </c>
      <c r="N449">
        <v>33894594.59459459</v>
      </c>
      <c r="O449">
        <v>49242367.567567565</v>
      </c>
      <c r="P449">
        <v>60661720.720720723</v>
      </c>
      <c r="Q449">
        <v>27060450.45045045</v>
      </c>
      <c r="R449">
        <v>25050450.450450446</v>
      </c>
      <c r="S449">
        <v>4404</v>
      </c>
      <c r="T449">
        <v>4496</v>
      </c>
    </row>
    <row r="450" spans="1:20" x14ac:dyDescent="0.35">
      <c r="A450" s="7" t="s">
        <v>551</v>
      </c>
      <c r="B450" s="12" t="s">
        <v>137</v>
      </c>
      <c r="C450">
        <v>288783888.26435643</v>
      </c>
      <c r="D450">
        <v>281568502.23089278</v>
      </c>
      <c r="E450">
        <v>221907718.01801801</v>
      </c>
      <c r="F450">
        <v>231752370.27027026</v>
      </c>
      <c r="G450">
        <v>145</v>
      </c>
      <c r="H450">
        <v>98</v>
      </c>
      <c r="I450">
        <v>6</v>
      </c>
      <c r="K450">
        <v>166</v>
      </c>
      <c r="L450">
        <v>124</v>
      </c>
      <c r="M450">
        <v>69440540.540540531</v>
      </c>
      <c r="N450">
        <v>60593693.69369369</v>
      </c>
      <c r="O450">
        <v>94052440.540540546</v>
      </c>
      <c r="P450">
        <v>97680360.360360354</v>
      </c>
      <c r="Q450">
        <v>60346165.765765771</v>
      </c>
      <c r="R450">
        <v>50220720.720720723</v>
      </c>
      <c r="S450">
        <v>12421</v>
      </c>
      <c r="T450">
        <v>12755</v>
      </c>
    </row>
    <row r="451" spans="1:20" x14ac:dyDescent="0.35">
      <c r="A451" s="7" t="s">
        <v>552</v>
      </c>
      <c r="B451" s="12" t="s">
        <v>137</v>
      </c>
      <c r="C451">
        <v>313361837.1785838</v>
      </c>
      <c r="D451">
        <v>335412535.18601745</v>
      </c>
      <c r="E451">
        <v>2137837.8378378381</v>
      </c>
      <c r="F451">
        <v>1282882.8828828819</v>
      </c>
      <c r="G451">
        <v>42</v>
      </c>
      <c r="H451">
        <v>75</v>
      </c>
      <c r="I451">
        <v>6</v>
      </c>
      <c r="K451">
        <v>49</v>
      </c>
      <c r="L451">
        <v>77</v>
      </c>
      <c r="M451">
        <v>13651351.351351349</v>
      </c>
      <c r="N451">
        <v>13264864.864864863</v>
      </c>
      <c r="O451">
        <v>52593367.567567565</v>
      </c>
      <c r="P451">
        <v>57100036.036036029</v>
      </c>
      <c r="Q451">
        <v>11957477.477477478</v>
      </c>
      <c r="R451">
        <v>10795405.405405404</v>
      </c>
      <c r="S451">
        <v>8571</v>
      </c>
      <c r="T451">
        <v>9119</v>
      </c>
    </row>
    <row r="452" spans="1:20" x14ac:dyDescent="0.35">
      <c r="A452" s="7" t="s">
        <v>553</v>
      </c>
      <c r="B452" s="12" t="s">
        <v>137</v>
      </c>
      <c r="C452">
        <v>128365236.02049167</v>
      </c>
      <c r="D452">
        <v>128704378.10645764</v>
      </c>
      <c r="E452">
        <v>135135.13513513701</v>
      </c>
      <c r="F452">
        <v>907207.20720720803</v>
      </c>
      <c r="G452">
        <v>19</v>
      </c>
      <c r="H452">
        <v>33</v>
      </c>
      <c r="K452">
        <v>22</v>
      </c>
      <c r="L452">
        <v>35</v>
      </c>
      <c r="M452">
        <v>11117117.117117116</v>
      </c>
      <c r="N452">
        <v>9105405.405405404</v>
      </c>
      <c r="O452">
        <v>21634297.297297295</v>
      </c>
      <c r="P452">
        <v>25270774.774774775</v>
      </c>
      <c r="Q452">
        <v>8291801.8018018007</v>
      </c>
      <c r="R452">
        <v>7831621.6216216218</v>
      </c>
      <c r="S452">
        <v>3833</v>
      </c>
      <c r="T452">
        <v>3772</v>
      </c>
    </row>
    <row r="453" spans="1:20" x14ac:dyDescent="0.35">
      <c r="A453" s="7" t="s">
        <v>554</v>
      </c>
      <c r="B453" s="12" t="s">
        <v>88</v>
      </c>
      <c r="C453">
        <v>51839461.012803741</v>
      </c>
      <c r="D453">
        <v>55002054.615774974</v>
      </c>
      <c r="E453">
        <v>89189.189189188997</v>
      </c>
      <c r="F453">
        <v>13513.513513514001</v>
      </c>
      <c r="G453">
        <v>20</v>
      </c>
      <c r="H453">
        <v>12</v>
      </c>
      <c r="K453">
        <v>23</v>
      </c>
      <c r="L453">
        <v>14</v>
      </c>
      <c r="M453">
        <v>3018018.018018018</v>
      </c>
      <c r="N453">
        <v>2819819.8198198192</v>
      </c>
      <c r="O453">
        <v>8029720.7207207214</v>
      </c>
      <c r="P453">
        <v>9406207.2072072085</v>
      </c>
      <c r="Q453">
        <v>2941171.1711711702</v>
      </c>
      <c r="R453">
        <v>2186846.8468468469</v>
      </c>
      <c r="S453">
        <v>1420</v>
      </c>
      <c r="T453">
        <v>1386</v>
      </c>
    </row>
    <row r="454" spans="1:20" x14ac:dyDescent="0.35">
      <c r="A454" s="7" t="s">
        <v>555</v>
      </c>
      <c r="B454" s="12" t="s">
        <v>88</v>
      </c>
      <c r="C454">
        <v>80624741.59632282</v>
      </c>
      <c r="D454">
        <v>84540313.66762045</v>
      </c>
      <c r="E454">
        <v>211711.711711713</v>
      </c>
      <c r="F454">
        <v>355855.85585585702</v>
      </c>
      <c r="G454">
        <v>36</v>
      </c>
      <c r="H454">
        <v>31</v>
      </c>
      <c r="K454">
        <v>42</v>
      </c>
      <c r="L454">
        <v>36</v>
      </c>
      <c r="M454">
        <v>3514414.4144144151</v>
      </c>
      <c r="N454">
        <v>4905405.4054054068</v>
      </c>
      <c r="O454">
        <v>9186700.9009009004</v>
      </c>
      <c r="P454">
        <v>13753585.585585585</v>
      </c>
      <c r="Q454">
        <v>3035315.315315315</v>
      </c>
      <c r="R454">
        <v>6538378.3783783792</v>
      </c>
      <c r="S454">
        <v>2458</v>
      </c>
      <c r="T454">
        <v>2657</v>
      </c>
    </row>
    <row r="455" spans="1:20" x14ac:dyDescent="0.35">
      <c r="A455" s="7" t="s">
        <v>556</v>
      </c>
      <c r="B455" s="12" t="s">
        <v>67</v>
      </c>
      <c r="C455">
        <v>157055198.56624317</v>
      </c>
      <c r="D455">
        <v>169841298.00049618</v>
      </c>
      <c r="E455">
        <v>2990090.0900900918</v>
      </c>
      <c r="F455">
        <v>3707657.6576576638</v>
      </c>
      <c r="G455">
        <v>47</v>
      </c>
      <c r="H455">
        <v>34</v>
      </c>
      <c r="I455">
        <v>1</v>
      </c>
      <c r="K455">
        <v>55</v>
      </c>
      <c r="L455">
        <v>49</v>
      </c>
      <c r="M455">
        <v>178410090.09009007</v>
      </c>
      <c r="N455">
        <v>179493783.78378376</v>
      </c>
      <c r="O455">
        <v>65520704.954954952</v>
      </c>
      <c r="P455">
        <v>71531297.297297299</v>
      </c>
      <c r="Q455">
        <v>72833243.243243232</v>
      </c>
      <c r="R455">
        <v>50979729.729729727</v>
      </c>
      <c r="S455">
        <v>8908</v>
      </c>
      <c r="T455">
        <v>9389</v>
      </c>
    </row>
    <row r="456" spans="1:20" x14ac:dyDescent="0.35">
      <c r="A456" s="7" t="s">
        <v>557</v>
      </c>
      <c r="B456" s="12" t="s">
        <v>558</v>
      </c>
      <c r="C456">
        <v>314354047.10729057</v>
      </c>
      <c r="D456">
        <v>321980500.14604819</v>
      </c>
      <c r="E456">
        <v>4678828.8288288293</v>
      </c>
      <c r="F456">
        <v>6895045.045045048</v>
      </c>
      <c r="G456">
        <v>47</v>
      </c>
      <c r="H456">
        <v>23</v>
      </c>
      <c r="I456">
        <v>5</v>
      </c>
      <c r="K456">
        <v>64</v>
      </c>
      <c r="L456">
        <v>31</v>
      </c>
      <c r="M456">
        <v>111452252.25225225</v>
      </c>
      <c r="N456">
        <v>125427927.92792793</v>
      </c>
      <c r="O456">
        <v>85998378.378378391</v>
      </c>
      <c r="P456">
        <v>102242774.77477477</v>
      </c>
      <c r="Q456">
        <v>107831531.53153154</v>
      </c>
      <c r="R456">
        <v>113565585.58558558</v>
      </c>
      <c r="S456">
        <v>9529</v>
      </c>
      <c r="T456">
        <v>9164</v>
      </c>
    </row>
    <row r="457" spans="1:20" x14ac:dyDescent="0.35">
      <c r="A457" s="7" t="s">
        <v>559</v>
      </c>
      <c r="B457" s="12" t="s">
        <v>558</v>
      </c>
      <c r="C457">
        <v>48112684.211671792</v>
      </c>
      <c r="D457">
        <v>51358876.684479721</v>
      </c>
      <c r="E457">
        <v>110334972.97297297</v>
      </c>
      <c r="F457">
        <v>109281460.36036037</v>
      </c>
      <c r="G457">
        <v>14</v>
      </c>
      <c r="H457">
        <v>6</v>
      </c>
      <c r="K457">
        <v>15</v>
      </c>
      <c r="L457">
        <v>10</v>
      </c>
      <c r="M457">
        <v>9995495.4954954963</v>
      </c>
      <c r="N457">
        <v>12560360.36036036</v>
      </c>
      <c r="O457">
        <v>17423594.594594598</v>
      </c>
      <c r="P457">
        <v>21014810.810810808</v>
      </c>
      <c r="Q457">
        <v>5753063.0630630618</v>
      </c>
      <c r="R457">
        <v>3393063.0630630632</v>
      </c>
      <c r="S457">
        <v>1267</v>
      </c>
      <c r="T457">
        <v>1588</v>
      </c>
    </row>
    <row r="458" spans="1:20" x14ac:dyDescent="0.35">
      <c r="A458" s="7" t="s">
        <v>560</v>
      </c>
      <c r="B458" s="12" t="s">
        <v>122</v>
      </c>
      <c r="C458">
        <v>37632098.04320325</v>
      </c>
      <c r="D458">
        <v>39209886.343886487</v>
      </c>
      <c r="E458">
        <v>180180.18018018</v>
      </c>
      <c r="F458">
        <v>67567.567567567996</v>
      </c>
      <c r="G458">
        <v>15</v>
      </c>
      <c r="H458">
        <v>18</v>
      </c>
      <c r="K458">
        <v>18</v>
      </c>
      <c r="L458">
        <v>21</v>
      </c>
      <c r="M458">
        <v>180180.18018018</v>
      </c>
      <c r="N458">
        <v>67567.567567567996</v>
      </c>
      <c r="O458">
        <v>3539900.9009008999</v>
      </c>
      <c r="P458">
        <v>4966081.0810810812</v>
      </c>
      <c r="Q458">
        <v>118918.91891891899</v>
      </c>
      <c r="R458">
        <v>105405.405405406</v>
      </c>
      <c r="S458">
        <v>1324</v>
      </c>
      <c r="T458">
        <v>1426</v>
      </c>
    </row>
    <row r="459" spans="1:20" x14ac:dyDescent="0.35">
      <c r="A459" s="7" t="s">
        <v>561</v>
      </c>
      <c r="B459" s="12" t="s">
        <v>71</v>
      </c>
      <c r="C459">
        <v>295878038.49653339</v>
      </c>
      <c r="D459">
        <v>295832125.71084607</v>
      </c>
      <c r="E459">
        <v>79445045.045045063</v>
      </c>
      <c r="F459">
        <v>25227027.027027026</v>
      </c>
      <c r="G459">
        <v>70</v>
      </c>
      <c r="H459">
        <v>50</v>
      </c>
      <c r="I459">
        <v>1</v>
      </c>
      <c r="K459">
        <v>78</v>
      </c>
      <c r="L459">
        <v>70</v>
      </c>
      <c r="M459">
        <v>62169594.594594598</v>
      </c>
      <c r="N459">
        <v>95746846.846846849</v>
      </c>
      <c r="O459">
        <v>123498468.46846846</v>
      </c>
      <c r="P459">
        <v>123603009.009009</v>
      </c>
      <c r="Q459">
        <v>35128558.558558561</v>
      </c>
      <c r="R459">
        <v>66372252.252252258</v>
      </c>
      <c r="S459">
        <v>10789</v>
      </c>
      <c r="T459">
        <v>10979</v>
      </c>
    </row>
    <row r="460" spans="1:20" x14ac:dyDescent="0.35">
      <c r="A460" s="7" t="s">
        <v>562</v>
      </c>
      <c r="B460" s="12" t="s">
        <v>63</v>
      </c>
      <c r="C460">
        <v>536398508.72918957</v>
      </c>
      <c r="D460">
        <v>543132185.85922205</v>
      </c>
      <c r="E460">
        <v>8567734.2342342362</v>
      </c>
      <c r="F460">
        <v>6280180.1801801808</v>
      </c>
      <c r="G460">
        <v>162</v>
      </c>
      <c r="H460">
        <v>150</v>
      </c>
      <c r="K460">
        <v>268</v>
      </c>
      <c r="L460">
        <v>603</v>
      </c>
      <c r="M460">
        <v>72528828.828828827</v>
      </c>
      <c r="N460">
        <v>66255135.135135137</v>
      </c>
      <c r="O460">
        <v>121886157.65765767</v>
      </c>
      <c r="P460">
        <v>140237344.14414415</v>
      </c>
      <c r="Q460">
        <v>69546216.216216221</v>
      </c>
      <c r="R460">
        <v>72237207.207207203</v>
      </c>
      <c r="S460">
        <v>18059</v>
      </c>
      <c r="T460">
        <v>19149</v>
      </c>
    </row>
    <row r="461" spans="1:20" x14ac:dyDescent="0.35">
      <c r="A461" s="7" t="s">
        <v>563</v>
      </c>
      <c r="B461" s="12" t="s">
        <v>483</v>
      </c>
      <c r="C461">
        <v>247526486.20234624</v>
      </c>
      <c r="D461">
        <v>257585116.44018164</v>
      </c>
      <c r="E461">
        <v>89322930.630630642</v>
      </c>
      <c r="F461">
        <v>145002100</v>
      </c>
      <c r="G461">
        <v>80</v>
      </c>
      <c r="H461">
        <v>38</v>
      </c>
      <c r="I461">
        <v>1</v>
      </c>
      <c r="K461">
        <v>98</v>
      </c>
      <c r="L461">
        <v>56</v>
      </c>
      <c r="M461">
        <v>29630518.918918919</v>
      </c>
      <c r="N461">
        <v>34242792.79279279</v>
      </c>
      <c r="O461">
        <v>74581331.531531543</v>
      </c>
      <c r="P461">
        <v>79352909.909909904</v>
      </c>
      <c r="Q461">
        <v>28963513.513513513</v>
      </c>
      <c r="R461">
        <v>35563063.063063063</v>
      </c>
      <c r="S461">
        <v>7833</v>
      </c>
      <c r="T461">
        <v>9467</v>
      </c>
    </row>
    <row r="462" spans="1:20" x14ac:dyDescent="0.35">
      <c r="A462" s="7" t="s">
        <v>564</v>
      </c>
      <c r="B462" s="12" t="s">
        <v>238</v>
      </c>
      <c r="C462">
        <v>42362987.965859473</v>
      </c>
      <c r="D462">
        <v>47741706.755460478</v>
      </c>
      <c r="E462">
        <v>106150582.88288288</v>
      </c>
      <c r="F462">
        <v>70336027.927927926</v>
      </c>
      <c r="G462">
        <v>14</v>
      </c>
      <c r="H462">
        <v>14</v>
      </c>
      <c r="K462">
        <v>16</v>
      </c>
      <c r="L462">
        <v>16</v>
      </c>
      <c r="M462">
        <v>26091846.846846849</v>
      </c>
      <c r="N462">
        <v>14996396.396396397</v>
      </c>
      <c r="O462">
        <v>14961297.297297299</v>
      </c>
      <c r="P462">
        <v>18824189.189189188</v>
      </c>
      <c r="Q462">
        <v>3333423.423423423</v>
      </c>
      <c r="R462">
        <v>1658018.018018018</v>
      </c>
      <c r="S462">
        <v>2120</v>
      </c>
      <c r="T462">
        <v>2584</v>
      </c>
    </row>
    <row r="463" spans="1:20" x14ac:dyDescent="0.35">
      <c r="A463" s="7" t="s">
        <v>565</v>
      </c>
      <c r="B463" s="12" t="s">
        <v>61</v>
      </c>
      <c r="C463">
        <v>41341915.376301214</v>
      </c>
      <c r="D463">
        <v>41517866.523724087</v>
      </c>
      <c r="E463">
        <v>1089189.189189187</v>
      </c>
      <c r="F463">
        <v>604504.50450450601</v>
      </c>
      <c r="G463">
        <v>16</v>
      </c>
      <c r="H463">
        <v>24</v>
      </c>
      <c r="K463">
        <v>31</v>
      </c>
      <c r="L463">
        <v>46</v>
      </c>
      <c r="M463">
        <v>11918018.01801802</v>
      </c>
      <c r="N463">
        <v>9667567.5675675683</v>
      </c>
      <c r="O463">
        <v>15404522.522522524</v>
      </c>
      <c r="P463">
        <v>14553603.603603603</v>
      </c>
      <c r="Q463">
        <v>11453693.693693692</v>
      </c>
      <c r="R463">
        <v>8692522.5225225221</v>
      </c>
      <c r="S463">
        <v>1276</v>
      </c>
      <c r="T463">
        <v>1192</v>
      </c>
    </row>
    <row r="464" spans="1:20" x14ac:dyDescent="0.35">
      <c r="A464" s="7" t="s">
        <v>566</v>
      </c>
      <c r="B464" s="12" t="s">
        <v>567</v>
      </c>
      <c r="C464">
        <v>226492053.71478695</v>
      </c>
      <c r="D464">
        <v>256643291.48014656</v>
      </c>
      <c r="E464">
        <v>457247396.3963964</v>
      </c>
      <c r="F464">
        <v>168461231.53153151</v>
      </c>
      <c r="G464">
        <v>140</v>
      </c>
      <c r="H464">
        <v>177</v>
      </c>
      <c r="I464">
        <v>3</v>
      </c>
      <c r="K464">
        <v>484</v>
      </c>
      <c r="L464">
        <v>340</v>
      </c>
      <c r="M464">
        <v>370872536.93693697</v>
      </c>
      <c r="N464">
        <v>133893605.4054054</v>
      </c>
      <c r="O464">
        <v>97162333.333333328</v>
      </c>
      <c r="P464">
        <v>114602621.62162161</v>
      </c>
      <c r="Q464">
        <v>177114753.15315315</v>
      </c>
      <c r="R464">
        <v>223536259.45945945</v>
      </c>
      <c r="S464">
        <v>8782</v>
      </c>
      <c r="T464">
        <v>8406</v>
      </c>
    </row>
    <row r="465" spans="1:20" x14ac:dyDescent="0.35">
      <c r="A465" s="7" t="s">
        <v>568</v>
      </c>
      <c r="B465" s="12" t="s">
        <v>567</v>
      </c>
      <c r="C465">
        <v>304932792.09443992</v>
      </c>
      <c r="D465">
        <v>351317057.39765012</v>
      </c>
      <c r="E465">
        <v>2649549.549549554</v>
      </c>
      <c r="F465">
        <v>3213513.5135135199</v>
      </c>
      <c r="G465">
        <v>119</v>
      </c>
      <c r="H465">
        <v>69</v>
      </c>
      <c r="K465">
        <v>132</v>
      </c>
      <c r="L465">
        <v>187</v>
      </c>
      <c r="M465">
        <v>23214145.945945945</v>
      </c>
      <c r="N465">
        <v>38927702.702702701</v>
      </c>
      <c r="O465">
        <v>125863144.14414415</v>
      </c>
      <c r="P465">
        <v>149177558.55855855</v>
      </c>
      <c r="Q465">
        <v>24347207.207207207</v>
      </c>
      <c r="R465">
        <v>35349954.954954952</v>
      </c>
      <c r="S465">
        <v>12085</v>
      </c>
      <c r="T465">
        <v>12641</v>
      </c>
    </row>
    <row r="466" spans="1:20" x14ac:dyDescent="0.35">
      <c r="A466" s="7" t="s">
        <v>569</v>
      </c>
      <c r="B466" s="12" t="s">
        <v>567</v>
      </c>
      <c r="C466">
        <v>224972483.94739366</v>
      </c>
      <c r="D466">
        <v>249329582.94105026</v>
      </c>
      <c r="E466">
        <v>3375007.207207209</v>
      </c>
      <c r="F466">
        <v>1526838.7387387389</v>
      </c>
      <c r="G466">
        <v>203</v>
      </c>
      <c r="H466">
        <v>105</v>
      </c>
      <c r="K466">
        <v>324</v>
      </c>
      <c r="L466">
        <v>166</v>
      </c>
      <c r="M466">
        <v>27974910.810810812</v>
      </c>
      <c r="N466">
        <v>38009370.270270273</v>
      </c>
      <c r="O466">
        <v>103007432.43243243</v>
      </c>
      <c r="P466">
        <v>117416234.23423424</v>
      </c>
      <c r="Q466">
        <v>24247297.297297299</v>
      </c>
      <c r="R466">
        <v>37073153.153153151</v>
      </c>
      <c r="S466">
        <v>11556</v>
      </c>
      <c r="T466">
        <v>11658</v>
      </c>
    </row>
    <row r="467" spans="1:20" x14ac:dyDescent="0.35">
      <c r="A467" s="7" t="s">
        <v>570</v>
      </c>
      <c r="B467" s="12" t="s">
        <v>567</v>
      </c>
      <c r="C467">
        <v>146798178.0646137</v>
      </c>
      <c r="D467">
        <v>159540962.16331017</v>
      </c>
      <c r="E467">
        <v>1947747.747747753</v>
      </c>
      <c r="F467">
        <v>2761261.261261262</v>
      </c>
      <c r="G467">
        <v>13</v>
      </c>
      <c r="H467">
        <v>16</v>
      </c>
      <c r="K467">
        <v>19</v>
      </c>
      <c r="L467">
        <v>18</v>
      </c>
      <c r="M467">
        <v>24738349.54954955</v>
      </c>
      <c r="N467">
        <v>36521396.396396399</v>
      </c>
      <c r="O467">
        <v>86817621.621621609</v>
      </c>
      <c r="P467">
        <v>89935072.072072059</v>
      </c>
      <c r="Q467">
        <v>18027747.747747753</v>
      </c>
      <c r="R467">
        <v>38166531.531531535</v>
      </c>
      <c r="S467">
        <v>6548</v>
      </c>
      <c r="T467">
        <v>6455</v>
      </c>
    </row>
    <row r="468" spans="1:20" x14ac:dyDescent="0.35">
      <c r="A468" s="7" t="s">
        <v>571</v>
      </c>
      <c r="B468" s="12" t="s">
        <v>567</v>
      </c>
      <c r="C468">
        <v>87230723.206329897</v>
      </c>
      <c r="D468">
        <v>91434319.611363053</v>
      </c>
      <c r="E468">
        <v>36323423.423423424</v>
      </c>
      <c r="F468">
        <v>90648648.648648649</v>
      </c>
      <c r="G468">
        <v>23</v>
      </c>
      <c r="H468">
        <v>27</v>
      </c>
      <c r="I468">
        <v>2</v>
      </c>
      <c r="K468">
        <v>28</v>
      </c>
      <c r="L468">
        <v>29</v>
      </c>
      <c r="M468">
        <v>32926749.54954955</v>
      </c>
      <c r="N468">
        <v>32004729.729729727</v>
      </c>
      <c r="O468">
        <v>36177387.387387395</v>
      </c>
      <c r="P468">
        <v>41220531.531531528</v>
      </c>
      <c r="Q468">
        <v>12271891.891891891</v>
      </c>
      <c r="R468">
        <v>26444909.909909911</v>
      </c>
      <c r="S468">
        <v>4665</v>
      </c>
      <c r="T468">
        <v>4975</v>
      </c>
    </row>
    <row r="469" spans="1:20" x14ac:dyDescent="0.35">
      <c r="A469" s="7" t="s">
        <v>572</v>
      </c>
      <c r="B469" s="12" t="s">
        <v>49</v>
      </c>
      <c r="C469">
        <v>193827911.90873286</v>
      </c>
      <c r="D469">
        <v>221428988.67706957</v>
      </c>
      <c r="E469">
        <v>469369.369369369</v>
      </c>
      <c r="F469">
        <v>460360.36036036001</v>
      </c>
      <c r="G469">
        <v>4</v>
      </c>
      <c r="H469">
        <v>7</v>
      </c>
      <c r="K469">
        <v>5</v>
      </c>
      <c r="L469">
        <v>7</v>
      </c>
      <c r="M469">
        <v>5874774.774774774</v>
      </c>
      <c r="N469">
        <v>8118018.0180180185</v>
      </c>
      <c r="O469">
        <v>23769863.063063063</v>
      </c>
      <c r="P469">
        <v>28522763.963963959</v>
      </c>
      <c r="Q469">
        <v>7772342.3423423423</v>
      </c>
      <c r="R469">
        <v>8826529.7297297306</v>
      </c>
      <c r="S469">
        <v>5802</v>
      </c>
      <c r="T469">
        <v>5939</v>
      </c>
    </row>
    <row r="470" spans="1:20" x14ac:dyDescent="0.35">
      <c r="A470" s="7" t="s">
        <v>573</v>
      </c>
      <c r="B470" s="12" t="s">
        <v>170</v>
      </c>
      <c r="C470">
        <v>3512165288.5346484</v>
      </c>
      <c r="D470">
        <v>1799547703.6088974</v>
      </c>
      <c r="E470">
        <v>2997674256.7567568</v>
      </c>
      <c r="F470">
        <v>2567161961.2612615</v>
      </c>
      <c r="G470">
        <v>1003</v>
      </c>
      <c r="H470">
        <v>555</v>
      </c>
      <c r="I470">
        <v>8</v>
      </c>
      <c r="K470">
        <v>1366</v>
      </c>
      <c r="L470">
        <v>1265</v>
      </c>
      <c r="M470">
        <v>379497345.04504508</v>
      </c>
      <c r="N470">
        <v>466315698.1981982</v>
      </c>
      <c r="O470">
        <v>2552783416.2162161</v>
      </c>
      <c r="P470">
        <v>2415441491.8918915</v>
      </c>
      <c r="Q470">
        <v>360457610.8108108</v>
      </c>
      <c r="R470">
        <v>432318827.02702701</v>
      </c>
      <c r="S470">
        <v>55554</v>
      </c>
      <c r="T470">
        <v>57399</v>
      </c>
    </row>
    <row r="471" spans="1:20" x14ac:dyDescent="0.35">
      <c r="A471" s="7" t="s">
        <v>670</v>
      </c>
      <c r="B471" s="12" t="s">
        <v>118</v>
      </c>
      <c r="E471">
        <v>4617117.1171171172</v>
      </c>
      <c r="F471">
        <v>91066846.846846849</v>
      </c>
      <c r="M471">
        <v>1542792.7927927929</v>
      </c>
      <c r="N471">
        <v>364864.86486486503</v>
      </c>
    </row>
    <row r="472" spans="1:20" x14ac:dyDescent="0.35">
      <c r="A472" s="7" t="s">
        <v>574</v>
      </c>
      <c r="B472" s="12" t="s">
        <v>222</v>
      </c>
      <c r="C472">
        <v>177149680.3178376</v>
      </c>
      <c r="D472">
        <v>184292154.8070145</v>
      </c>
      <c r="E472">
        <v>639639.63963964104</v>
      </c>
      <c r="F472">
        <v>1625225.225225223</v>
      </c>
      <c r="G472">
        <v>14</v>
      </c>
      <c r="H472">
        <v>20</v>
      </c>
      <c r="K472">
        <v>15</v>
      </c>
      <c r="L472">
        <v>22</v>
      </c>
      <c r="M472">
        <v>7808738.7387387352</v>
      </c>
      <c r="N472">
        <v>17983243.24324324</v>
      </c>
      <c r="O472">
        <v>29066612.612612613</v>
      </c>
      <c r="P472">
        <v>34492881.081081077</v>
      </c>
      <c r="Q472">
        <v>6918918.9189189151</v>
      </c>
      <c r="R472">
        <v>17087297.297297295</v>
      </c>
      <c r="S472">
        <v>5260</v>
      </c>
      <c r="T472">
        <v>5213</v>
      </c>
    </row>
    <row r="473" spans="1:20" x14ac:dyDescent="0.35">
      <c r="A473" s="7" t="s">
        <v>575</v>
      </c>
      <c r="B473" s="12" t="s">
        <v>86</v>
      </c>
      <c r="C473">
        <v>212415627.75872314</v>
      </c>
      <c r="D473">
        <v>239787096.64995107</v>
      </c>
      <c r="E473">
        <v>225225.22522522701</v>
      </c>
      <c r="F473">
        <v>1843243.243243244</v>
      </c>
      <c r="G473">
        <v>16</v>
      </c>
      <c r="H473">
        <v>7</v>
      </c>
      <c r="K473">
        <v>20</v>
      </c>
      <c r="L473">
        <v>7</v>
      </c>
      <c r="M473">
        <v>19022522.522522528</v>
      </c>
      <c r="N473">
        <v>55142432.432432435</v>
      </c>
      <c r="O473">
        <v>49287727.927927926</v>
      </c>
      <c r="P473">
        <v>62834731.531531535</v>
      </c>
      <c r="Q473">
        <v>15255135.13513514</v>
      </c>
      <c r="R473">
        <v>45566306.306306303</v>
      </c>
      <c r="S473">
        <v>5107</v>
      </c>
      <c r="T473">
        <v>5232</v>
      </c>
    </row>
    <row r="474" spans="1:20" x14ac:dyDescent="0.35">
      <c r="A474" s="7" t="s">
        <v>576</v>
      </c>
      <c r="B474" s="12" t="s">
        <v>483</v>
      </c>
      <c r="C474">
        <v>117553487.44435573</v>
      </c>
      <c r="D474">
        <v>105692420.94090739</v>
      </c>
      <c r="E474">
        <v>1978378.3783783829</v>
      </c>
      <c r="F474">
        <v>2163963.9639639682</v>
      </c>
      <c r="G474">
        <v>65</v>
      </c>
      <c r="H474">
        <v>47</v>
      </c>
      <c r="K474">
        <v>91</v>
      </c>
      <c r="L474">
        <v>58</v>
      </c>
      <c r="M474">
        <v>15237387.387387391</v>
      </c>
      <c r="N474">
        <v>30082882.882882886</v>
      </c>
      <c r="O474">
        <v>49046618.018018015</v>
      </c>
      <c r="P474">
        <v>47609855.855855852</v>
      </c>
      <c r="Q474">
        <v>16602882.882882884</v>
      </c>
      <c r="R474">
        <v>28454504.504504509</v>
      </c>
      <c r="S474">
        <v>5392</v>
      </c>
      <c r="T474">
        <v>5386</v>
      </c>
    </row>
    <row r="475" spans="1:20" x14ac:dyDescent="0.35">
      <c r="A475" s="7" t="s">
        <v>577</v>
      </c>
      <c r="B475" s="12" t="s">
        <v>95</v>
      </c>
      <c r="C475">
        <v>293175247.59690368</v>
      </c>
      <c r="D475">
        <v>325709419.33345681</v>
      </c>
      <c r="E475">
        <v>1641441.4414414431</v>
      </c>
      <c r="F475">
        <v>2056756.7567567599</v>
      </c>
      <c r="G475">
        <v>52</v>
      </c>
      <c r="H475">
        <v>68</v>
      </c>
      <c r="K475">
        <v>73</v>
      </c>
      <c r="L475">
        <v>230</v>
      </c>
      <c r="M475">
        <v>838218018.01801801</v>
      </c>
      <c r="N475">
        <v>22322522.522522524</v>
      </c>
      <c r="O475">
        <v>66591734.684684686</v>
      </c>
      <c r="P475">
        <v>77856953.153153151</v>
      </c>
      <c r="Q475">
        <v>26099369.369369373</v>
      </c>
      <c r="R475">
        <v>22350900.900900904</v>
      </c>
      <c r="S475">
        <v>9581</v>
      </c>
      <c r="T475">
        <v>9827</v>
      </c>
    </row>
    <row r="476" spans="1:20" x14ac:dyDescent="0.35">
      <c r="A476" s="7" t="s">
        <v>578</v>
      </c>
      <c r="B476" s="12" t="s">
        <v>309</v>
      </c>
      <c r="C476">
        <v>672186669.76875937</v>
      </c>
      <c r="D476">
        <v>709246188.8197974</v>
      </c>
      <c r="E476">
        <v>8200000.0000000084</v>
      </c>
      <c r="F476">
        <v>6840090.0900900932</v>
      </c>
      <c r="G476">
        <v>189</v>
      </c>
      <c r="H476">
        <v>285</v>
      </c>
      <c r="I476">
        <v>4</v>
      </c>
      <c r="K476">
        <v>240</v>
      </c>
      <c r="L476">
        <v>375</v>
      </c>
      <c r="M476">
        <v>737074864.86486495</v>
      </c>
      <c r="N476">
        <v>222926036.03603604</v>
      </c>
      <c r="O476">
        <v>267394102.25225225</v>
      </c>
      <c r="P476">
        <v>300986603.6036036</v>
      </c>
      <c r="Q476">
        <v>111046576.57657658</v>
      </c>
      <c r="R476">
        <v>88594144.144144148</v>
      </c>
      <c r="S476">
        <v>32794</v>
      </c>
      <c r="T476">
        <v>32637</v>
      </c>
    </row>
    <row r="477" spans="1:20" x14ac:dyDescent="0.35">
      <c r="A477" s="7" t="s">
        <v>10</v>
      </c>
      <c r="B477" s="12" t="s">
        <v>195</v>
      </c>
      <c r="C477">
        <v>104781224.63765098</v>
      </c>
      <c r="D477">
        <v>110920342.25198558</v>
      </c>
      <c r="G477">
        <v>12</v>
      </c>
      <c r="H477">
        <v>5</v>
      </c>
      <c r="K477">
        <v>15</v>
      </c>
      <c r="L477">
        <v>7</v>
      </c>
      <c r="O477">
        <v>62694935.135135137</v>
      </c>
      <c r="P477">
        <v>66675702.702702701</v>
      </c>
      <c r="Q477">
        <v>19639.639639640001</v>
      </c>
      <c r="R477">
        <v>448108.108108107</v>
      </c>
      <c r="S477">
        <v>3780</v>
      </c>
      <c r="T477">
        <v>3682</v>
      </c>
    </row>
    <row r="478" spans="1:20" x14ac:dyDescent="0.35">
      <c r="A478" s="7" t="s">
        <v>579</v>
      </c>
      <c r="B478" s="12" t="s">
        <v>88</v>
      </c>
      <c r="C478">
        <v>2499158.5265245</v>
      </c>
      <c r="D478">
        <v>2942707.4984899801</v>
      </c>
      <c r="G478">
        <v>11</v>
      </c>
      <c r="H478">
        <v>2</v>
      </c>
      <c r="K478">
        <v>12</v>
      </c>
      <c r="L478">
        <v>2</v>
      </c>
      <c r="O478">
        <v>864250.450450451</v>
      </c>
      <c r="P478">
        <v>923873.87387387396</v>
      </c>
      <c r="S478">
        <v>222</v>
      </c>
      <c r="T478">
        <v>190</v>
      </c>
    </row>
    <row r="479" spans="1:20" x14ac:dyDescent="0.35">
      <c r="A479" s="7" t="s">
        <v>580</v>
      </c>
      <c r="B479" s="12" t="s">
        <v>285</v>
      </c>
      <c r="C479">
        <v>153692250.9130615</v>
      </c>
      <c r="D479">
        <v>160823959.04966074</v>
      </c>
      <c r="E479">
        <v>242342.34234234199</v>
      </c>
      <c r="F479">
        <v>345945.94594594598</v>
      </c>
      <c r="G479">
        <v>15</v>
      </c>
      <c r="H479">
        <v>3</v>
      </c>
      <c r="K479">
        <v>15</v>
      </c>
      <c r="L479">
        <v>4</v>
      </c>
      <c r="M479">
        <v>14098198.198198197</v>
      </c>
      <c r="N479">
        <v>13499099.099099098</v>
      </c>
      <c r="O479">
        <v>24572954.954954956</v>
      </c>
      <c r="P479">
        <v>26356711.711711712</v>
      </c>
      <c r="Q479">
        <v>15145855.855855856</v>
      </c>
      <c r="R479">
        <v>15306126.126126125</v>
      </c>
      <c r="S479">
        <v>3461</v>
      </c>
      <c r="T479">
        <v>3527</v>
      </c>
    </row>
    <row r="480" spans="1:20" x14ac:dyDescent="0.35">
      <c r="A480" s="7" t="s">
        <v>581</v>
      </c>
      <c r="B480" s="12" t="s">
        <v>309</v>
      </c>
      <c r="C480">
        <v>636348550.16187763</v>
      </c>
      <c r="D480">
        <v>685406055.33746588</v>
      </c>
      <c r="E480">
        <v>304389639.63963962</v>
      </c>
      <c r="F480">
        <v>162673423.42342341</v>
      </c>
      <c r="G480">
        <v>250</v>
      </c>
      <c r="H480">
        <v>174</v>
      </c>
      <c r="K480">
        <v>315</v>
      </c>
      <c r="L480">
        <v>202</v>
      </c>
      <c r="M480">
        <v>108596126.12612613</v>
      </c>
      <c r="N480">
        <v>193721846.84684685</v>
      </c>
      <c r="O480">
        <v>269482846.84684682</v>
      </c>
      <c r="P480">
        <v>288902702.7027027</v>
      </c>
      <c r="Q480">
        <v>65888918.918918923</v>
      </c>
      <c r="R480">
        <v>64202612.612612605</v>
      </c>
      <c r="S480">
        <v>37849</v>
      </c>
      <c r="T480">
        <v>39369</v>
      </c>
    </row>
    <row r="481" spans="1:20" x14ac:dyDescent="0.35">
      <c r="A481" s="7" t="s">
        <v>582</v>
      </c>
      <c r="B481" s="12" t="s">
        <v>332</v>
      </c>
      <c r="C481">
        <v>601266885.44950628</v>
      </c>
      <c r="D481">
        <v>626631759.86526823</v>
      </c>
      <c r="E481">
        <v>5775225.2252252307</v>
      </c>
      <c r="F481">
        <v>4107207.2072072108</v>
      </c>
      <c r="G481">
        <v>237</v>
      </c>
      <c r="H481">
        <v>183</v>
      </c>
      <c r="I481">
        <v>11</v>
      </c>
      <c r="K481">
        <v>286</v>
      </c>
      <c r="L481">
        <v>242</v>
      </c>
      <c r="M481">
        <v>51981981.981981985</v>
      </c>
      <c r="N481">
        <v>65363603.603603609</v>
      </c>
      <c r="O481">
        <v>132407051.8018018</v>
      </c>
      <c r="P481">
        <v>141761439.63963965</v>
      </c>
      <c r="Q481">
        <v>51830090.090090089</v>
      </c>
      <c r="R481">
        <v>59643243.243243247</v>
      </c>
      <c r="S481">
        <v>28195</v>
      </c>
      <c r="T481">
        <v>29017</v>
      </c>
    </row>
    <row r="482" spans="1:20" x14ac:dyDescent="0.35">
      <c r="A482" s="7" t="s">
        <v>583</v>
      </c>
      <c r="B482" s="12" t="s">
        <v>67</v>
      </c>
      <c r="C482">
        <v>91238648.841991767</v>
      </c>
      <c r="D482">
        <v>92161541.942198843</v>
      </c>
      <c r="E482">
        <v>187807207.2072072</v>
      </c>
      <c r="F482">
        <v>194648648.64864865</v>
      </c>
      <c r="G482">
        <v>13</v>
      </c>
      <c r="H482">
        <v>6</v>
      </c>
      <c r="K482">
        <v>17</v>
      </c>
      <c r="L482">
        <v>6</v>
      </c>
      <c r="M482">
        <v>13054054.054054055</v>
      </c>
      <c r="N482">
        <v>8763063.0630630627</v>
      </c>
      <c r="O482">
        <v>23630932.432432432</v>
      </c>
      <c r="P482">
        <v>22444495.495495494</v>
      </c>
      <c r="Q482">
        <v>2296666.666666667</v>
      </c>
      <c r="R482">
        <v>2189549.549549548</v>
      </c>
      <c r="S482">
        <v>3434</v>
      </c>
      <c r="T482">
        <v>3047</v>
      </c>
    </row>
    <row r="483" spans="1:20" x14ac:dyDescent="0.35">
      <c r="A483" s="7" t="s">
        <v>584</v>
      </c>
      <c r="B483" s="12" t="s">
        <v>238</v>
      </c>
      <c r="C483">
        <v>12011.332970474001</v>
      </c>
      <c r="D483">
        <v>11061.146424295001</v>
      </c>
      <c r="P483">
        <v>34234.234234233998</v>
      </c>
      <c r="S483">
        <v>267</v>
      </c>
    </row>
    <row r="484" spans="1:20" x14ac:dyDescent="0.35">
      <c r="A484" s="7" t="s">
        <v>585</v>
      </c>
      <c r="B484" s="12" t="s">
        <v>63</v>
      </c>
      <c r="C484">
        <v>236905661.46273643</v>
      </c>
      <c r="D484">
        <v>252928535.86634406</v>
      </c>
      <c r="E484">
        <v>102686486.48648649</v>
      </c>
      <c r="F484">
        <v>57745945.945945948</v>
      </c>
      <c r="G484">
        <v>154</v>
      </c>
      <c r="H484">
        <v>25</v>
      </c>
      <c r="K484">
        <v>155</v>
      </c>
      <c r="L484">
        <v>36</v>
      </c>
      <c r="M484">
        <v>35640675.675675683</v>
      </c>
      <c r="N484">
        <v>21112432.432432432</v>
      </c>
      <c r="O484">
        <v>53242513.513513513</v>
      </c>
      <c r="P484">
        <v>61848891.891891889</v>
      </c>
      <c r="Q484">
        <v>21021441.441441439</v>
      </c>
      <c r="R484">
        <v>19595225.225225229</v>
      </c>
      <c r="S484">
        <v>6693</v>
      </c>
      <c r="T484">
        <v>6702</v>
      </c>
    </row>
    <row r="485" spans="1:20" x14ac:dyDescent="0.35">
      <c r="A485" s="7" t="s">
        <v>586</v>
      </c>
      <c r="B485" s="12" t="s">
        <v>49</v>
      </c>
      <c r="C485">
        <v>221540514.78987354</v>
      </c>
      <c r="D485">
        <v>208341398.43635476</v>
      </c>
      <c r="E485">
        <v>441036.03603603703</v>
      </c>
      <c r="F485">
        <v>3833333.333333334</v>
      </c>
      <c r="G485">
        <v>27</v>
      </c>
      <c r="H485">
        <v>2</v>
      </c>
      <c r="K485">
        <v>27</v>
      </c>
      <c r="L485">
        <v>5</v>
      </c>
      <c r="M485">
        <v>71330900.9009009</v>
      </c>
      <c r="N485">
        <v>22923423.423423424</v>
      </c>
      <c r="O485">
        <v>32099756.756756756</v>
      </c>
      <c r="P485">
        <v>34956126.126126125</v>
      </c>
      <c r="Q485">
        <v>54973603.603603601</v>
      </c>
      <c r="R485">
        <v>50952342.342342347</v>
      </c>
      <c r="S485">
        <v>5007</v>
      </c>
      <c r="T485">
        <v>5611</v>
      </c>
    </row>
    <row r="486" spans="1:20" x14ac:dyDescent="0.35">
      <c r="A486" s="7" t="s">
        <v>587</v>
      </c>
      <c r="B486" s="12" t="s">
        <v>55</v>
      </c>
      <c r="C486">
        <v>43039161.948254704</v>
      </c>
      <c r="D486">
        <v>43635091.461613208</v>
      </c>
      <c r="E486">
        <v>400900.900900901</v>
      </c>
      <c r="F486">
        <v>871621.62162162305</v>
      </c>
      <c r="G486">
        <v>14</v>
      </c>
      <c r="H486">
        <v>13</v>
      </c>
      <c r="K486">
        <v>35</v>
      </c>
      <c r="L486">
        <v>16</v>
      </c>
      <c r="M486">
        <v>7773063.0630630609</v>
      </c>
      <c r="N486">
        <v>11016306.306306306</v>
      </c>
      <c r="O486">
        <v>10983423.423423424</v>
      </c>
      <c r="P486">
        <v>12346459.459459459</v>
      </c>
      <c r="Q486">
        <v>6504144.1441441439</v>
      </c>
      <c r="R486">
        <v>9574594.5945945941</v>
      </c>
      <c r="S486">
        <v>2152</v>
      </c>
      <c r="T486">
        <v>1939</v>
      </c>
    </row>
    <row r="487" spans="1:20" x14ac:dyDescent="0.35">
      <c r="A487" s="7" t="s">
        <v>588</v>
      </c>
      <c r="B487" s="12" t="s">
        <v>71</v>
      </c>
      <c r="C487">
        <v>110193240.92072283</v>
      </c>
      <c r="D487">
        <v>108131949.09881409</v>
      </c>
      <c r="E487">
        <v>84684.684684684005</v>
      </c>
      <c r="F487">
        <v>73873.873873874996</v>
      </c>
      <c r="G487">
        <v>24</v>
      </c>
      <c r="H487">
        <v>7</v>
      </c>
      <c r="I487">
        <v>2</v>
      </c>
      <c r="K487">
        <v>27</v>
      </c>
      <c r="L487">
        <v>8</v>
      </c>
      <c r="M487">
        <v>1043243.243243244</v>
      </c>
      <c r="N487">
        <v>929729.72972973005</v>
      </c>
      <c r="O487">
        <v>50089747.747747742</v>
      </c>
      <c r="P487">
        <v>48717801.801801801</v>
      </c>
      <c r="Q487">
        <v>1140090.0900900911</v>
      </c>
      <c r="R487">
        <v>937477.47747747798</v>
      </c>
      <c r="S487">
        <v>3685</v>
      </c>
      <c r="T487">
        <v>3623</v>
      </c>
    </row>
    <row r="488" spans="1:20" x14ac:dyDescent="0.35">
      <c r="A488" s="7" t="s">
        <v>589</v>
      </c>
      <c r="B488" s="12" t="s">
        <v>332</v>
      </c>
      <c r="C488">
        <v>408401399.06414402</v>
      </c>
      <c r="D488">
        <v>405549674.3122288</v>
      </c>
      <c r="E488">
        <v>3919819.8198198201</v>
      </c>
      <c r="F488">
        <v>1410810.8108108121</v>
      </c>
      <c r="G488">
        <v>170</v>
      </c>
      <c r="H488">
        <v>169</v>
      </c>
      <c r="K488">
        <v>205</v>
      </c>
      <c r="L488">
        <v>210</v>
      </c>
      <c r="M488">
        <v>40546846.846846849</v>
      </c>
      <c r="N488">
        <v>34511486.486486487</v>
      </c>
      <c r="O488">
        <v>104381598.19819821</v>
      </c>
      <c r="P488">
        <v>109598708.10810812</v>
      </c>
      <c r="Q488">
        <v>37128738.738738738</v>
      </c>
      <c r="R488">
        <v>33099504.504504506</v>
      </c>
      <c r="S488">
        <v>20314</v>
      </c>
      <c r="T488">
        <v>19752</v>
      </c>
    </row>
    <row r="489" spans="1:20" x14ac:dyDescent="0.35">
      <c r="A489" s="7" t="s">
        <v>590</v>
      </c>
      <c r="B489" s="12" t="s">
        <v>67</v>
      </c>
      <c r="C489">
        <v>193808383.42448878</v>
      </c>
      <c r="D489">
        <v>217627518.43579453</v>
      </c>
      <c r="E489">
        <v>710024957.65765762</v>
      </c>
      <c r="F489">
        <v>681107463.06306303</v>
      </c>
      <c r="G489">
        <v>70</v>
      </c>
      <c r="H489">
        <v>62</v>
      </c>
      <c r="K489">
        <v>98</v>
      </c>
      <c r="L489">
        <v>69</v>
      </c>
      <c r="M489">
        <v>69037252.252252251</v>
      </c>
      <c r="N489">
        <v>152897726.12612611</v>
      </c>
      <c r="O489">
        <v>95304837.837837845</v>
      </c>
      <c r="P489">
        <v>109294873.87387387</v>
      </c>
      <c r="Q489">
        <v>33528513.513513513</v>
      </c>
      <c r="R489">
        <v>26667387.387387384</v>
      </c>
      <c r="S489">
        <v>10665</v>
      </c>
      <c r="T489">
        <v>10657</v>
      </c>
    </row>
    <row r="490" spans="1:20" x14ac:dyDescent="0.35">
      <c r="A490" s="7" t="s">
        <v>11</v>
      </c>
      <c r="B490" s="12" t="s">
        <v>195</v>
      </c>
      <c r="C490">
        <v>90694704.644503698</v>
      </c>
      <c r="D490">
        <v>88915921.527144358</v>
      </c>
      <c r="E490">
        <v>112612.612612615</v>
      </c>
      <c r="F490">
        <v>18018.018018018</v>
      </c>
      <c r="G490">
        <v>20</v>
      </c>
      <c r="H490">
        <v>15</v>
      </c>
      <c r="K490">
        <v>24</v>
      </c>
      <c r="L490">
        <v>18</v>
      </c>
      <c r="M490">
        <v>1914414.4144144161</v>
      </c>
      <c r="N490">
        <v>3081081.0810810812</v>
      </c>
      <c r="O490">
        <v>30431306.306306303</v>
      </c>
      <c r="P490">
        <v>35782135.135135137</v>
      </c>
      <c r="Q490">
        <v>2269909.9099099101</v>
      </c>
      <c r="R490">
        <v>1958288.288288289</v>
      </c>
      <c r="S490">
        <v>4735</v>
      </c>
      <c r="T490">
        <v>4854</v>
      </c>
    </row>
    <row r="491" spans="1:20" x14ac:dyDescent="0.35">
      <c r="A491" s="7" t="s">
        <v>12</v>
      </c>
      <c r="B491" s="12" t="s">
        <v>195</v>
      </c>
      <c r="C491">
        <v>58412962.291778222</v>
      </c>
      <c r="D491">
        <v>59804319.756301992</v>
      </c>
      <c r="E491">
        <v>2315315.3153153178</v>
      </c>
      <c r="F491">
        <v>109909.90990991</v>
      </c>
      <c r="G491">
        <v>7</v>
      </c>
      <c r="H491">
        <v>10</v>
      </c>
      <c r="K491">
        <v>7</v>
      </c>
      <c r="L491">
        <v>12</v>
      </c>
      <c r="M491">
        <v>5468468.4684684696</v>
      </c>
      <c r="N491">
        <v>560360.36036036001</v>
      </c>
      <c r="O491">
        <v>23386558.558558561</v>
      </c>
      <c r="P491">
        <v>26542279.27927928</v>
      </c>
      <c r="Q491">
        <v>7006036.036036036</v>
      </c>
      <c r="R491">
        <v>2297297.297297297</v>
      </c>
      <c r="S491">
        <v>2975</v>
      </c>
      <c r="T491">
        <v>2808</v>
      </c>
    </row>
    <row r="492" spans="1:20" x14ac:dyDescent="0.35">
      <c r="A492" s="7" t="s">
        <v>591</v>
      </c>
      <c r="B492" s="12" t="s">
        <v>61</v>
      </c>
      <c r="C492">
        <v>50977888.255536802</v>
      </c>
      <c r="D492">
        <v>52353632.201034352</v>
      </c>
      <c r="E492">
        <v>408108.10810810898</v>
      </c>
      <c r="F492">
        <v>918918.91891891905</v>
      </c>
      <c r="G492">
        <v>14</v>
      </c>
      <c r="H492">
        <v>9</v>
      </c>
      <c r="I492">
        <v>2</v>
      </c>
      <c r="K492">
        <v>25</v>
      </c>
      <c r="L492">
        <v>25</v>
      </c>
      <c r="M492">
        <v>8336036.0360360369</v>
      </c>
      <c r="N492">
        <v>10027027.027027026</v>
      </c>
      <c r="O492">
        <v>19573777.02702703</v>
      </c>
      <c r="P492">
        <v>19409349.549549554</v>
      </c>
      <c r="Q492">
        <v>7983333.333333333</v>
      </c>
      <c r="R492">
        <v>8015178.3783783792</v>
      </c>
      <c r="S492">
        <v>1879</v>
      </c>
      <c r="T492">
        <v>1863</v>
      </c>
    </row>
    <row r="493" spans="1:20" x14ac:dyDescent="0.35">
      <c r="A493" s="7" t="s">
        <v>592</v>
      </c>
      <c r="B493" s="12" t="s">
        <v>309</v>
      </c>
      <c r="C493">
        <v>1392802673.5931983</v>
      </c>
      <c r="D493">
        <v>1448944621.9423916</v>
      </c>
      <c r="E493">
        <v>880694462.16216218</v>
      </c>
      <c r="F493">
        <v>1142379296.3963964</v>
      </c>
      <c r="G493">
        <v>538</v>
      </c>
      <c r="H493">
        <v>349</v>
      </c>
      <c r="I493">
        <v>1</v>
      </c>
      <c r="K493">
        <v>652</v>
      </c>
      <c r="L493">
        <v>446</v>
      </c>
      <c r="M493">
        <v>443009009.009009</v>
      </c>
      <c r="N493">
        <v>397625900.9009009</v>
      </c>
      <c r="O493">
        <v>444441409.9099099</v>
      </c>
      <c r="P493">
        <v>488984099.09909916</v>
      </c>
      <c r="Q493">
        <v>230338828.82882884</v>
      </c>
      <c r="R493">
        <v>206882792.7927928</v>
      </c>
      <c r="S493">
        <v>64629</v>
      </c>
      <c r="T493">
        <v>63893</v>
      </c>
    </row>
    <row r="494" spans="1:20" x14ac:dyDescent="0.35">
      <c r="A494" s="7" t="s">
        <v>593</v>
      </c>
      <c r="B494" s="12" t="s">
        <v>53</v>
      </c>
      <c r="C494">
        <v>329504518.12554085</v>
      </c>
      <c r="D494">
        <v>362229751.70484376</v>
      </c>
      <c r="E494">
        <v>4962162.1621621661</v>
      </c>
      <c r="F494">
        <v>8559459.4594594613</v>
      </c>
      <c r="G494">
        <v>89</v>
      </c>
      <c r="H494">
        <v>178</v>
      </c>
      <c r="K494">
        <v>190</v>
      </c>
      <c r="L494">
        <v>272</v>
      </c>
      <c r="M494">
        <v>89641396.396396399</v>
      </c>
      <c r="N494">
        <v>126406306.3063063</v>
      </c>
      <c r="O494">
        <v>135479333.33333331</v>
      </c>
      <c r="P494">
        <v>152149774.77477479</v>
      </c>
      <c r="Q494">
        <v>104774549.54954955</v>
      </c>
      <c r="R494">
        <v>123393243.24324325</v>
      </c>
      <c r="S494">
        <v>13788</v>
      </c>
      <c r="T494">
        <v>14151</v>
      </c>
    </row>
    <row r="495" spans="1:20" x14ac:dyDescent="0.35">
      <c r="A495" s="7" t="s">
        <v>594</v>
      </c>
      <c r="B495" s="12" t="s">
        <v>55</v>
      </c>
      <c r="C495">
        <v>28788324.722492255</v>
      </c>
      <c r="D495">
        <v>28801023.415244859</v>
      </c>
      <c r="E495">
        <v>52425225.225225225</v>
      </c>
      <c r="F495">
        <v>79872072.072072059</v>
      </c>
      <c r="G495">
        <v>11</v>
      </c>
      <c r="H495">
        <v>28</v>
      </c>
      <c r="K495">
        <v>14</v>
      </c>
      <c r="L495">
        <v>30</v>
      </c>
      <c r="M495">
        <v>5906306.3063063053</v>
      </c>
      <c r="N495">
        <v>4964414.4144144142</v>
      </c>
      <c r="O495">
        <v>8934063.0630630627</v>
      </c>
      <c r="P495">
        <v>10203288.288288288</v>
      </c>
      <c r="Q495">
        <v>4861801.8018018026</v>
      </c>
      <c r="R495">
        <v>6027027.0270270268</v>
      </c>
      <c r="S495">
        <v>1559</v>
      </c>
      <c r="T495">
        <v>1562</v>
      </c>
    </row>
    <row r="496" spans="1:20" x14ac:dyDescent="0.35">
      <c r="A496" s="7" t="s">
        <v>595</v>
      </c>
      <c r="B496" s="12" t="s">
        <v>170</v>
      </c>
      <c r="C496">
        <v>792259333.16752815</v>
      </c>
      <c r="D496">
        <v>829424246.77968812</v>
      </c>
      <c r="E496">
        <v>4286261.2612612648</v>
      </c>
      <c r="F496">
        <v>16311082.882882887</v>
      </c>
      <c r="G496">
        <v>63</v>
      </c>
      <c r="H496">
        <v>56</v>
      </c>
      <c r="I496">
        <v>1</v>
      </c>
      <c r="K496">
        <v>76</v>
      </c>
      <c r="L496">
        <v>74</v>
      </c>
      <c r="M496">
        <v>186375223.42342341</v>
      </c>
      <c r="N496">
        <v>150871443.24324322</v>
      </c>
      <c r="O496">
        <v>269478722.97297299</v>
      </c>
      <c r="P496">
        <v>297474135.13513511</v>
      </c>
      <c r="Q496">
        <v>152485945.94594595</v>
      </c>
      <c r="R496">
        <v>124753603.6036036</v>
      </c>
      <c r="S496">
        <v>23705</v>
      </c>
      <c r="T496">
        <v>26052</v>
      </c>
    </row>
    <row r="497" spans="1:20" x14ac:dyDescent="0.35">
      <c r="A497" s="7" t="s">
        <v>596</v>
      </c>
      <c r="B497" s="12" t="s">
        <v>88</v>
      </c>
      <c r="C497">
        <v>4133808.5419359612</v>
      </c>
      <c r="D497">
        <v>3763631.120319102</v>
      </c>
      <c r="E497">
        <v>3603603.6036036038</v>
      </c>
      <c r="F497">
        <v>23063063.063063063</v>
      </c>
      <c r="G497">
        <v>2</v>
      </c>
      <c r="K497">
        <v>2</v>
      </c>
      <c r="M497">
        <v>59459.459459459002</v>
      </c>
      <c r="O497">
        <v>1051216.2162162161</v>
      </c>
      <c r="P497">
        <v>1531216.2162162149</v>
      </c>
      <c r="S497">
        <v>294</v>
      </c>
      <c r="T497">
        <v>279</v>
      </c>
    </row>
    <row r="498" spans="1:20" x14ac:dyDescent="0.35">
      <c r="A498" s="7" t="s">
        <v>36</v>
      </c>
      <c r="B498" s="12" t="s">
        <v>159</v>
      </c>
      <c r="E498">
        <v>91959459.459459454</v>
      </c>
      <c r="F498">
        <v>295035135.13513511</v>
      </c>
      <c r="M498">
        <v>18545945.945945945</v>
      </c>
      <c r="N498">
        <v>21958558.558558561</v>
      </c>
    </row>
    <row r="499" spans="1:20" x14ac:dyDescent="0.35">
      <c r="A499" s="7" t="s">
        <v>597</v>
      </c>
      <c r="B499" s="12" t="s">
        <v>144</v>
      </c>
      <c r="C499">
        <v>59383703.880561009</v>
      </c>
      <c r="D499">
        <v>58485185.830163456</v>
      </c>
      <c r="E499">
        <v>156756.75675675899</v>
      </c>
      <c r="F499">
        <v>81081.081081081997</v>
      </c>
      <c r="G499">
        <v>21</v>
      </c>
      <c r="H499">
        <v>3</v>
      </c>
      <c r="K499">
        <v>22</v>
      </c>
      <c r="L499">
        <v>3</v>
      </c>
      <c r="M499">
        <v>7634234.2342342352</v>
      </c>
      <c r="N499">
        <v>5036036.0360360369</v>
      </c>
      <c r="O499">
        <v>6221756.7567567565</v>
      </c>
      <c r="P499">
        <v>6371081.0810810812</v>
      </c>
      <c r="Q499">
        <v>3091171.1711711702</v>
      </c>
      <c r="R499">
        <v>2659909.9099099101</v>
      </c>
      <c r="S499">
        <v>1621</v>
      </c>
      <c r="T499">
        <v>1603</v>
      </c>
    </row>
    <row r="500" spans="1:20" x14ac:dyDescent="0.35">
      <c r="A500" s="7" t="s">
        <v>598</v>
      </c>
      <c r="B500" s="12" t="s">
        <v>292</v>
      </c>
      <c r="C500">
        <v>14518615.748254551</v>
      </c>
      <c r="D500">
        <v>14499515.807791684</v>
      </c>
      <c r="E500">
        <v>99003891.891891882</v>
      </c>
      <c r="F500">
        <v>111700274.77477477</v>
      </c>
      <c r="G500">
        <v>1</v>
      </c>
      <c r="H500">
        <v>8</v>
      </c>
      <c r="K500">
        <v>1</v>
      </c>
      <c r="L500">
        <v>10</v>
      </c>
      <c r="M500">
        <v>14235464.864864863</v>
      </c>
      <c r="N500">
        <v>18492129.729729727</v>
      </c>
      <c r="O500">
        <v>905405.40540540498</v>
      </c>
      <c r="P500">
        <v>647702.70270270295</v>
      </c>
      <c r="S500">
        <v>692</v>
      </c>
      <c r="T500">
        <v>772</v>
      </c>
    </row>
    <row r="501" spans="1:20" x14ac:dyDescent="0.35">
      <c r="A501" s="7" t="s">
        <v>599</v>
      </c>
      <c r="B501" s="12" t="s">
        <v>93</v>
      </c>
      <c r="C501">
        <v>19494639.930296153</v>
      </c>
      <c r="D501">
        <v>19842872.018819042</v>
      </c>
      <c r="E501">
        <v>917117.11711711704</v>
      </c>
      <c r="F501">
        <v>1251351.351351351</v>
      </c>
      <c r="G501">
        <v>8</v>
      </c>
      <c r="H501">
        <v>4</v>
      </c>
      <c r="K501">
        <v>8</v>
      </c>
      <c r="L501">
        <v>5</v>
      </c>
      <c r="M501">
        <v>1908108.1081081079</v>
      </c>
      <c r="N501">
        <v>4144144.1441441439</v>
      </c>
      <c r="O501">
        <v>3651567.5675675669</v>
      </c>
      <c r="P501">
        <v>3558774.7747747749</v>
      </c>
      <c r="Q501">
        <v>2348378.3783783792</v>
      </c>
      <c r="R501">
        <v>4169819.8198198201</v>
      </c>
      <c r="S501">
        <v>1176</v>
      </c>
      <c r="T501">
        <v>837</v>
      </c>
    </row>
    <row r="502" spans="1:20" x14ac:dyDescent="0.35">
      <c r="A502" s="7" t="s">
        <v>600</v>
      </c>
      <c r="B502" s="12" t="s">
        <v>51</v>
      </c>
      <c r="C502">
        <v>68036109.400438398</v>
      </c>
      <c r="D502">
        <v>73433736.859337792</v>
      </c>
      <c r="E502">
        <v>1308783.783783786</v>
      </c>
      <c r="F502">
        <v>567567.56756757002</v>
      </c>
      <c r="G502">
        <v>6</v>
      </c>
      <c r="H502">
        <v>5</v>
      </c>
      <c r="K502">
        <v>7</v>
      </c>
      <c r="L502">
        <v>7</v>
      </c>
      <c r="M502">
        <v>3175225.225225226</v>
      </c>
      <c r="N502">
        <v>3848288.2882882878</v>
      </c>
      <c r="O502">
        <v>14887807.207207208</v>
      </c>
      <c r="P502">
        <v>16376441.441441443</v>
      </c>
      <c r="Q502">
        <v>2835765.7657657638</v>
      </c>
      <c r="R502">
        <v>6820090.0900900885</v>
      </c>
      <c r="S502">
        <v>1662</v>
      </c>
      <c r="T502">
        <v>1640</v>
      </c>
    </row>
    <row r="503" spans="1:20" x14ac:dyDescent="0.35">
      <c r="A503" s="7" t="s">
        <v>601</v>
      </c>
      <c r="B503" s="12" t="s">
        <v>90</v>
      </c>
      <c r="C503">
        <v>107838644.04654427</v>
      </c>
      <c r="D503">
        <v>113703643.75688177</v>
      </c>
      <c r="E503">
        <v>138337837.83783785</v>
      </c>
      <c r="F503">
        <v>139213513.51351351</v>
      </c>
      <c r="G503">
        <v>21</v>
      </c>
      <c r="H503">
        <v>11</v>
      </c>
      <c r="I503">
        <v>1</v>
      </c>
      <c r="K503">
        <v>96</v>
      </c>
      <c r="L503">
        <v>13</v>
      </c>
      <c r="M503">
        <v>10521081.081081076</v>
      </c>
      <c r="N503">
        <v>25262162.162162159</v>
      </c>
      <c r="O503">
        <v>25963252.252252251</v>
      </c>
      <c r="P503">
        <v>31234891.891891889</v>
      </c>
      <c r="Q503">
        <v>8902342.3423423376</v>
      </c>
      <c r="R503">
        <v>23656486.486486487</v>
      </c>
      <c r="S503">
        <v>3466</v>
      </c>
      <c r="T503">
        <v>4572</v>
      </c>
    </row>
    <row r="504" spans="1:20" x14ac:dyDescent="0.35">
      <c r="A504" s="7" t="s">
        <v>602</v>
      </c>
      <c r="B504" s="12" t="s">
        <v>144</v>
      </c>
      <c r="C504">
        <v>42185937.480010085</v>
      </c>
      <c r="D504">
        <v>40764500.687879339</v>
      </c>
      <c r="E504">
        <v>720720.72072072199</v>
      </c>
      <c r="F504">
        <v>85585.585585585999</v>
      </c>
      <c r="G504">
        <v>1</v>
      </c>
      <c r="H504">
        <v>2</v>
      </c>
      <c r="K504">
        <v>1</v>
      </c>
      <c r="L504">
        <v>3</v>
      </c>
      <c r="M504">
        <v>4324324.3243243247</v>
      </c>
      <c r="N504">
        <v>1436936.9369369361</v>
      </c>
      <c r="O504">
        <v>3677666.666666666</v>
      </c>
      <c r="P504">
        <v>3653468.4684684682</v>
      </c>
      <c r="Q504">
        <v>2595315.315315315</v>
      </c>
      <c r="R504">
        <v>1867927.927927928</v>
      </c>
      <c r="S504">
        <v>1212</v>
      </c>
      <c r="T504">
        <v>1166</v>
      </c>
    </row>
    <row r="505" spans="1:20" x14ac:dyDescent="0.35">
      <c r="A505" s="7" t="s">
        <v>603</v>
      </c>
      <c r="B505" s="12" t="s">
        <v>126</v>
      </c>
      <c r="C505">
        <v>104112327.85996252</v>
      </c>
      <c r="D505">
        <v>113397663.52334139</v>
      </c>
      <c r="E505">
        <v>79279.279279281007</v>
      </c>
      <c r="F505">
        <v>97297.297297297002</v>
      </c>
      <c r="G505">
        <v>9</v>
      </c>
      <c r="H505">
        <v>11</v>
      </c>
      <c r="K505">
        <v>11</v>
      </c>
      <c r="L505">
        <v>13</v>
      </c>
      <c r="M505">
        <v>4855315.3153153174</v>
      </c>
      <c r="N505">
        <v>2363693.6936936919</v>
      </c>
      <c r="O505">
        <v>39806945.945945941</v>
      </c>
      <c r="P505">
        <v>42592315.315315314</v>
      </c>
      <c r="Q505">
        <v>5137837.8378378376</v>
      </c>
      <c r="R505">
        <v>2841621.6216216199</v>
      </c>
      <c r="S505">
        <v>3394</v>
      </c>
      <c r="T505">
        <v>3367</v>
      </c>
    </row>
    <row r="506" spans="1:20" x14ac:dyDescent="0.35">
      <c r="A506" s="7" t="s">
        <v>604</v>
      </c>
      <c r="B506" s="12" t="s">
        <v>51</v>
      </c>
      <c r="C506">
        <v>260543099.51025727</v>
      </c>
      <c r="D506">
        <v>290863767.04681313</v>
      </c>
      <c r="E506">
        <v>2482882.8828828838</v>
      </c>
      <c r="F506">
        <v>2116216.216216221</v>
      </c>
      <c r="G506">
        <v>24</v>
      </c>
      <c r="H506">
        <v>23</v>
      </c>
      <c r="I506">
        <v>1</v>
      </c>
      <c r="K506">
        <v>26</v>
      </c>
      <c r="L506">
        <v>23</v>
      </c>
      <c r="M506">
        <v>30630180.180180177</v>
      </c>
      <c r="N506">
        <v>24713963.963963967</v>
      </c>
      <c r="O506">
        <v>109011936.93693694</v>
      </c>
      <c r="P506">
        <v>121306540.54054055</v>
      </c>
      <c r="Q506">
        <v>31660360.360360362</v>
      </c>
      <c r="R506">
        <v>26325405.40540541</v>
      </c>
      <c r="S506">
        <v>7697</v>
      </c>
      <c r="T506">
        <v>7773</v>
      </c>
    </row>
    <row r="507" spans="1:20" x14ac:dyDescent="0.35">
      <c r="A507" s="7" t="s">
        <v>605</v>
      </c>
      <c r="B507" s="12" t="s">
        <v>90</v>
      </c>
      <c r="C507">
        <v>77281722.277668014</v>
      </c>
      <c r="D507">
        <v>78807798.879772186</v>
      </c>
      <c r="E507">
        <v>298198.19819820399</v>
      </c>
      <c r="F507">
        <v>2491891.8918918911</v>
      </c>
      <c r="G507">
        <v>8</v>
      </c>
      <c r="H507">
        <v>6</v>
      </c>
      <c r="K507">
        <v>8</v>
      </c>
      <c r="L507">
        <v>7</v>
      </c>
      <c r="M507">
        <v>24662522.522522524</v>
      </c>
      <c r="N507">
        <v>29453164.864864863</v>
      </c>
      <c r="O507">
        <v>23449747.747747749</v>
      </c>
      <c r="P507">
        <v>25995558.558558561</v>
      </c>
      <c r="Q507">
        <v>23079189.189189188</v>
      </c>
      <c r="R507">
        <v>29820810.810810812</v>
      </c>
      <c r="S507">
        <v>2403</v>
      </c>
      <c r="T507">
        <v>2443</v>
      </c>
    </row>
    <row r="508" spans="1:20" x14ac:dyDescent="0.35">
      <c r="A508" s="7" t="s">
        <v>606</v>
      </c>
      <c r="B508" s="12" t="s">
        <v>88</v>
      </c>
      <c r="C508">
        <v>69694433.917135075</v>
      </c>
      <c r="D508">
        <v>69676831.543064788</v>
      </c>
      <c r="E508">
        <v>436936.93693693698</v>
      </c>
      <c r="F508">
        <v>270270.27027027</v>
      </c>
      <c r="G508">
        <v>10</v>
      </c>
      <c r="H508">
        <v>6</v>
      </c>
      <c r="K508">
        <v>11</v>
      </c>
      <c r="L508">
        <v>7</v>
      </c>
      <c r="M508">
        <v>716216.21621621598</v>
      </c>
      <c r="N508">
        <v>1144144.1441441439</v>
      </c>
      <c r="O508">
        <v>4915900.9009009013</v>
      </c>
      <c r="P508">
        <v>7425045.0450450452</v>
      </c>
      <c r="Q508">
        <v>720720.72072072094</v>
      </c>
      <c r="R508">
        <v>1320090.0900900911</v>
      </c>
      <c r="S508">
        <v>1264</v>
      </c>
      <c r="T508">
        <v>1267</v>
      </c>
    </row>
    <row r="509" spans="1:20" x14ac:dyDescent="0.35">
      <c r="A509" s="7" t="s">
        <v>607</v>
      </c>
      <c r="B509" s="12" t="s">
        <v>141</v>
      </c>
      <c r="C509">
        <v>552166993.60060787</v>
      </c>
      <c r="D509">
        <v>591318076.40009487</v>
      </c>
      <c r="E509">
        <v>251721834.23423424</v>
      </c>
      <c r="F509">
        <v>402117927.02702707</v>
      </c>
      <c r="G509">
        <v>207</v>
      </c>
      <c r="H509">
        <v>146</v>
      </c>
      <c r="I509">
        <v>6</v>
      </c>
      <c r="K509">
        <v>370</v>
      </c>
      <c r="L509">
        <v>267</v>
      </c>
      <c r="M509">
        <v>90654054.054054067</v>
      </c>
      <c r="N509">
        <v>114304009.009009</v>
      </c>
      <c r="O509">
        <v>137108081.08108109</v>
      </c>
      <c r="P509">
        <v>148767095.4954955</v>
      </c>
      <c r="Q509">
        <v>93605045.045045033</v>
      </c>
      <c r="R509">
        <v>112739727.92792794</v>
      </c>
      <c r="S509">
        <v>19154</v>
      </c>
      <c r="T509">
        <v>19290</v>
      </c>
    </row>
    <row r="510" spans="1:20" x14ac:dyDescent="0.35">
      <c r="A510" s="7" t="s">
        <v>608</v>
      </c>
      <c r="B510" s="12" t="s">
        <v>226</v>
      </c>
      <c r="C510">
        <v>93572789.99564521</v>
      </c>
      <c r="D510">
        <v>105174448.82903416</v>
      </c>
      <c r="E510">
        <v>64864.864864864998</v>
      </c>
      <c r="F510">
        <v>981081.08108108095</v>
      </c>
      <c r="G510">
        <v>20</v>
      </c>
      <c r="H510">
        <v>13</v>
      </c>
      <c r="K510">
        <v>20</v>
      </c>
      <c r="L510">
        <v>15</v>
      </c>
      <c r="M510">
        <v>1686486.4864864859</v>
      </c>
      <c r="N510">
        <v>3233333.333333333</v>
      </c>
      <c r="O510">
        <v>31164891.891891893</v>
      </c>
      <c r="P510">
        <v>38319054.054054059</v>
      </c>
      <c r="Q510">
        <v>3416846.8468468469</v>
      </c>
      <c r="R510">
        <v>3372342.3423423418</v>
      </c>
      <c r="S510">
        <v>4864</v>
      </c>
      <c r="T510">
        <v>3506</v>
      </c>
    </row>
    <row r="511" spans="1:20" x14ac:dyDescent="0.35">
      <c r="A511" s="7" t="s">
        <v>609</v>
      </c>
      <c r="B511" s="12" t="s">
        <v>226</v>
      </c>
      <c r="C511">
        <v>60398281.080863655</v>
      </c>
      <c r="D511">
        <v>67283874.964762211</v>
      </c>
      <c r="E511">
        <v>35135.135135135002</v>
      </c>
      <c r="F511">
        <v>9009.0090090089998</v>
      </c>
      <c r="G511">
        <v>14</v>
      </c>
      <c r="H511">
        <v>10</v>
      </c>
      <c r="K511">
        <v>15</v>
      </c>
      <c r="L511">
        <v>11</v>
      </c>
      <c r="M511">
        <v>2737837.8378378381</v>
      </c>
      <c r="N511">
        <v>3990090.0900900899</v>
      </c>
      <c r="O511">
        <v>17718126.126126125</v>
      </c>
      <c r="P511">
        <v>22484513.513513513</v>
      </c>
      <c r="Q511">
        <v>3461081.0810810812</v>
      </c>
      <c r="R511">
        <v>5078288.2882882887</v>
      </c>
      <c r="S511">
        <v>3242</v>
      </c>
      <c r="T511">
        <v>3203</v>
      </c>
    </row>
    <row r="512" spans="1:20" x14ac:dyDescent="0.35">
      <c r="A512" s="7" t="s">
        <v>610</v>
      </c>
      <c r="B512" s="12" t="s">
        <v>243</v>
      </c>
      <c r="C512">
        <v>50039313.901030257</v>
      </c>
      <c r="D512">
        <v>57427648.022144295</v>
      </c>
      <c r="E512">
        <v>188288.28828828901</v>
      </c>
      <c r="F512">
        <v>58558.558558559002</v>
      </c>
      <c r="G512">
        <v>30</v>
      </c>
      <c r="H512">
        <v>24</v>
      </c>
      <c r="K512">
        <v>32</v>
      </c>
      <c r="L512">
        <v>27</v>
      </c>
      <c r="M512">
        <v>3125225.2252252251</v>
      </c>
      <c r="N512">
        <v>2663063.0630630618</v>
      </c>
      <c r="O512">
        <v>16038549.549549548</v>
      </c>
      <c r="P512">
        <v>19351738.738738742</v>
      </c>
      <c r="Q512">
        <v>3265045.0450450452</v>
      </c>
      <c r="R512">
        <v>3039909.9099099101</v>
      </c>
      <c r="S512">
        <v>2293</v>
      </c>
      <c r="T512">
        <v>2339</v>
      </c>
    </row>
    <row r="513" spans="1:20" x14ac:dyDescent="0.35">
      <c r="A513" s="7" t="s">
        <v>611</v>
      </c>
      <c r="B513" s="12" t="s">
        <v>141</v>
      </c>
      <c r="C513">
        <v>15793917.228944359</v>
      </c>
      <c r="D513">
        <v>15509778.479271855</v>
      </c>
      <c r="E513">
        <v>2702.7027027029999</v>
      </c>
      <c r="F513">
        <v>5405.4054054050002</v>
      </c>
      <c r="G513">
        <v>4</v>
      </c>
      <c r="I513">
        <v>1</v>
      </c>
      <c r="K513">
        <v>4</v>
      </c>
      <c r="L513">
        <v>1</v>
      </c>
      <c r="M513">
        <v>227927.92792792799</v>
      </c>
      <c r="N513">
        <v>720720.72072072094</v>
      </c>
      <c r="O513">
        <v>1754360.36036036</v>
      </c>
      <c r="P513">
        <v>2473108.1081081079</v>
      </c>
      <c r="Q513">
        <v>426036.03603603598</v>
      </c>
      <c r="R513">
        <v>598288.28828828898</v>
      </c>
      <c r="S513">
        <v>344</v>
      </c>
      <c r="T513">
        <v>318</v>
      </c>
    </row>
    <row r="514" spans="1:20" x14ac:dyDescent="0.35">
      <c r="A514" s="7" t="s">
        <v>612</v>
      </c>
      <c r="B514" s="12" t="s">
        <v>191</v>
      </c>
      <c r="E514">
        <v>3603603.6036036038</v>
      </c>
      <c r="F514">
        <v>39074813.513513513</v>
      </c>
      <c r="M514">
        <v>663513.51351351396</v>
      </c>
      <c r="N514">
        <v>9162162.1621621624</v>
      </c>
    </row>
    <row r="515" spans="1:20" x14ac:dyDescent="0.35">
      <c r="A515" s="7" t="s">
        <v>613</v>
      </c>
      <c r="B515" s="12" t="s">
        <v>191</v>
      </c>
      <c r="C515">
        <v>58048393.465680398</v>
      </c>
      <c r="D515">
        <v>53763630.33199013</v>
      </c>
      <c r="E515">
        <v>858558.558558558</v>
      </c>
      <c r="F515">
        <v>22522.522522523999</v>
      </c>
      <c r="G515">
        <v>41</v>
      </c>
      <c r="H515">
        <v>12</v>
      </c>
      <c r="K515">
        <v>47</v>
      </c>
      <c r="L515">
        <v>14</v>
      </c>
      <c r="M515">
        <v>5092792.7927927934</v>
      </c>
      <c r="N515">
        <v>3531531.5315315318</v>
      </c>
      <c r="O515">
        <v>14932301.801801801</v>
      </c>
      <c r="P515">
        <v>13507342.342342341</v>
      </c>
      <c r="Q515">
        <v>3787477.4774774779</v>
      </c>
      <c r="R515">
        <v>2623243.243243244</v>
      </c>
      <c r="S515">
        <v>1677</v>
      </c>
      <c r="T515">
        <v>1456</v>
      </c>
    </row>
    <row r="516" spans="1:20" x14ac:dyDescent="0.35">
      <c r="A516" s="7" t="s">
        <v>614</v>
      </c>
      <c r="B516" s="12" t="s">
        <v>191</v>
      </c>
      <c r="C516">
        <v>172671763.70361632</v>
      </c>
      <c r="D516">
        <v>167113233.84806406</v>
      </c>
      <c r="E516">
        <v>162162.162162163</v>
      </c>
      <c r="F516">
        <v>40540.540540540998</v>
      </c>
      <c r="G516">
        <v>58</v>
      </c>
      <c r="H516">
        <v>59</v>
      </c>
      <c r="K516">
        <v>61</v>
      </c>
      <c r="L516">
        <v>61</v>
      </c>
      <c r="M516">
        <v>7954954.9549549548</v>
      </c>
      <c r="N516">
        <v>8418918.9189189188</v>
      </c>
      <c r="O516">
        <v>30476477.47747748</v>
      </c>
      <c r="P516">
        <v>29743918.918918919</v>
      </c>
      <c r="Q516">
        <v>4457927.9279279271</v>
      </c>
      <c r="R516">
        <v>4623153.1531531541</v>
      </c>
      <c r="S516">
        <v>5003</v>
      </c>
      <c r="T516">
        <v>5033</v>
      </c>
    </row>
    <row r="517" spans="1:20" x14ac:dyDescent="0.35">
      <c r="A517" s="7" t="s">
        <v>615</v>
      </c>
      <c r="B517" s="12" t="s">
        <v>191</v>
      </c>
      <c r="C517">
        <v>67114761.968674585</v>
      </c>
      <c r="D517">
        <v>75730799.481116146</v>
      </c>
      <c r="E517">
        <v>28328017.117117122</v>
      </c>
      <c r="F517">
        <v>27776927.02702703</v>
      </c>
      <c r="G517">
        <v>13</v>
      </c>
      <c r="H517">
        <v>10</v>
      </c>
      <c r="K517">
        <v>14</v>
      </c>
      <c r="L517">
        <v>11</v>
      </c>
      <c r="M517">
        <v>22702022.522522524</v>
      </c>
      <c r="N517">
        <v>6792792.7927927943</v>
      </c>
      <c r="O517">
        <v>7762207.2072072057</v>
      </c>
      <c r="P517">
        <v>11893450.450450452</v>
      </c>
      <c r="Q517">
        <v>6415045.0450450452</v>
      </c>
      <c r="R517">
        <v>4553693.6936936928</v>
      </c>
      <c r="S517">
        <v>1670</v>
      </c>
      <c r="T517">
        <v>1736</v>
      </c>
    </row>
    <row r="518" spans="1:20" x14ac:dyDescent="0.35">
      <c r="A518" s="7" t="s">
        <v>616</v>
      </c>
      <c r="B518" s="12" t="s">
        <v>191</v>
      </c>
      <c r="C518">
        <v>25846509.964308679</v>
      </c>
      <c r="D518">
        <v>29868513.32241099</v>
      </c>
      <c r="E518">
        <v>377927.92792792898</v>
      </c>
      <c r="F518">
        <v>4504.5045045050001</v>
      </c>
      <c r="G518">
        <v>8</v>
      </c>
      <c r="H518">
        <v>24</v>
      </c>
      <c r="K518">
        <v>10</v>
      </c>
      <c r="L518">
        <v>36</v>
      </c>
      <c r="M518">
        <v>4121981.9819819829</v>
      </c>
      <c r="N518">
        <v>3418918.9189189202</v>
      </c>
      <c r="O518">
        <v>4810864.8648648644</v>
      </c>
      <c r="P518">
        <v>6615756.7567567574</v>
      </c>
      <c r="Q518">
        <v>3392072.072072072</v>
      </c>
      <c r="R518">
        <v>1205585.585585586</v>
      </c>
      <c r="S518">
        <v>961</v>
      </c>
      <c r="T518">
        <v>975</v>
      </c>
    </row>
    <row r="519" spans="1:20" x14ac:dyDescent="0.35">
      <c r="A519" s="7" t="s">
        <v>617</v>
      </c>
      <c r="B519" s="12" t="s">
        <v>144</v>
      </c>
      <c r="C519">
        <v>186561239.71988612</v>
      </c>
      <c r="D519">
        <v>206446107.3965154</v>
      </c>
      <c r="E519">
        <v>807201.80180180306</v>
      </c>
      <c r="F519">
        <v>398365.76576576801</v>
      </c>
      <c r="G519">
        <v>93</v>
      </c>
      <c r="H519">
        <v>37</v>
      </c>
      <c r="K519">
        <v>113</v>
      </c>
      <c r="L519">
        <v>200</v>
      </c>
      <c r="M519">
        <v>8833333.333333334</v>
      </c>
      <c r="N519">
        <v>9900900.9009009004</v>
      </c>
      <c r="O519">
        <v>23381085.585585583</v>
      </c>
      <c r="P519">
        <v>32675252.252252251</v>
      </c>
      <c r="Q519">
        <v>17455718.918918919</v>
      </c>
      <c r="R519">
        <v>19303693.693693694</v>
      </c>
      <c r="S519">
        <v>6674</v>
      </c>
      <c r="T519">
        <v>7809</v>
      </c>
    </row>
    <row r="520" spans="1:20" x14ac:dyDescent="0.35">
      <c r="A520" s="7" t="s">
        <v>618</v>
      </c>
      <c r="B520" s="12" t="s">
        <v>191</v>
      </c>
      <c r="C520">
        <v>219275581.6311186</v>
      </c>
      <c r="D520">
        <v>243780568.02806035</v>
      </c>
      <c r="E520">
        <v>1216891.891891896</v>
      </c>
      <c r="F520">
        <v>927927.927927932</v>
      </c>
      <c r="G520">
        <v>71</v>
      </c>
      <c r="H520">
        <v>92</v>
      </c>
      <c r="K520">
        <v>108</v>
      </c>
      <c r="L520">
        <v>147</v>
      </c>
      <c r="M520">
        <v>10173693.693693692</v>
      </c>
      <c r="N520">
        <v>4779279.2792792814</v>
      </c>
      <c r="O520">
        <v>21084763.963963963</v>
      </c>
      <c r="P520">
        <v>26903378.37837838</v>
      </c>
      <c r="Q520">
        <v>8689682.8828828856</v>
      </c>
      <c r="R520">
        <v>3660540.540540542</v>
      </c>
      <c r="S520">
        <v>7363</v>
      </c>
      <c r="T520">
        <v>7557</v>
      </c>
    </row>
    <row r="521" spans="1:20" x14ac:dyDescent="0.35">
      <c r="A521" s="7" t="s">
        <v>619</v>
      </c>
      <c r="B521" s="12" t="s">
        <v>55</v>
      </c>
      <c r="C521">
        <v>152991264.62705466</v>
      </c>
      <c r="D521">
        <v>158021759.5620904</v>
      </c>
      <c r="E521">
        <v>2381981.9819819848</v>
      </c>
      <c r="F521">
        <v>4084684.684684685</v>
      </c>
      <c r="G521">
        <v>48</v>
      </c>
      <c r="H521">
        <v>29</v>
      </c>
      <c r="K521">
        <v>55</v>
      </c>
      <c r="L521">
        <v>51</v>
      </c>
      <c r="M521">
        <v>25805405.405405402</v>
      </c>
      <c r="N521">
        <v>28872972.97297297</v>
      </c>
      <c r="O521">
        <v>48682441.441441439</v>
      </c>
      <c r="P521">
        <v>52174801.801801801</v>
      </c>
      <c r="Q521">
        <v>23614504.504504506</v>
      </c>
      <c r="R521">
        <v>28733423.423423424</v>
      </c>
      <c r="S521">
        <v>6371</v>
      </c>
      <c r="T521">
        <v>6273</v>
      </c>
    </row>
    <row r="522" spans="1:20" x14ac:dyDescent="0.35">
      <c r="A522" s="7" t="s">
        <v>620</v>
      </c>
      <c r="B522" s="12" t="s">
        <v>55</v>
      </c>
      <c r="C522">
        <v>83148005.399564013</v>
      </c>
      <c r="D522">
        <v>88305355.195232466</v>
      </c>
      <c r="E522">
        <v>220720.720720721</v>
      </c>
      <c r="F522">
        <v>239639.639639639</v>
      </c>
      <c r="G522">
        <v>9</v>
      </c>
      <c r="H522">
        <v>4</v>
      </c>
      <c r="I522">
        <v>1</v>
      </c>
      <c r="K522">
        <v>11</v>
      </c>
      <c r="L522">
        <v>6</v>
      </c>
      <c r="M522">
        <v>2653153.1531531531</v>
      </c>
      <c r="N522">
        <v>2290990.9909909908</v>
      </c>
      <c r="O522">
        <v>14220387.387387387</v>
      </c>
      <c r="P522">
        <v>16280927.927927928</v>
      </c>
      <c r="Q522">
        <v>2505225.225225226</v>
      </c>
      <c r="R522">
        <v>2773153.1531531522</v>
      </c>
      <c r="S522">
        <v>2586</v>
      </c>
      <c r="T522">
        <v>2808</v>
      </c>
    </row>
    <row r="523" spans="1:20" x14ac:dyDescent="0.35">
      <c r="A523" s="7" t="s">
        <v>621</v>
      </c>
      <c r="B523" s="12" t="s">
        <v>61</v>
      </c>
      <c r="C523">
        <v>128743931.37900962</v>
      </c>
      <c r="D523">
        <v>140960646.91499919</v>
      </c>
      <c r="E523">
        <v>2135135.1351351398</v>
      </c>
      <c r="F523">
        <v>1578378.3783783829</v>
      </c>
      <c r="G523">
        <v>56</v>
      </c>
      <c r="H523">
        <v>20</v>
      </c>
      <c r="K523">
        <v>111</v>
      </c>
      <c r="L523">
        <v>32</v>
      </c>
      <c r="M523">
        <v>19391711.711711712</v>
      </c>
      <c r="N523">
        <v>28497297.297297299</v>
      </c>
      <c r="O523">
        <v>42292810.810810804</v>
      </c>
      <c r="P523">
        <v>46303306.306306303</v>
      </c>
      <c r="Q523">
        <v>17409909.909909911</v>
      </c>
      <c r="R523">
        <v>25505945.945945945</v>
      </c>
      <c r="S523">
        <v>4390</v>
      </c>
      <c r="T523">
        <v>4378</v>
      </c>
    </row>
    <row r="524" spans="1:20" x14ac:dyDescent="0.35">
      <c r="A524" s="7" t="s">
        <v>622</v>
      </c>
      <c r="B524" s="12" t="s">
        <v>61</v>
      </c>
      <c r="C524">
        <v>134932096.56140634</v>
      </c>
      <c r="D524">
        <v>139726555.18052295</v>
      </c>
      <c r="E524">
        <v>807207.20720720896</v>
      </c>
      <c r="F524">
        <v>906306.30630631105</v>
      </c>
      <c r="G524">
        <v>39</v>
      </c>
      <c r="H524">
        <v>26</v>
      </c>
      <c r="K524">
        <v>42</v>
      </c>
      <c r="L524">
        <v>33</v>
      </c>
      <c r="M524">
        <v>16936936.936936941</v>
      </c>
      <c r="N524">
        <v>26077477.47747748</v>
      </c>
      <c r="O524">
        <v>71261540.540540546</v>
      </c>
      <c r="P524">
        <v>72278567.567567572</v>
      </c>
      <c r="Q524">
        <v>15913603.603603603</v>
      </c>
      <c r="R524">
        <v>22945855.855855856</v>
      </c>
      <c r="S524">
        <v>5548</v>
      </c>
      <c r="T524">
        <v>5516</v>
      </c>
    </row>
    <row r="525" spans="1:20" x14ac:dyDescent="0.35">
      <c r="A525" s="7" t="s">
        <v>623</v>
      </c>
      <c r="B525" s="12" t="s">
        <v>61</v>
      </c>
      <c r="C525">
        <v>174834383.9411802</v>
      </c>
      <c r="D525">
        <v>192178500.79173994</v>
      </c>
      <c r="E525">
        <v>1892792.7927928001</v>
      </c>
      <c r="F525">
        <v>2839639.639639643</v>
      </c>
      <c r="G525">
        <v>27</v>
      </c>
      <c r="H525">
        <v>11</v>
      </c>
      <c r="K525">
        <v>32</v>
      </c>
      <c r="L525">
        <v>14</v>
      </c>
      <c r="M525">
        <v>24813513.51351352</v>
      </c>
      <c r="N525">
        <v>32551351.351351351</v>
      </c>
      <c r="O525">
        <v>58060414.864864863</v>
      </c>
      <c r="P525">
        <v>64976063.063063063</v>
      </c>
      <c r="Q525">
        <v>23273963.963963967</v>
      </c>
      <c r="R525">
        <v>30247837.837837838</v>
      </c>
      <c r="S525">
        <v>6519</v>
      </c>
      <c r="T525">
        <v>5620</v>
      </c>
    </row>
    <row r="526" spans="1:20" x14ac:dyDescent="0.35">
      <c r="A526" s="7" t="s">
        <v>624</v>
      </c>
      <c r="B526" s="12" t="s">
        <v>625</v>
      </c>
      <c r="C526">
        <v>210980580.20661414</v>
      </c>
      <c r="D526">
        <v>218092803.39433908</v>
      </c>
      <c r="E526">
        <v>3476351.3513513538</v>
      </c>
      <c r="F526">
        <v>2024324.3243243319</v>
      </c>
      <c r="G526">
        <v>97</v>
      </c>
      <c r="H526">
        <v>41</v>
      </c>
      <c r="I526">
        <v>1</v>
      </c>
      <c r="K526">
        <v>231</v>
      </c>
      <c r="L526">
        <v>71</v>
      </c>
      <c r="M526">
        <v>11727927.927927928</v>
      </c>
      <c r="N526">
        <v>13019819.819819825</v>
      </c>
      <c r="O526">
        <v>24843486.486486487</v>
      </c>
      <c r="P526">
        <v>30028279.27927928</v>
      </c>
      <c r="Q526">
        <v>12913693.693693696</v>
      </c>
      <c r="R526">
        <v>14450540.540540539</v>
      </c>
      <c r="S526">
        <v>7571</v>
      </c>
      <c r="T526">
        <v>7358</v>
      </c>
    </row>
    <row r="527" spans="1:20" x14ac:dyDescent="0.35">
      <c r="A527" s="7" t="s">
        <v>626</v>
      </c>
      <c r="B527" s="12" t="s">
        <v>625</v>
      </c>
      <c r="C527">
        <v>153706735.5239349</v>
      </c>
      <c r="D527">
        <v>157520408.99010521</v>
      </c>
      <c r="E527">
        <v>3047747.7477477491</v>
      </c>
      <c r="F527">
        <v>2044144.144144146</v>
      </c>
      <c r="G527">
        <v>55</v>
      </c>
      <c r="H527">
        <v>48</v>
      </c>
      <c r="I527">
        <v>1</v>
      </c>
      <c r="K527">
        <v>68</v>
      </c>
      <c r="L527">
        <v>58</v>
      </c>
      <c r="M527">
        <v>13236936.936936935</v>
      </c>
      <c r="N527">
        <v>13652252.252252253</v>
      </c>
      <c r="O527">
        <v>25230781.531531531</v>
      </c>
      <c r="P527">
        <v>26239436.936936937</v>
      </c>
      <c r="Q527">
        <v>11935045.045045046</v>
      </c>
      <c r="R527">
        <v>12303513.513513515</v>
      </c>
      <c r="S527">
        <v>5820</v>
      </c>
      <c r="T527">
        <v>5593</v>
      </c>
    </row>
    <row r="528" spans="1:20" x14ac:dyDescent="0.35">
      <c r="A528" s="7" t="s">
        <v>627</v>
      </c>
      <c r="B528" s="12" t="s">
        <v>625</v>
      </c>
      <c r="C528">
        <v>160875966.96735033</v>
      </c>
      <c r="D528">
        <v>161017797.30937141</v>
      </c>
      <c r="E528">
        <v>38443263.963963971</v>
      </c>
      <c r="F528">
        <v>45765418.91891893</v>
      </c>
      <c r="G528">
        <v>62</v>
      </c>
      <c r="H528">
        <v>53</v>
      </c>
      <c r="K528">
        <v>77</v>
      </c>
      <c r="L528">
        <v>65</v>
      </c>
      <c r="M528">
        <v>12381008.108108105</v>
      </c>
      <c r="N528">
        <v>16475225.225225229</v>
      </c>
      <c r="O528">
        <v>25605427.927927926</v>
      </c>
      <c r="P528">
        <v>27659801.801801804</v>
      </c>
      <c r="Q528">
        <v>8074414.414414417</v>
      </c>
      <c r="R528">
        <v>8400540.5405405387</v>
      </c>
      <c r="S528">
        <v>5344</v>
      </c>
      <c r="T528">
        <v>5182</v>
      </c>
    </row>
    <row r="529" spans="1:20" x14ac:dyDescent="0.35">
      <c r="A529" s="7" t="s">
        <v>628</v>
      </c>
      <c r="B529" s="12" t="s">
        <v>625</v>
      </c>
      <c r="C529">
        <v>117573243.53969486</v>
      </c>
      <c r="D529">
        <v>122099520.4109073</v>
      </c>
      <c r="E529">
        <v>327927.92792792898</v>
      </c>
      <c r="F529">
        <v>22011711.711711712</v>
      </c>
      <c r="G529">
        <v>28</v>
      </c>
      <c r="H529">
        <v>59</v>
      </c>
      <c r="I529">
        <v>2</v>
      </c>
      <c r="K529">
        <v>40</v>
      </c>
      <c r="L529">
        <v>65</v>
      </c>
      <c r="M529">
        <v>11127927.927927928</v>
      </c>
      <c r="N529">
        <v>12784234.234234236</v>
      </c>
      <c r="O529">
        <v>14877878.37837838</v>
      </c>
      <c r="P529">
        <v>17701727.927927926</v>
      </c>
      <c r="Q529">
        <v>9400090.0900900904</v>
      </c>
      <c r="R529">
        <v>10741621.621621622</v>
      </c>
      <c r="S529">
        <v>3620</v>
      </c>
      <c r="T529">
        <v>3624</v>
      </c>
    </row>
    <row r="530" spans="1:20" x14ac:dyDescent="0.35">
      <c r="A530" s="7" t="s">
        <v>629</v>
      </c>
      <c r="B530" s="12" t="s">
        <v>262</v>
      </c>
      <c r="C530">
        <v>62105902.471167229</v>
      </c>
      <c r="D530">
        <v>69995545.507352605</v>
      </c>
      <c r="E530">
        <v>241441.441441442</v>
      </c>
      <c r="F530">
        <v>57657.657657657001</v>
      </c>
      <c r="G530">
        <v>9</v>
      </c>
      <c r="K530">
        <v>10</v>
      </c>
      <c r="M530">
        <v>4675675.6756756762</v>
      </c>
      <c r="N530">
        <v>4744864.8648648653</v>
      </c>
      <c r="O530">
        <v>20018567.567567568</v>
      </c>
      <c r="P530">
        <v>24221126.126126129</v>
      </c>
      <c r="Q530">
        <v>5949189.1891891882</v>
      </c>
      <c r="R530">
        <v>8310180.1801801799</v>
      </c>
      <c r="S530">
        <v>2128</v>
      </c>
      <c r="T530">
        <v>2179</v>
      </c>
    </row>
    <row r="531" spans="1:20" x14ac:dyDescent="0.35">
      <c r="A531" s="7" t="s">
        <v>630</v>
      </c>
      <c r="B531" s="12" t="s">
        <v>53</v>
      </c>
      <c r="C531">
        <v>96415759.843477324</v>
      </c>
      <c r="D531">
        <v>100160768.20944045</v>
      </c>
      <c r="E531">
        <v>75675.675675677005</v>
      </c>
      <c r="F531">
        <v>637837.83783783996</v>
      </c>
      <c r="G531">
        <v>29</v>
      </c>
      <c r="H531">
        <v>9</v>
      </c>
      <c r="K531">
        <v>59</v>
      </c>
      <c r="L531">
        <v>28</v>
      </c>
      <c r="M531">
        <v>1877477.4774774781</v>
      </c>
      <c r="N531">
        <v>3178378.3783783801</v>
      </c>
      <c r="O531">
        <v>34025459.459459454</v>
      </c>
      <c r="P531">
        <v>33762378.378378376</v>
      </c>
      <c r="Q531">
        <v>1818198.1981981981</v>
      </c>
      <c r="R531">
        <v>1989369.3693693711</v>
      </c>
      <c r="S531">
        <v>4395</v>
      </c>
      <c r="T531">
        <v>4355</v>
      </c>
    </row>
    <row r="532" spans="1:20" x14ac:dyDescent="0.35">
      <c r="A532" s="7" t="s">
        <v>631</v>
      </c>
      <c r="B532" s="12" t="s">
        <v>97</v>
      </c>
      <c r="C532">
        <v>239414291.14133579</v>
      </c>
      <c r="D532">
        <v>222314024.63438809</v>
      </c>
      <c r="E532">
        <v>90545317.117117122</v>
      </c>
      <c r="F532">
        <v>120794498.19819821</v>
      </c>
      <c r="G532">
        <v>114</v>
      </c>
      <c r="H532">
        <v>110</v>
      </c>
      <c r="K532">
        <v>141</v>
      </c>
      <c r="L532">
        <v>126</v>
      </c>
      <c r="M532">
        <v>86756072.072072074</v>
      </c>
      <c r="N532">
        <v>55584009.009009011</v>
      </c>
      <c r="O532">
        <v>77560581.531531543</v>
      </c>
      <c r="P532">
        <v>80268603.603603601</v>
      </c>
      <c r="Q532">
        <v>43248828.828828834</v>
      </c>
      <c r="R532">
        <v>51648018.018018015</v>
      </c>
      <c r="S532">
        <v>10573</v>
      </c>
      <c r="T532">
        <v>10656</v>
      </c>
    </row>
    <row r="533" spans="1:20" x14ac:dyDescent="0.35">
      <c r="A533" s="7" t="s">
        <v>632</v>
      </c>
      <c r="B533" s="12" t="s">
        <v>97</v>
      </c>
      <c r="C533">
        <v>400949481.33173627</v>
      </c>
      <c r="D533">
        <v>397476582.03235531</v>
      </c>
      <c r="E533">
        <v>78652252.252252251</v>
      </c>
      <c r="F533">
        <v>62618468.468468465</v>
      </c>
      <c r="G533">
        <v>74</v>
      </c>
      <c r="H533">
        <v>95</v>
      </c>
      <c r="I533">
        <v>2</v>
      </c>
      <c r="K533">
        <v>93</v>
      </c>
      <c r="L533">
        <v>113</v>
      </c>
      <c r="M533">
        <v>98050000</v>
      </c>
      <c r="N533">
        <v>80180180.180180177</v>
      </c>
      <c r="O533">
        <v>159080182.43243244</v>
      </c>
      <c r="P533">
        <v>163246864.86486486</v>
      </c>
      <c r="Q533">
        <v>97167747.747747749</v>
      </c>
      <c r="R533">
        <v>82603063.063063055</v>
      </c>
      <c r="S533">
        <v>13500</v>
      </c>
      <c r="T533">
        <v>14072</v>
      </c>
    </row>
    <row r="534" spans="1:20" x14ac:dyDescent="0.35">
      <c r="A534" s="7" t="s">
        <v>633</v>
      </c>
      <c r="B534" s="12" t="s">
        <v>452</v>
      </c>
      <c r="C534">
        <v>285961924.69813961</v>
      </c>
      <c r="D534">
        <v>285450206.19247764</v>
      </c>
      <c r="E534">
        <v>161018543.24324322</v>
      </c>
      <c r="F534">
        <v>248834597.2972973</v>
      </c>
      <c r="G534">
        <v>95</v>
      </c>
      <c r="H534">
        <v>77</v>
      </c>
      <c r="I534">
        <v>1</v>
      </c>
      <c r="K534">
        <v>119</v>
      </c>
      <c r="L534">
        <v>114</v>
      </c>
      <c r="M534">
        <v>77339369.369369373</v>
      </c>
      <c r="N534">
        <v>57995495.495495498</v>
      </c>
      <c r="O534">
        <v>86261151.351351351</v>
      </c>
      <c r="P534">
        <v>96302081.081081092</v>
      </c>
      <c r="Q534">
        <v>75697657.657657653</v>
      </c>
      <c r="R534">
        <v>54635405.40540541</v>
      </c>
      <c r="S534">
        <v>13085</v>
      </c>
      <c r="T534">
        <v>11303</v>
      </c>
    </row>
    <row r="535" spans="1:20" x14ac:dyDescent="0.35">
      <c r="A535" s="7" t="s">
        <v>634</v>
      </c>
      <c r="B535" s="12" t="s">
        <v>79</v>
      </c>
      <c r="C535">
        <v>12936834.401370794</v>
      </c>
      <c r="D535">
        <v>14375889.934614152</v>
      </c>
      <c r="E535">
        <v>291891.89189189201</v>
      </c>
      <c r="F535">
        <v>191891.891891893</v>
      </c>
      <c r="G535">
        <v>2</v>
      </c>
      <c r="K535">
        <v>2</v>
      </c>
      <c r="M535">
        <v>922522.52252252202</v>
      </c>
      <c r="N535">
        <v>1444144.1441441451</v>
      </c>
      <c r="O535">
        <v>3556603.6036036038</v>
      </c>
      <c r="P535">
        <v>4509981.9819819815</v>
      </c>
      <c r="Q535">
        <v>767837.83783783799</v>
      </c>
      <c r="R535">
        <v>840000</v>
      </c>
      <c r="S535">
        <v>368</v>
      </c>
      <c r="T535">
        <v>359</v>
      </c>
    </row>
    <row r="536" spans="1:20" x14ac:dyDescent="0.35">
      <c r="A536" s="7" t="s">
        <v>635</v>
      </c>
      <c r="B536" s="12" t="s">
        <v>243</v>
      </c>
      <c r="C536">
        <v>73503241.61149168</v>
      </c>
      <c r="D536">
        <v>71821994.55760859</v>
      </c>
      <c r="E536">
        <v>281756.75675675902</v>
      </c>
      <c r="F536">
        <v>36936.936936938</v>
      </c>
      <c r="G536">
        <v>28</v>
      </c>
      <c r="H536">
        <v>13</v>
      </c>
      <c r="K536">
        <v>33</v>
      </c>
      <c r="L536">
        <v>18</v>
      </c>
      <c r="M536">
        <v>7207027.027027024</v>
      </c>
      <c r="N536">
        <v>12007747.747747747</v>
      </c>
      <c r="O536">
        <v>16084945.945945945</v>
      </c>
      <c r="P536">
        <v>17860747.747747749</v>
      </c>
      <c r="Q536">
        <v>7298018.0180180119</v>
      </c>
      <c r="R536">
        <v>11339549.54954955</v>
      </c>
      <c r="S536">
        <v>2710</v>
      </c>
      <c r="T536">
        <v>2640</v>
      </c>
    </row>
    <row r="537" spans="1:20" x14ac:dyDescent="0.35">
      <c r="A537" s="7" t="s">
        <v>636</v>
      </c>
      <c r="B537" s="12" t="s">
        <v>69</v>
      </c>
      <c r="C537">
        <v>336122517.51109713</v>
      </c>
      <c r="D537">
        <v>360671231.73460752</v>
      </c>
      <c r="E537">
        <v>3588513.5135135138</v>
      </c>
      <c r="F537">
        <v>1703603.603603607</v>
      </c>
      <c r="G537">
        <v>156</v>
      </c>
      <c r="H537">
        <v>51</v>
      </c>
      <c r="K537">
        <v>190</v>
      </c>
      <c r="L537">
        <v>71</v>
      </c>
      <c r="M537">
        <v>36621171.171171166</v>
      </c>
      <c r="N537">
        <v>43472522.522522531</v>
      </c>
      <c r="O537">
        <v>58426410.360360362</v>
      </c>
      <c r="P537">
        <v>70853861.261261269</v>
      </c>
      <c r="Q537">
        <v>27529549.549549554</v>
      </c>
      <c r="R537">
        <v>31002792.792792793</v>
      </c>
      <c r="S537">
        <v>8890</v>
      </c>
      <c r="T537">
        <v>8804</v>
      </c>
    </row>
    <row r="538" spans="1:20" x14ac:dyDescent="0.35">
      <c r="A538" s="7" t="s">
        <v>637</v>
      </c>
      <c r="B538" s="12" t="s">
        <v>71</v>
      </c>
      <c r="C538">
        <v>2466393.107071328</v>
      </c>
      <c r="D538">
        <v>2637118.5401948942</v>
      </c>
      <c r="E538">
        <v>40540.540540540998</v>
      </c>
      <c r="F538">
        <v>81081.081081081007</v>
      </c>
      <c r="G538">
        <v>2</v>
      </c>
      <c r="K538">
        <v>2</v>
      </c>
      <c r="M538">
        <v>40540.540540540998</v>
      </c>
      <c r="N538">
        <v>135135.135135135</v>
      </c>
      <c r="O538">
        <v>1418693.693693694</v>
      </c>
      <c r="P538">
        <v>1608648.648648649</v>
      </c>
      <c r="Q538">
        <v>164864.864864865</v>
      </c>
      <c r="S538">
        <v>192</v>
      </c>
      <c r="T538">
        <v>184</v>
      </c>
    </row>
    <row r="539" spans="1:20" x14ac:dyDescent="0.35">
      <c r="A539" s="7" t="s">
        <v>638</v>
      </c>
      <c r="B539" s="12" t="s">
        <v>61</v>
      </c>
      <c r="C539">
        <v>25933208.149888996</v>
      </c>
      <c r="D539">
        <v>26808119.626251776</v>
      </c>
      <c r="E539">
        <v>2702.7027027029999</v>
      </c>
      <c r="F539">
        <v>239639.63963963999</v>
      </c>
      <c r="G539">
        <v>9</v>
      </c>
      <c r="H539">
        <v>1</v>
      </c>
      <c r="K539">
        <v>9</v>
      </c>
      <c r="L539">
        <v>3</v>
      </c>
      <c r="M539">
        <v>1227927.9279279271</v>
      </c>
      <c r="N539">
        <v>1969369.369369369</v>
      </c>
      <c r="O539">
        <v>11079207.207207208</v>
      </c>
      <c r="P539">
        <v>10408774.774774777</v>
      </c>
      <c r="Q539">
        <v>175225.225225225</v>
      </c>
      <c r="R539">
        <v>1999549.5495495501</v>
      </c>
      <c r="S539">
        <v>1069</v>
      </c>
      <c r="T539">
        <v>1112</v>
      </c>
    </row>
    <row r="540" spans="1:20" x14ac:dyDescent="0.35">
      <c r="A540" s="7" t="s">
        <v>639</v>
      </c>
      <c r="B540" s="12" t="s">
        <v>81</v>
      </c>
      <c r="C540">
        <v>264936793.12056285</v>
      </c>
      <c r="D540">
        <v>284015599.36199772</v>
      </c>
      <c r="E540">
        <v>2310810.8108108132</v>
      </c>
      <c r="F540">
        <v>2236036.0360360369</v>
      </c>
      <c r="G540">
        <v>29</v>
      </c>
      <c r="H540">
        <v>28</v>
      </c>
      <c r="I540">
        <v>1</v>
      </c>
      <c r="K540">
        <v>30</v>
      </c>
      <c r="L540">
        <v>32</v>
      </c>
      <c r="M540">
        <v>29557657.657657657</v>
      </c>
      <c r="N540">
        <v>42758558.558558561</v>
      </c>
      <c r="O540">
        <v>52993824.324324325</v>
      </c>
      <c r="P540">
        <v>59815045.045045048</v>
      </c>
      <c r="Q540">
        <v>25845945.945945948</v>
      </c>
      <c r="R540">
        <v>34875675.675675683</v>
      </c>
      <c r="S540">
        <v>6325</v>
      </c>
      <c r="T540">
        <v>6541</v>
      </c>
    </row>
    <row r="541" spans="1:20" x14ac:dyDescent="0.35">
      <c r="A541" s="7" t="s">
        <v>640</v>
      </c>
      <c r="B541" s="12" t="s">
        <v>135</v>
      </c>
      <c r="C541">
        <v>47965749.830972455</v>
      </c>
      <c r="D541">
        <v>50798170.76696039</v>
      </c>
      <c r="E541">
        <v>14184684.684684685</v>
      </c>
      <c r="F541">
        <v>5405405.405405405</v>
      </c>
      <c r="G541">
        <v>9</v>
      </c>
      <c r="H541">
        <v>6</v>
      </c>
      <c r="K541">
        <v>9</v>
      </c>
      <c r="L541">
        <v>6</v>
      </c>
      <c r="M541">
        <v>4157657.6576576582</v>
      </c>
      <c r="N541">
        <v>261261.26126126101</v>
      </c>
      <c r="O541">
        <v>2658144.1441441439</v>
      </c>
      <c r="P541">
        <v>3539414.4144144151</v>
      </c>
      <c r="Q541">
        <v>4247027.0270270268</v>
      </c>
      <c r="R541">
        <v>424414.41441441397</v>
      </c>
      <c r="S541">
        <v>1488</v>
      </c>
      <c r="T541">
        <v>1491</v>
      </c>
    </row>
    <row r="542" spans="1:20" x14ac:dyDescent="0.35">
      <c r="A542" s="7" t="s">
        <v>641</v>
      </c>
      <c r="B542" s="12" t="s">
        <v>483</v>
      </c>
      <c r="C542">
        <v>141205046.15867561</v>
      </c>
      <c r="D542">
        <v>144128332.72732446</v>
      </c>
      <c r="E542">
        <v>977477.47747747996</v>
      </c>
      <c r="F542">
        <v>948198.19819819904</v>
      </c>
      <c r="G542">
        <v>20</v>
      </c>
      <c r="H542">
        <v>24</v>
      </c>
      <c r="K542">
        <v>24</v>
      </c>
      <c r="L542">
        <v>27</v>
      </c>
      <c r="M542">
        <v>35321306.306306303</v>
      </c>
      <c r="N542">
        <v>39570225.225225225</v>
      </c>
      <c r="O542">
        <v>49007900.900900893</v>
      </c>
      <c r="P542">
        <v>55003621.621621624</v>
      </c>
      <c r="Q542">
        <v>34510945.945945941</v>
      </c>
      <c r="R542">
        <v>41768603.603603601</v>
      </c>
      <c r="S542">
        <v>5746</v>
      </c>
      <c r="T542">
        <v>5649</v>
      </c>
    </row>
    <row r="543" spans="1:20" x14ac:dyDescent="0.35">
      <c r="A543" s="7" t="s">
        <v>642</v>
      </c>
      <c r="B543" s="12" t="s">
        <v>144</v>
      </c>
      <c r="C543">
        <v>248315552.82124782</v>
      </c>
      <c r="D543">
        <v>268822156.94852954</v>
      </c>
      <c r="E543">
        <v>2905855.8558558589</v>
      </c>
      <c r="F543">
        <v>1487387.3873873879</v>
      </c>
      <c r="G543">
        <v>45</v>
      </c>
      <c r="H543">
        <v>11</v>
      </c>
      <c r="K543">
        <v>61</v>
      </c>
      <c r="L543">
        <v>15</v>
      </c>
      <c r="M543">
        <v>16711711.711711716</v>
      </c>
      <c r="N543">
        <v>16900900.900900897</v>
      </c>
      <c r="O543">
        <v>29979470.72072072</v>
      </c>
      <c r="P543">
        <v>32116234.234234232</v>
      </c>
      <c r="Q543">
        <v>12322162.162162161</v>
      </c>
      <c r="R543">
        <v>12571171.17117117</v>
      </c>
      <c r="S543">
        <v>10254</v>
      </c>
      <c r="T543">
        <v>9395</v>
      </c>
    </row>
    <row r="544" spans="1:20" x14ac:dyDescent="0.35">
      <c r="A544" s="7" t="s">
        <v>643</v>
      </c>
      <c r="B544" s="12" t="s">
        <v>243</v>
      </c>
      <c r="C544">
        <v>259602427.23541293</v>
      </c>
      <c r="D544">
        <v>268317401.92299145</v>
      </c>
      <c r="E544">
        <v>1488288.2882882899</v>
      </c>
      <c r="F544">
        <v>1048648.648648652</v>
      </c>
      <c r="G544">
        <v>143</v>
      </c>
      <c r="H544">
        <v>111</v>
      </c>
      <c r="K544">
        <v>165</v>
      </c>
      <c r="L544">
        <v>134</v>
      </c>
      <c r="M544">
        <v>13331351.351351352</v>
      </c>
      <c r="N544">
        <v>21419324.324324328</v>
      </c>
      <c r="O544">
        <v>83988331.531531543</v>
      </c>
      <c r="P544">
        <v>96276090.090090081</v>
      </c>
      <c r="Q544">
        <v>12098108.108108111</v>
      </c>
      <c r="R544">
        <v>21810945.945945952</v>
      </c>
      <c r="S544">
        <v>12838</v>
      </c>
      <c r="T544">
        <v>12850</v>
      </c>
    </row>
    <row r="545" spans="1:20" x14ac:dyDescent="0.35">
      <c r="A545" s="7" t="s">
        <v>644</v>
      </c>
      <c r="B545" s="12" t="s">
        <v>133</v>
      </c>
      <c r="C545">
        <v>95051757.394126236</v>
      </c>
      <c r="D545">
        <v>108676551.19793952</v>
      </c>
      <c r="E545">
        <v>18156756.756756756</v>
      </c>
      <c r="F545">
        <v>6068468.4684684686</v>
      </c>
      <c r="G545">
        <v>40</v>
      </c>
      <c r="H545">
        <v>30</v>
      </c>
      <c r="K545">
        <v>48</v>
      </c>
      <c r="L545">
        <v>40</v>
      </c>
      <c r="M545">
        <v>7526351.3513513505</v>
      </c>
      <c r="N545">
        <v>2984009.0090090092</v>
      </c>
      <c r="O545">
        <v>35079153.153153151</v>
      </c>
      <c r="P545">
        <v>39194106.306306303</v>
      </c>
      <c r="Q545">
        <v>2418378.3783783792</v>
      </c>
      <c r="R545">
        <v>1669324.324324325</v>
      </c>
      <c r="S545">
        <v>4758</v>
      </c>
      <c r="T545">
        <v>5644</v>
      </c>
    </row>
    <row r="546" spans="1:20" x14ac:dyDescent="0.35">
      <c r="A546" s="7" t="s">
        <v>645</v>
      </c>
      <c r="B546" s="12" t="s">
        <v>135</v>
      </c>
      <c r="C546">
        <v>308776062.681095</v>
      </c>
      <c r="D546">
        <v>344973426.87424815</v>
      </c>
      <c r="E546">
        <v>662162.16216216399</v>
      </c>
      <c r="F546">
        <v>1008108.1081081131</v>
      </c>
      <c r="G546">
        <v>45</v>
      </c>
      <c r="H546">
        <v>35</v>
      </c>
      <c r="K546">
        <v>53</v>
      </c>
      <c r="L546">
        <v>42</v>
      </c>
      <c r="M546">
        <v>24740720.72072072</v>
      </c>
      <c r="N546">
        <v>28337837.837837841</v>
      </c>
      <c r="O546">
        <v>39712646.846846849</v>
      </c>
      <c r="P546">
        <v>50969450.45045045</v>
      </c>
      <c r="Q546">
        <v>19473917.117117114</v>
      </c>
      <c r="R546">
        <v>22683243.243243244</v>
      </c>
      <c r="S546">
        <v>7317</v>
      </c>
      <c r="T546">
        <v>7617</v>
      </c>
    </row>
    <row r="547" spans="1:20" x14ac:dyDescent="0.35">
      <c r="A547" s="7" t="s">
        <v>646</v>
      </c>
      <c r="B547" s="12" t="s">
        <v>81</v>
      </c>
      <c r="C547">
        <v>163307083.38980618</v>
      </c>
      <c r="D547">
        <v>170462733.98207054</v>
      </c>
      <c r="E547">
        <v>1032432.4324324341</v>
      </c>
      <c r="F547">
        <v>987387.38738738804</v>
      </c>
      <c r="G547">
        <v>31</v>
      </c>
      <c r="H547">
        <v>12</v>
      </c>
      <c r="K547">
        <v>35</v>
      </c>
      <c r="L547">
        <v>26</v>
      </c>
      <c r="M547">
        <v>16596396.396396397</v>
      </c>
      <c r="N547">
        <v>17280180.180180181</v>
      </c>
      <c r="O547">
        <v>57765518.018018015</v>
      </c>
      <c r="P547">
        <v>62817872.072072074</v>
      </c>
      <c r="Q547">
        <v>15225945.945945948</v>
      </c>
      <c r="R547">
        <v>16375495.495495496</v>
      </c>
      <c r="S547">
        <v>4920</v>
      </c>
      <c r="T547">
        <v>5070</v>
      </c>
    </row>
    <row r="548" spans="1:20" x14ac:dyDescent="0.35">
      <c r="A548" s="7" t="s">
        <v>647</v>
      </c>
      <c r="B548" s="12" t="s">
        <v>170</v>
      </c>
      <c r="C548">
        <v>264612177.67115852</v>
      </c>
      <c r="D548">
        <v>294126521.28234673</v>
      </c>
      <c r="E548">
        <v>1051351.3513513519</v>
      </c>
      <c r="F548">
        <v>2077477.477477479</v>
      </c>
      <c r="G548">
        <v>25</v>
      </c>
      <c r="H548">
        <v>26</v>
      </c>
      <c r="I548">
        <v>1</v>
      </c>
      <c r="K548">
        <v>27</v>
      </c>
      <c r="L548">
        <v>28</v>
      </c>
      <c r="M548">
        <v>18704700</v>
      </c>
      <c r="N548">
        <v>28113513.513513513</v>
      </c>
      <c r="O548">
        <v>93266909.909909904</v>
      </c>
      <c r="P548">
        <v>110344549.54954955</v>
      </c>
      <c r="Q548">
        <v>20946216.216216218</v>
      </c>
      <c r="R548">
        <v>26812162.162162162</v>
      </c>
      <c r="S548">
        <v>8585</v>
      </c>
      <c r="T548">
        <v>8788</v>
      </c>
    </row>
    <row r="549" spans="1:20" x14ac:dyDescent="0.35">
      <c r="A549" s="7" t="s">
        <v>648</v>
      </c>
      <c r="B549" s="12" t="s">
        <v>59</v>
      </c>
      <c r="C549">
        <v>461296921.18198723</v>
      </c>
      <c r="D549">
        <v>479064874.28418553</v>
      </c>
      <c r="E549">
        <v>4753153.1531531569</v>
      </c>
      <c r="F549">
        <v>3053153.1531531592</v>
      </c>
      <c r="G549">
        <v>116</v>
      </c>
      <c r="H549">
        <v>82</v>
      </c>
      <c r="K549">
        <v>140</v>
      </c>
      <c r="L549">
        <v>104</v>
      </c>
      <c r="M549">
        <v>31314864.864864863</v>
      </c>
      <c r="N549">
        <v>65713063.063063063</v>
      </c>
      <c r="O549">
        <v>95207094.594594598</v>
      </c>
      <c r="P549">
        <v>100823340.54054055</v>
      </c>
      <c r="Q549">
        <v>32289279.27927928</v>
      </c>
      <c r="R549">
        <v>68334864.864864871</v>
      </c>
      <c r="S549">
        <v>18446</v>
      </c>
      <c r="T549">
        <v>18042</v>
      </c>
    </row>
    <row r="550" spans="1:20" x14ac:dyDescent="0.35">
      <c r="A550" s="7" t="s">
        <v>649</v>
      </c>
      <c r="B550" s="12" t="s">
        <v>59</v>
      </c>
      <c r="C550">
        <v>583471714.57777667</v>
      </c>
      <c r="D550">
        <v>615418247.56839752</v>
      </c>
      <c r="E550">
        <v>154605990.09009007</v>
      </c>
      <c r="F550">
        <v>237093983.78378379</v>
      </c>
      <c r="G550">
        <v>297</v>
      </c>
      <c r="H550">
        <v>199</v>
      </c>
      <c r="I550">
        <v>1</v>
      </c>
      <c r="K550">
        <v>454</v>
      </c>
      <c r="L550">
        <v>338</v>
      </c>
      <c r="M550">
        <v>97577477.477477476</v>
      </c>
      <c r="N550">
        <v>152072972.97297299</v>
      </c>
      <c r="O550">
        <v>166798761.26126125</v>
      </c>
      <c r="P550">
        <v>178439935.13513514</v>
      </c>
      <c r="Q550">
        <v>87602702.702702701</v>
      </c>
      <c r="R550">
        <v>149338104.5045045</v>
      </c>
      <c r="S550">
        <v>22083</v>
      </c>
      <c r="T550">
        <v>22539</v>
      </c>
    </row>
    <row r="551" spans="1:20" x14ac:dyDescent="0.35">
      <c r="A551" s="7" t="s">
        <v>650</v>
      </c>
      <c r="B551" s="12" t="s">
        <v>309</v>
      </c>
      <c r="C551">
        <v>188673026.40081388</v>
      </c>
      <c r="D551">
        <v>182626127.9863984</v>
      </c>
      <c r="E551">
        <v>992792.79279279301</v>
      </c>
      <c r="F551">
        <v>1638738.7387387389</v>
      </c>
      <c r="G551">
        <v>14</v>
      </c>
      <c r="H551">
        <v>11</v>
      </c>
      <c r="K551">
        <v>17</v>
      </c>
      <c r="L551">
        <v>13</v>
      </c>
      <c r="M551">
        <v>3595495.4954954949</v>
      </c>
      <c r="N551">
        <v>3713063.0630630632</v>
      </c>
      <c r="O551">
        <v>31886112.612612613</v>
      </c>
      <c r="P551">
        <v>33345842.342342339</v>
      </c>
      <c r="Q551">
        <v>2947477.4774774769</v>
      </c>
      <c r="R551">
        <v>3521351.3513513519</v>
      </c>
      <c r="S551">
        <v>5228</v>
      </c>
      <c r="T551">
        <v>5672</v>
      </c>
    </row>
    <row r="552" spans="1:20" x14ac:dyDescent="0.35">
      <c r="A552" s="7" t="s">
        <v>13</v>
      </c>
      <c r="B552" s="12" t="s">
        <v>159</v>
      </c>
      <c r="C552">
        <v>212491312.73630899</v>
      </c>
      <c r="D552">
        <v>206185425.98449266</v>
      </c>
      <c r="E552">
        <v>1286486.486486488</v>
      </c>
      <c r="F552">
        <v>697297.29729729798</v>
      </c>
      <c r="G552">
        <v>22</v>
      </c>
      <c r="H552">
        <v>69</v>
      </c>
      <c r="K552">
        <v>113</v>
      </c>
      <c r="L552">
        <v>95</v>
      </c>
      <c r="M552">
        <v>48689909.909909904</v>
      </c>
      <c r="N552">
        <v>52353603.603603609</v>
      </c>
      <c r="O552">
        <v>119695747.74774775</v>
      </c>
      <c r="P552">
        <v>119426414.41441442</v>
      </c>
      <c r="Q552">
        <v>48441531.531531528</v>
      </c>
      <c r="R552">
        <v>56448468.468468472</v>
      </c>
      <c r="S552">
        <v>7199</v>
      </c>
      <c r="T552">
        <v>8862</v>
      </c>
    </row>
    <row r="553" spans="1:20" x14ac:dyDescent="0.35">
      <c r="A553" s="7" t="s">
        <v>651</v>
      </c>
      <c r="B553" s="12" t="s">
        <v>122</v>
      </c>
      <c r="C553">
        <v>153268851.56869742</v>
      </c>
      <c r="D553">
        <v>159007012.01492903</v>
      </c>
      <c r="E553">
        <v>122522.522522523</v>
      </c>
      <c r="F553">
        <v>18018.018018018</v>
      </c>
      <c r="G553">
        <v>32</v>
      </c>
      <c r="H553">
        <v>34</v>
      </c>
      <c r="K553">
        <v>37</v>
      </c>
      <c r="L553">
        <v>36</v>
      </c>
      <c r="M553">
        <v>936936.93693693704</v>
      </c>
      <c r="N553">
        <v>18018.018018018</v>
      </c>
      <c r="O553">
        <v>12942650.9009009</v>
      </c>
      <c r="P553">
        <v>15697531.531531531</v>
      </c>
      <c r="Q553">
        <v>659369.369369369</v>
      </c>
      <c r="R553">
        <v>498198.19819819799</v>
      </c>
      <c r="S553">
        <v>3301</v>
      </c>
      <c r="T553">
        <v>3282</v>
      </c>
    </row>
    <row r="554" spans="1:20" x14ac:dyDescent="0.35">
      <c r="A554" s="7" t="s">
        <v>652</v>
      </c>
      <c r="B554" s="12" t="s">
        <v>317</v>
      </c>
      <c r="C554">
        <v>50308108.192331545</v>
      </c>
      <c r="D554">
        <v>46243805.343105413</v>
      </c>
      <c r="E554">
        <v>618018.01801801799</v>
      </c>
      <c r="F554">
        <v>1015315.315315321</v>
      </c>
      <c r="G554">
        <v>12</v>
      </c>
      <c r="H554">
        <v>6</v>
      </c>
      <c r="K554">
        <v>13</v>
      </c>
      <c r="L554">
        <v>6</v>
      </c>
      <c r="M554">
        <v>7899099.0990990978</v>
      </c>
      <c r="N554">
        <v>16469819.819819819</v>
      </c>
      <c r="O554">
        <v>12253711.711711712</v>
      </c>
      <c r="P554">
        <v>13193594.594594596</v>
      </c>
      <c r="Q554">
        <v>7474054.0540540554</v>
      </c>
      <c r="R554">
        <v>13293693.693693694</v>
      </c>
      <c r="S554">
        <v>1230</v>
      </c>
      <c r="T554">
        <v>1303</v>
      </c>
    </row>
    <row r="555" spans="1:20" x14ac:dyDescent="0.35">
      <c r="A555" s="7" t="s">
        <v>653</v>
      </c>
      <c r="B555" s="12" t="s">
        <v>262</v>
      </c>
      <c r="C555">
        <v>135828306.84228766</v>
      </c>
      <c r="D555">
        <v>152883428.92866552</v>
      </c>
      <c r="E555">
        <v>232424082.88288289</v>
      </c>
      <c r="F555">
        <v>253303196.3963964</v>
      </c>
      <c r="G555">
        <v>31</v>
      </c>
      <c r="H555">
        <v>17</v>
      </c>
      <c r="K555">
        <v>37</v>
      </c>
      <c r="L555">
        <v>22</v>
      </c>
      <c r="M555">
        <v>71263063.06306307</v>
      </c>
      <c r="N555">
        <v>57309009.009009011</v>
      </c>
      <c r="O555">
        <v>43251072.072072074</v>
      </c>
      <c r="P555">
        <v>52079270.270270273</v>
      </c>
      <c r="Q555">
        <v>25973963.963963963</v>
      </c>
      <c r="R555">
        <v>26544954.954954956</v>
      </c>
      <c r="S555">
        <v>4163</v>
      </c>
      <c r="T555">
        <v>4697</v>
      </c>
    </row>
    <row r="556" spans="1:20" x14ac:dyDescent="0.35">
      <c r="A556" s="7" t="s">
        <v>654</v>
      </c>
      <c r="B556" s="12" t="s">
        <v>226</v>
      </c>
      <c r="C556">
        <v>126713681.77886078</v>
      </c>
      <c r="D556">
        <v>162065603.14826947</v>
      </c>
      <c r="E556">
        <v>114310585.58558558</v>
      </c>
      <c r="F556">
        <v>103364864.86486487</v>
      </c>
      <c r="G556">
        <v>34</v>
      </c>
      <c r="H556">
        <v>44</v>
      </c>
      <c r="K556">
        <v>42</v>
      </c>
      <c r="L556">
        <v>55</v>
      </c>
      <c r="M556">
        <v>13147837.837837841</v>
      </c>
      <c r="N556">
        <v>10893693.693693692</v>
      </c>
      <c r="O556">
        <v>30131531.531531531</v>
      </c>
      <c r="P556">
        <v>40213504.504504502</v>
      </c>
      <c r="Q556">
        <v>10562972.972972976</v>
      </c>
      <c r="R556">
        <v>7788378.3783783773</v>
      </c>
      <c r="S556">
        <v>5395</v>
      </c>
      <c r="T556">
        <v>5770</v>
      </c>
    </row>
    <row r="557" spans="1:20" x14ac:dyDescent="0.35">
      <c r="A557" s="7" t="s">
        <v>655</v>
      </c>
      <c r="B557" s="12" t="s">
        <v>226</v>
      </c>
      <c r="C557">
        <v>102392954.33814012</v>
      </c>
      <c r="D557">
        <v>128812276.01959687</v>
      </c>
      <c r="E557">
        <v>36036.036036037003</v>
      </c>
      <c r="F557">
        <v>56756.756756757</v>
      </c>
      <c r="G557">
        <v>21</v>
      </c>
      <c r="H557">
        <v>22</v>
      </c>
      <c r="K557">
        <v>23</v>
      </c>
      <c r="L557">
        <v>25</v>
      </c>
      <c r="M557">
        <v>2999999.9999999991</v>
      </c>
      <c r="N557">
        <v>3382882.8828828819</v>
      </c>
      <c r="O557">
        <v>15991612.612612614</v>
      </c>
      <c r="P557">
        <v>20411747.747747749</v>
      </c>
      <c r="Q557">
        <v>2417207.207207208</v>
      </c>
      <c r="R557">
        <v>3031891.8918918911</v>
      </c>
      <c r="S557">
        <v>3112</v>
      </c>
      <c r="T557">
        <v>3132</v>
      </c>
    </row>
    <row r="558" spans="1:20" x14ac:dyDescent="0.35">
      <c r="A558" s="7" t="s">
        <v>656</v>
      </c>
      <c r="B558" s="12" t="s">
        <v>226</v>
      </c>
      <c r="C558">
        <v>392757522.1441735</v>
      </c>
      <c r="D558">
        <v>481144328.93978566</v>
      </c>
      <c r="E558">
        <v>70129471.171171173</v>
      </c>
      <c r="F558">
        <v>167113215.31531534</v>
      </c>
      <c r="G558">
        <v>126</v>
      </c>
      <c r="H558">
        <v>155</v>
      </c>
      <c r="K558">
        <v>193</v>
      </c>
      <c r="L558">
        <v>188</v>
      </c>
      <c r="M558">
        <v>66316216.216216214</v>
      </c>
      <c r="N558">
        <v>73293063.063063055</v>
      </c>
      <c r="O558">
        <v>98307900.9009009</v>
      </c>
      <c r="P558">
        <v>124271387.38738739</v>
      </c>
      <c r="Q558">
        <v>49723873.873873875</v>
      </c>
      <c r="R558">
        <v>57630810.810810819</v>
      </c>
      <c r="S558">
        <v>18300</v>
      </c>
      <c r="T558">
        <v>20045</v>
      </c>
    </row>
    <row r="559" spans="1:20" x14ac:dyDescent="0.35">
      <c r="A559" s="7" t="s">
        <v>657</v>
      </c>
      <c r="B559" s="12" t="s">
        <v>226</v>
      </c>
      <c r="C559">
        <v>52053486.195880674</v>
      </c>
      <c r="D559">
        <v>58769890.729591101</v>
      </c>
      <c r="E559">
        <v>207207.207207208</v>
      </c>
      <c r="F559">
        <v>31531.531531532</v>
      </c>
      <c r="G559">
        <v>12</v>
      </c>
      <c r="H559">
        <v>10</v>
      </c>
      <c r="K559">
        <v>13</v>
      </c>
      <c r="L559">
        <v>11</v>
      </c>
      <c r="M559">
        <v>657657.65765765798</v>
      </c>
      <c r="N559">
        <v>1382882.8828828819</v>
      </c>
      <c r="O559">
        <v>8208009.0090090092</v>
      </c>
      <c r="P559">
        <v>11005962.162162162</v>
      </c>
      <c r="Q559">
        <v>774864.86486486404</v>
      </c>
      <c r="R559">
        <v>714144.14414414298</v>
      </c>
      <c r="S559">
        <v>1731</v>
      </c>
      <c r="T559">
        <v>1795</v>
      </c>
    </row>
    <row r="560" spans="1:20" x14ac:dyDescent="0.35">
      <c r="A560" s="7" t="s">
        <v>658</v>
      </c>
      <c r="B560" s="12" t="s">
        <v>97</v>
      </c>
      <c r="C560">
        <v>258064893.02727774</v>
      </c>
      <c r="D560">
        <v>258545113.09047335</v>
      </c>
      <c r="E560">
        <v>698198.19819819997</v>
      </c>
      <c r="F560">
        <v>284684.68468468502</v>
      </c>
      <c r="G560">
        <v>126</v>
      </c>
      <c r="H560">
        <v>49</v>
      </c>
      <c r="K560">
        <v>134</v>
      </c>
      <c r="L560">
        <v>57</v>
      </c>
      <c r="M560">
        <v>6660360.3603603607</v>
      </c>
      <c r="N560">
        <v>10138738.73873874</v>
      </c>
      <c r="O560">
        <v>36038585.585585587</v>
      </c>
      <c r="P560">
        <v>33170504.504504506</v>
      </c>
      <c r="Q560">
        <v>4498198.1981981983</v>
      </c>
      <c r="R560">
        <v>6545405.405405405</v>
      </c>
      <c r="S560">
        <v>8866</v>
      </c>
      <c r="T560">
        <v>8614</v>
      </c>
    </row>
    <row r="561" spans="1:20" x14ac:dyDescent="0.35">
      <c r="A561" s="7" t="s">
        <v>659</v>
      </c>
      <c r="B561" s="12" t="s">
        <v>67</v>
      </c>
      <c r="C561">
        <v>159734777.55738524</v>
      </c>
      <c r="D561">
        <v>148040107.68927008</v>
      </c>
      <c r="E561">
        <v>2517117.1171171162</v>
      </c>
      <c r="F561">
        <v>1666666.6666666679</v>
      </c>
      <c r="G561">
        <v>58</v>
      </c>
      <c r="H561">
        <v>22</v>
      </c>
      <c r="K561">
        <v>67</v>
      </c>
      <c r="L561">
        <v>23</v>
      </c>
      <c r="M561">
        <v>72465225.225225225</v>
      </c>
      <c r="N561">
        <v>47501756.75675676</v>
      </c>
      <c r="O561">
        <v>103339675.67567568</v>
      </c>
      <c r="P561">
        <v>95860432.432432428</v>
      </c>
      <c r="Q561">
        <v>37801531.531531535</v>
      </c>
      <c r="R561">
        <v>36126441.441441439</v>
      </c>
      <c r="S561">
        <v>4934</v>
      </c>
      <c r="T561">
        <v>5063</v>
      </c>
    </row>
    <row r="562" spans="1:20" x14ac:dyDescent="0.35">
      <c r="A562" s="7" t="s">
        <v>660</v>
      </c>
      <c r="B562" s="12" t="s">
        <v>69</v>
      </c>
      <c r="C562">
        <v>245587433.47086263</v>
      </c>
      <c r="D562">
        <v>266870682.92726052</v>
      </c>
      <c r="E562">
        <v>875675.67567567702</v>
      </c>
      <c r="F562">
        <v>109909.90990991</v>
      </c>
      <c r="G562">
        <v>46</v>
      </c>
      <c r="H562">
        <v>28</v>
      </c>
      <c r="K562">
        <v>48</v>
      </c>
      <c r="L562">
        <v>36</v>
      </c>
      <c r="M562">
        <v>11935135.135135137</v>
      </c>
      <c r="N562">
        <v>15845945.945945948</v>
      </c>
      <c r="O562">
        <v>34327306.306306303</v>
      </c>
      <c r="P562">
        <v>40417117.117117122</v>
      </c>
      <c r="Q562">
        <v>9407477.4774774779</v>
      </c>
      <c r="R562">
        <v>11883423.423423424</v>
      </c>
      <c r="S562">
        <v>7123</v>
      </c>
      <c r="T562">
        <v>6932</v>
      </c>
    </row>
    <row r="563" spans="1:20" x14ac:dyDescent="0.35">
      <c r="A563" s="7" t="s">
        <v>14</v>
      </c>
      <c r="B563" s="12" t="s">
        <v>159</v>
      </c>
      <c r="C563">
        <v>108375519.06350897</v>
      </c>
      <c r="D563">
        <v>117526098.4410084</v>
      </c>
      <c r="E563">
        <v>774774.77477477596</v>
      </c>
      <c r="F563">
        <v>145945.94594594699</v>
      </c>
      <c r="G563">
        <v>18</v>
      </c>
      <c r="H563">
        <v>10</v>
      </c>
      <c r="K563">
        <v>21</v>
      </c>
      <c r="L563">
        <v>14</v>
      </c>
      <c r="M563">
        <v>28483783.783783782</v>
      </c>
      <c r="N563">
        <v>18724774.774774775</v>
      </c>
      <c r="O563">
        <v>37503837.837837838</v>
      </c>
      <c r="P563">
        <v>40958891.891891889</v>
      </c>
      <c r="Q563">
        <v>30378018.018018018</v>
      </c>
      <c r="R563">
        <v>18508468.468468465</v>
      </c>
      <c r="S563">
        <v>4034</v>
      </c>
      <c r="T563">
        <v>3998</v>
      </c>
    </row>
    <row r="564" spans="1:20" x14ac:dyDescent="0.35">
      <c r="A564" s="7" t="s">
        <v>661</v>
      </c>
      <c r="B564" s="12" t="s">
        <v>306</v>
      </c>
      <c r="C564">
        <v>121211985.26858276</v>
      </c>
      <c r="D564">
        <v>126070777.03702249</v>
      </c>
      <c r="E564">
        <v>577477.477477476</v>
      </c>
      <c r="F564">
        <v>466666.66666666599</v>
      </c>
      <c r="G564">
        <v>22</v>
      </c>
      <c r="H564">
        <v>34</v>
      </c>
      <c r="K564">
        <v>27</v>
      </c>
      <c r="L564">
        <v>38</v>
      </c>
      <c r="M564">
        <v>18292792.792792793</v>
      </c>
      <c r="N564">
        <v>22827027.02702703</v>
      </c>
      <c r="O564">
        <v>31116058.558558561</v>
      </c>
      <c r="P564">
        <v>41326081.081081077</v>
      </c>
      <c r="Q564">
        <v>18277027.02702703</v>
      </c>
      <c r="R564">
        <v>20907747.747747749</v>
      </c>
      <c r="S564">
        <v>2985</v>
      </c>
      <c r="T564">
        <v>3076</v>
      </c>
    </row>
    <row r="565" spans="1:20" x14ac:dyDescent="0.35">
      <c r="A565" s="7" t="s">
        <v>662</v>
      </c>
      <c r="B565" s="12" t="s">
        <v>49</v>
      </c>
      <c r="C565">
        <v>142553574.66827354</v>
      </c>
      <c r="D565">
        <v>152215552.48165473</v>
      </c>
      <c r="E565">
        <v>863963.96396396495</v>
      </c>
      <c r="F565">
        <v>2555855.8558558589</v>
      </c>
      <c r="G565">
        <v>21</v>
      </c>
      <c r="H565">
        <v>7</v>
      </c>
      <c r="K565">
        <v>25</v>
      </c>
      <c r="L565">
        <v>8</v>
      </c>
      <c r="M565">
        <v>40626126.126126125</v>
      </c>
      <c r="N565">
        <v>14644144.144144146</v>
      </c>
      <c r="O565">
        <v>43753441.441441439</v>
      </c>
      <c r="P565">
        <v>46396027.027027026</v>
      </c>
      <c r="Q565">
        <v>35893693.693693697</v>
      </c>
      <c r="R565">
        <v>12711531.53153153</v>
      </c>
      <c r="S565">
        <v>3401</v>
      </c>
      <c r="T565">
        <v>3263</v>
      </c>
    </row>
    <row r="566" spans="1:20" x14ac:dyDescent="0.35">
      <c r="A566" s="7" t="s">
        <v>663</v>
      </c>
      <c r="B566" s="12" t="s">
        <v>55</v>
      </c>
      <c r="C566">
        <v>48488941.514454216</v>
      </c>
      <c r="D566">
        <v>50581756.605048515</v>
      </c>
      <c r="E566">
        <v>154954.954954955</v>
      </c>
      <c r="F566">
        <v>2069369.3693693699</v>
      </c>
      <c r="H566">
        <v>5</v>
      </c>
      <c r="L566">
        <v>12</v>
      </c>
      <c r="M566">
        <v>3961261.2612612611</v>
      </c>
      <c r="N566">
        <v>5222522.5225225231</v>
      </c>
      <c r="O566">
        <v>11820135.135135137</v>
      </c>
      <c r="P566">
        <v>11979540.540540541</v>
      </c>
      <c r="Q566">
        <v>3775045.0450450452</v>
      </c>
      <c r="R566">
        <v>4015855.8558558561</v>
      </c>
      <c r="S566">
        <v>2268</v>
      </c>
      <c r="T566">
        <v>1590</v>
      </c>
    </row>
    <row r="567" spans="1:20" x14ac:dyDescent="0.35">
      <c r="A567" s="7" t="s">
        <v>664</v>
      </c>
      <c r="B567" s="12" t="s">
        <v>51</v>
      </c>
      <c r="C567">
        <v>209587673.56047925</v>
      </c>
      <c r="D567">
        <v>227805200.05995581</v>
      </c>
      <c r="E567">
        <v>615315.31531531701</v>
      </c>
      <c r="F567">
        <v>1018918.91891892</v>
      </c>
      <c r="G567">
        <v>34</v>
      </c>
      <c r="H567">
        <v>6</v>
      </c>
      <c r="K567">
        <v>47</v>
      </c>
      <c r="L567">
        <v>8</v>
      </c>
      <c r="M567">
        <v>46725405.40540541</v>
      </c>
      <c r="N567">
        <v>41873603.603603609</v>
      </c>
      <c r="O567">
        <v>102062855.85585585</v>
      </c>
      <c r="P567">
        <v>113736810.81081082</v>
      </c>
      <c r="Q567">
        <v>43447297.297297299</v>
      </c>
      <c r="R567">
        <v>44545945.945945948</v>
      </c>
      <c r="S567">
        <v>5723</v>
      </c>
      <c r="T567">
        <v>5800</v>
      </c>
    </row>
    <row r="568" spans="1:20" x14ac:dyDescent="0.35">
      <c r="A568" s="7" t="s">
        <v>665</v>
      </c>
      <c r="B568" s="12" t="s">
        <v>84</v>
      </c>
      <c r="C568">
        <v>259733026.04743981</v>
      </c>
      <c r="D568">
        <v>262208978.73495501</v>
      </c>
      <c r="E568">
        <v>1825017.1171171181</v>
      </c>
      <c r="F568">
        <v>2590990.9909909931</v>
      </c>
      <c r="G568">
        <v>69</v>
      </c>
      <c r="H568">
        <v>71</v>
      </c>
      <c r="K568">
        <v>87</v>
      </c>
      <c r="L568">
        <v>85</v>
      </c>
      <c r="M568">
        <v>50108019.819819823</v>
      </c>
      <c r="N568">
        <v>27296621.62162162</v>
      </c>
      <c r="O568">
        <v>68037972.972972974</v>
      </c>
      <c r="P568">
        <v>72151610.810810819</v>
      </c>
      <c r="Q568">
        <v>24079324.324324325</v>
      </c>
      <c r="R568">
        <v>24697612.612612613</v>
      </c>
      <c r="S568">
        <v>8995</v>
      </c>
      <c r="T568">
        <v>9117</v>
      </c>
    </row>
    <row r="569" spans="1:20" x14ac:dyDescent="0.35">
      <c r="A569" s="7" t="s">
        <v>664</v>
      </c>
      <c r="B569" s="12" t="s">
        <v>51</v>
      </c>
      <c r="C569">
        <v>182049405.67205125</v>
      </c>
      <c r="D569">
        <v>198300641.30497909</v>
      </c>
      <c r="E569">
        <v>606306.30630630697</v>
      </c>
      <c r="F569">
        <v>954054.05405405501</v>
      </c>
      <c r="G569">
        <v>31</v>
      </c>
      <c r="H569">
        <v>5</v>
      </c>
      <c r="K569">
        <v>37</v>
      </c>
      <c r="L569">
        <v>8</v>
      </c>
      <c r="M569">
        <v>43513693.693693697</v>
      </c>
      <c r="N569">
        <v>34264954.954954959</v>
      </c>
      <c r="O569">
        <v>87629279.279279277</v>
      </c>
      <c r="P569">
        <v>96843936.936936945</v>
      </c>
      <c r="Q569">
        <v>38868108.108108103</v>
      </c>
      <c r="R569">
        <v>36474954.954954952</v>
      </c>
      <c r="S569">
        <v>5582</v>
      </c>
      <c r="T569">
        <v>5793</v>
      </c>
    </row>
    <row r="570" spans="1:20" x14ac:dyDescent="0.35">
      <c r="A570" s="7" t="s">
        <v>665</v>
      </c>
      <c r="B570" s="12" t="s">
        <v>84</v>
      </c>
      <c r="C570">
        <v>224413244.76973143</v>
      </c>
      <c r="D570">
        <v>228902854.57636857</v>
      </c>
      <c r="E570">
        <v>1593693.6936936961</v>
      </c>
      <c r="F570">
        <v>1996396.3963963981</v>
      </c>
      <c r="G570">
        <v>61</v>
      </c>
      <c r="H570">
        <v>65</v>
      </c>
      <c r="K570">
        <v>74</v>
      </c>
      <c r="L570">
        <v>82</v>
      </c>
      <c r="M570">
        <v>44505180.180180177</v>
      </c>
      <c r="N570">
        <v>25332657.657657657</v>
      </c>
      <c r="O570">
        <v>58394702.702702701</v>
      </c>
      <c r="P570">
        <v>62116718.918918923</v>
      </c>
      <c r="Q570">
        <v>19934909.909909908</v>
      </c>
      <c r="R570">
        <v>21637612.612612613</v>
      </c>
      <c r="S570">
        <v>8971</v>
      </c>
      <c r="T570">
        <v>8843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2026-08-16T12:50:34Z</dcterms:modified>
</cp:coreProperties>
</file>