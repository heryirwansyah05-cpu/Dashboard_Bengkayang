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<sst xmlns="http://schemas.openxmlformats.org/spreadsheetml/2006/main" count="1235" uniqueCount="676">
  <si>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</si>
  <si>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</si>
  <si>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</si>
  <si>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</si>
  <si>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</si>
  <si>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</si>
  <si>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</si>
  <si>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</si>
  <si>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</si>
  <si>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</si>
  <si>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</si>
  <si>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</si>
  <si>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</si>
  <si>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</si>
  <si>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</si>
  <si>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</si>
  <si>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</si>
  <si>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</si>
  <si>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</si>
  <si>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</si>
  <si>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</si>
  <si>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</si>
  <si>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</si>
  <si>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</si>
  <si>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</si>
  <si>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</si>
  <si>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</si>
  <si>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</si>
  <si>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</si>
  <si>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</si>
  <si>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</si>
  <si>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</si>
  <si>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</si>
  <si>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</si>
  <si>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</si>
  <si>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</si>
  <si>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</si>
  <si>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</si>
  <si>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</si>
  <si>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</si>
  <si>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</si>
  <si>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</si>
  <si>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</si>
  <si>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</si>
  <si>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</si>
  <si>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</si>
  <si>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</si>
  <si>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</si>
  <si>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</si>
  <si>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</si>
  <si>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</si>
  <si>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</si>
  <si>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</si>
  <si>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</si>
  <si>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</si>
  <si>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</si>
  <si>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</si>
  <si>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</si>
  <si>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</si>
  <si>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</si>
  <si>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</si>
  <si>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</si>
  <si>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</si>
  <si>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</si>
  <si>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</si>
  <si>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</si>
  <si>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</si>
  <si>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</si>
  <si>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</si>
  <si>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</si>
  <si>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</si>
  <si>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</si>
  <si>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</si>
  <si>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</si>
  <si>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</si>
  <si>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</si>
  <si>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</si>
  <si>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</si>
  <si>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</si>
  <si>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</si>
  <si>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</si>
  <si>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</si>
  <si>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</si>
  <si>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</si>
  <si>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</si>
  <si>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</si>
  <si>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</si>
  <si>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</si>
  <si>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</si>
  <si>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</si>
  <si>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</si>
  <si>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</si>
  <si>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</si>
  <si>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</si>
  <si>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</si>
  <si>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</si>
  <si>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</si>
  <si>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</si>
  <si>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</si>
  <si>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</si>
  <si>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</si>
  <si>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</si>
  <si>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</si>
  <si>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</si>
  <si>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</si>
  <si>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</si>
  <si>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</si>
  <si>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</si>
  <si>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</si>
  <si>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</si>
  <si>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</si>
  <si>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</si>
  <si>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</si>
  <si>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</si>
  <si>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</si>
  <si>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</si>
  <si>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</si>
  <si>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</si>
  <si>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</si>
  <si>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</si>
  <si>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</si>
  <si>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</si>
  <si>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</si>
  <si>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</si>
  <si>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</si>
  <si>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</si>
  <si>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</si>
  <si>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</si>
  <si>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</si>
  <si>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</si>
  <si>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</si>
  <si>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</si>
  <si>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</si>
  <si>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</si>
  <si>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</si>
  <si>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</si>
  <si>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</si>
  <si>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</si>
  <si>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</si>
  <si>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</si>
  <si>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</si>
  <si>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</si>
  <si>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</si>
  <si>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</si>
  <si>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</si>
  <si>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</si>
  <si>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</si>
  <si>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</si>
  <si>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</si>
  <si>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</si>
  <si>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</si>
  <si>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</si>
  <si>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</si>
  <si>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</si>
  <si>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</si>
  <si>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</si>
  <si>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</si>
  <si>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</si>
  <si>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</si>
  <si>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</si>
  <si>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</si>
  <si>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</si>
  <si>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</si>
  <si>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</si>
  <si>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</si>
  <si>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</si>
  <si>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</si>
  <si>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</si>
  <si>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</si>
  <si>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</si>
  <si>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</si>
  <si>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</si>
  <si>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</si>
  <si>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</si>
  <si>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</si>
  <si>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</si>
  <si>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</si>
  <si>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</si>
  <si>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</si>
  <si>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</si>
  <si>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</si>
  <si>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</si>
  <si>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</si>
  <si>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</si>
  <si>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</si>
  <si>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</si>
  <si>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</si>
  <si>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</si>
  <si>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</si>
  <si>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</si>
  <si>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</si>
  <si>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</si>
  <si>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</si>
  <si>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</si>
  <si>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</si>
  <si>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</si>
  <si>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</si>
  <si>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</si>
  <si>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</si>
  <si>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</si>
  <si>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</si>
  <si>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</si>
  <si>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</si>
  <si>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</si>
  <si>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</si>
  <si>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</si>
  <si>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</si>
  <si>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</si>
  <si>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</si>
  <si>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</si>
  <si>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</si>
  <si>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</si>
  <si>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</si>
  <si>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</si>
  <si>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</si>
  <si>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</si>
  <si>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</si>
  <si>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</si>
  <si>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</si>
  <si>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</si>
  <si>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</si>
  <si>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</si>
  <si>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</si>
  <si>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</si>
  <si>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</si>
  <si>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</si>
  <si>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</si>
  <si>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</si>
  <si>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</si>
  <si>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</si>
  <si>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</si>
  <si>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</si>
  <si>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</si>
  <si>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</si>
  <si>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</si>
  <si>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</si>
  <si>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</si>
  <si>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</si>
  <si>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</si>
  <si>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</si>
  <si>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</si>
  <si>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</si>
  <si>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</si>
  <si>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</si>
  <si>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</si>
  <si>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</si>
  <si>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</si>
  <si>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</si>
  <si>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</si>
  <si>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</si>
  <si>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</si>
  <si>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</si>
  <si>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</si>
  <si>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</si>
  <si>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</si>
  <si>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</si>
  <si>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</si>
  <si>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</si>
  <si>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</si>
  <si>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</si>
  <si>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</si>
  <si>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</si>
  <si>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</si>
  <si>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</si>
  <si>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</si>
  <si>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</si>
  <si>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</si>
  <si>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</si>
  <si>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</si>
  <si>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</si>
  <si>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</si>
  <si>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</si>
  <si>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</si>
  <si>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</si>
  <si>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</si>
  <si>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</si>
  <si>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</si>
  <si>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</si>
  <si>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</si>
  <si>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</si>
  <si>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</si>
  <si>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</si>
  <si>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</si>
  <si>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</si>
  <si>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</si>
  <si>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</si>
  <si>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</si>
  <si>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</si>
  <si>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</si>
  <si>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</si>
  <si>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</si>
  <si>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</si>
  <si>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</si>
  <si>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</si>
  <si>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</si>
  <si>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</si>
  <si>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</si>
  <si>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</si>
  <si>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</si>
  <si>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</si>
  <si>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</si>
  <si>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</si>
  <si>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</si>
  <si>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</si>
  <si>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</si>
  <si>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</si>
  <si>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</si>
  <si>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</si>
  <si>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</si>
  <si>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</si>
  <si>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</si>
  <si>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</si>
  <si>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</si>
  <si>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</si>
  <si>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</si>
  <si>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</si>
  <si>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</si>
  <si>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</si>
  <si>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</si>
  <si>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</si>
  <si>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</si>
  <si>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</si>
  <si>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</si>
  <si>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</si>
  <si>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</si>
  <si>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</si>
  <si>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</si>
  <si>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</si>
  <si>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</si>
  <si>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</si>
  <si>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</si>
  <si>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</si>
  <si>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</si>
  <si>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</si>
  <si>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</si>
  <si>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</si>
  <si>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</si>
  <si>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</si>
  <si>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</si>
  <si>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</si>
  <si>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</si>
  <si>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</si>
  <si>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</si>
  <si>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</si>
  <si>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</si>
  <si>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</si>
  <si>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</si>
  <si>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</si>
  <si>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</si>
  <si>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</si>
  <si>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</si>
  <si>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</si>
  <si>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</si>
  <si>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</si>
  <si>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</si>
  <si>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</si>
  <si>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</si>
  <si>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</si>
  <si>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</si>
  <si>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</si>
  <si>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</si>
  <si>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</si>
  <si>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</si>
  <si>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</si>
  <si>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</si>
  <si>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</si>
  <si>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</si>
  <si>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</si>
  <si>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</si>
  <si>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</si>
  <si>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</si>
  <si>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</si>
  <si>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</si>
  <si>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</si>
  <si>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</si>
  <si>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</si>
  <si>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</si>
  <si>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</si>
  <si>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</si>
  <si>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</si>
  <si>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</si>
  <si>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</si>
  <si>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</si>
  <si>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</si>
  <si>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</si>
  <si>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</si>
  <si>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</si>
  <si>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</si>
  <si>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</si>
  <si>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</si>
  <si>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</si>
  <si>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</si>
  <si>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</si>
  <si>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</si>
  <si>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</si>
  <si>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</si>
  <si>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</si>
  <si>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</si>
  <si>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</si>
  <si>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</si>
  <si>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</si>
  <si>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</si>
  <si>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</si>
  <si>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</si>
  <si>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</si>
  <si>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</si>
  <si>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</si>
  <si>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</si>
  <si>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</si>
  <si>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</si>
  <si>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</si>
  <si>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</si>
  <si>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</si>
  <si>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</si>
  <si>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</si>
  <si>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</si>
  <si>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</si>
  <si>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</si>
  <si>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</si>
  <si>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</si>
  <si>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</si>
  <si>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</si>
  <si>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</si>
  <si>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</si>
  <si>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</si>
  <si>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</si>
  <si>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</si>
  <si>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</si>
  <si>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</si>
  <si>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</si>
  <si>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</si>
  <si>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</si>
  <si>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</si>
  <si>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</si>
  <si>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</si>
  <si>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</si>
  <si>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</si>
  <si>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</si>
  <si>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</si>
  <si>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</si>
  <si>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</si>
  <si>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</si>
  <si>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</si>
  <si>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</si>
  <si>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</si>
  <si>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</si>
  <si>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</si>
  <si>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</si>
  <si>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</si>
  <si>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</si>
  <si>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</si>
  <si>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</si>
  <si>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</si>
  <si>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</si>
  <si>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</si>
  <si>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</si>
  <si>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</si>
  <si>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</si>
  <si>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</si>
  <si>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</si>
  <si>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</si>
  <si>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</si>
  <si>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</si>
  <si>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</si>
  <si>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</si>
  <si>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</si>
  <si>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</si>
  <si>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</si>
  <si>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</si>
  <si>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</si>
  <si>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</si>
  <si>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</si>
  <si>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</si>
  <si>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</si>
  <si>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</si>
  <si>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</si>
  <si>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</si>
  <si>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</si>
  <si>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</si>
  <si>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</si>
  <si>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</si>
  <si>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</si>
  <si>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</si>
  <si>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</si>
  <si>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</si>
  <si>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</si>
  <si>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</si>
  <si>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</si>
  <si>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</si>
  <si>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</si>
  <si>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</si>
  <si>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</si>
  <si>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</si>
  <si>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</si>
  <si>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</si>
  <si>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</si>
  <si>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</si>
  <si>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</si>
  <si>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</si>
  <si>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</si>
  <si>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</si>
  <si>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</si>
  <si>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</si>
  <si>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</si>
  <si>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</si>
  <si>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</si>
  <si>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</si>
  <si>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</si>
  <si>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</si>
  <si>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</si>
  <si>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</si>
  <si>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</si>
  <si>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</si>
  <si>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</si>
  <si>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</si>
  <si>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</si>
  <si>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</si>
  <si>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</si>
  <si>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</si>
  <si>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</si>
  <si>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</si>
  <si>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</si>
  <si>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</si>
  <si>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</si>
  <si>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</si>
  <si>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</si>
  <si>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</si>
  <si>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</si>
  <si>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</si>
  <si>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</si>
  <si>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</si>
  <si>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</si>
  <si>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</si>
  <si>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</si>
  <si>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</si>
  <si>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</si>
  <si>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</si>
  <si>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</si>
  <si>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</si>
  <si>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</si>
  <si>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</si>
  <si>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</si>
  <si>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</si>
  <si>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</si>
  <si>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</si>
  <si>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</si>
  <si>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</si>
  <si>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</si>
  <si>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</si>
  <si>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</si>
  <si>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</si>
  <si>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</si>
  <si>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</si>
  <si>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</si>
  <si>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</si>
  <si>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</si>
  <si>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</si>
  <si>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</si>
  <si>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</si>
  <si>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</si>
  <si>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</si>
  <si>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</si>
  <si>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</si>
  <si>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</si>
  <si>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</si>
  <si>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</si>
  <si>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</si>
  <si>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</si>
  <si>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</si>
  <si>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</si>
  <si>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</si>
  <si>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</si>
  <si>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</si>
  <si>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</si>
  <si>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</si>
  <si>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</si>
  <si>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</si>
  <si>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</si>
  <si>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</si>
  <si>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</si>
  <si>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</si>
  <si>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</si>
  <si>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</si>
  <si>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</si>
  <si>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</si>
  <si>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</si>
  <si>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</si>
  <si>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</si>
  <si>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</si>
  <si>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</si>
  <si>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</si>
  <si>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</si>
  <si>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</si>
  <si>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</si>
  <si>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</si>
  <si>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</si>
  <si>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</si>
  <si>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</si>
  <si>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</si>
  <si>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</si>
  <si>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</si>
  <si>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</si>
  <si>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</si>
  <si>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</si>
  <si>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</si>
  <si>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</si>
  <si>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</si>
  <si>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</si>
  <si>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</si>
  <si>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</si>
  <si>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</si>
  <si>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</si>
  <si>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</si>
  <si>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</si>
  <si>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</si>
  <si>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</si>
  <si>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</si>
  <si>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</si>
  <si>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</si>
  <si>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</si>
  <si>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</si>
  <si>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</si>
  <si>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</si>
  <si>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</si>
  <si>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</si>
  <si>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</si>
  <si>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</si>
  <si>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</si>
  <si>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</si>
  <si>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</si>
  <si>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</si>
  <si>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</si>
  <si>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</si>
  <si>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</si>
  <si>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</si>
  <si>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</si>
  <si>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</si>
  <si>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</si>
  <si>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</si>
  <si>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</si>
  <si>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</si>
  <si>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</si>
  <si>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</si>
  <si>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</si>
  <si>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</si>
  <si>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</si>
  <si>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</si>
  <si>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</si>
  <si>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</si>
  <si>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</si>
  <si>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</si>
  <si>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</si>
  <si>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</si>
  <si>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</si>
  <si>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</si>
  <si>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</si>
  <si>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</si>
  <si>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</si>
  <si>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</si>
  <si>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</si>
  <si>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</si>
  <si>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</si>
  <si>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</si>
  <si>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</si>
  <si>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</si>
  <si>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KAPUAS HULU|KAPUAS</t>
  </si>
  <si>
    <t>LAMANDAU|LAMANDAU</t>
  </si>
  <si>
    <t>Total</t>
  </si>
  <si>
    <t>BANYUKE HULU|LANDAK</t>
  </si>
  <si>
    <t>KETUNGAU HULU|SINTANG</t>
  </si>
  <si>
    <t>KRAYAN TENGAH|NUNUKAN</t>
  </si>
  <si>
    <t>PESO|BULUNGAN</t>
  </si>
  <si>
    <t>PURING KENCANA|KAPUAS HULU</t>
  </si>
  <si>
    <t>RUNGAN BARAT|GUNUNG MAS</t>
  </si>
  <si>
    <t>SADANIANG|MEMPAWAH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</si>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</sst>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tabSelected="1"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126273117.95127143</v>
      </c>
      <c r="D6" s="4">
        <f>IFERROR(VLOOKUP($A:$A,MASTER!$A:$T,4,0),0)</f>
        <v>116270126.95450397</v>
      </c>
      <c r="E6" s="9">
        <f>IFERROR(C6/D6-1,0)</f>
        <v>8.6032339163795601E-2</v>
      </c>
      <c r="F6" s="4">
        <f>IFERROR(VLOOKUP(A:A,MASTER!A:E,5,0),0)</f>
        <v>237387.387387389</v>
      </c>
      <c r="G6" s="4">
        <f>IFERROR(VLOOKUP(A:A,MASTER!A:F,6,0),0)</f>
        <v>956756.75675675995</v>
      </c>
      <c r="H6" s="9">
        <f>IFERROR(F6/G6-1,0)</f>
        <v>-0.7518832391713739</v>
      </c>
      <c r="I6" s="4">
        <f>IFERROR(VLOOKUP(A:A,MASTER!A:M,13,0),0)</f>
        <v>11911441.441441439</v>
      </c>
      <c r="J6" s="4">
        <f>IFERROR(VLOOKUP($A:$A,MASTER!$A:$T,14,0),0)</f>
        <v>20181891.891891893</v>
      </c>
      <c r="K6" s="9">
        <f>IFERROR(I6/J6-1,0)</f>
        <v>-0.40979559769483853</v>
      </c>
      <c r="L6" s="4">
        <f>IFERROR(VLOOKUP($A:$A,MASTER!$A:$T,15,0),0)</f>
        <v>57329009.009009011</v>
      </c>
      <c r="M6" s="4">
        <f>IFERROR(VLOOKUP($A:$A,MASTER!$A:$T,16,0),0)</f>
        <v>55976720.720720723</v>
      </c>
      <c r="N6" s="9">
        <f>IFERROR(L6/M6-1,0)</f>
        <v>2.4158047682627304E-2</v>
      </c>
      <c r="O6" s="4">
        <f>IFERROR(VLOOKUP($A:$A,MASTER!$A:$T,17,0),0)</f>
        <v>12114954.954954952</v>
      </c>
      <c r="P6" s="4">
        <f>IFERROR(VLOOKUP($A:$A,MASTER!$A:$T,18,0),0)</f>
        <v>15264144.144144148</v>
      </c>
      <c r="Q6" s="9">
        <f>IFERROR(O6/P6-1,0)</f>
        <v>-0.20631285707540525</v>
      </c>
      <c r="R6" s="4">
        <f>IFERROR(VLOOKUP($A:$A,MASTER!$A:$T,19,0),0)</f>
        <v>8358</v>
      </c>
      <c r="S6" s="4">
        <f>IFERROR(VLOOKUP($A:$A,MASTER!$A:$T,20,0),0)</f>
        <v>8714</v>
      </c>
      <c r="T6" s="9">
        <f>IFERROR(R6/S6-1,0)</f>
        <v>-4.0853798485196213E-2</v>
      </c>
      <c r="U6" s="13">
        <f>IFERROR(VLOOKUP(A:A,MASTER!A:K,11,0),0)</f>
        <v>54</v>
      </c>
      <c r="V6" s="13">
        <f>IFERROR(VLOOKUP(A:A,MASTER!A:L,12,0),0)</f>
        <v>128</v>
      </c>
      <c r="W6" s="9">
        <f>IFERROR(U6/V6-1,0)</f>
        <v>-0.578125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14950801.397865189</v>
      </c>
      <c r="D7" s="4">
        <f>IFERROR(VLOOKUP($A:$A,MASTER!$A:$T,4,0),0)</f>
        <v>7511605.4967705691</v>
      </c>
      <c r="E7" s="9">
        <f t="shared" ref="E7:E22" si="0">IFERROR(C7/D7-1,0)</f>
        <v>0.99036030370510275</v>
      </c>
      <c r="F7" s="4">
        <f>IFERROR(VLOOKUP(A:A,MASTER!A:E,5,0),0)</f>
        <v>8108.1081081089997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IFERROR(VLOOKUP(A:A,MASTER!A:M,13,0),0)</f>
        <v>8108.1081081089997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7044504.5045045046</v>
      </c>
      <c r="M7" s="4">
        <f>IFERROR(VLOOKUP($A:$A,MASTER!$A:$T,16,0),0)</f>
        <v>4061855.8558558561</v>
      </c>
      <c r="N7" s="9">
        <f t="shared" ref="N7:N22" si="3">IFERROR(L7/M7-1,0)</f>
        <v>0.73430686722884397</v>
      </c>
      <c r="O7" s="4">
        <f>IFERROR(VLOOKUP($A:$A,MASTER!$A:$T,17,0),0)</f>
        <v>0</v>
      </c>
      <c r="P7" s="4">
        <f>IFERROR(VLOOKUP($A:$A,MASTER!$A:$T,18,0),0)</f>
        <v>157657.65765765801</v>
      </c>
      <c r="Q7" s="9">
        <f t="shared" ref="Q7:Q22" si="4">IFERROR(O7/P7-1,0)</f>
        <v>-1</v>
      </c>
      <c r="R7" s="4">
        <f>IFERROR(VLOOKUP($A:$A,MASTER!$A:$T,19,0),0)</f>
        <v>1246</v>
      </c>
      <c r="S7" s="4">
        <f>IFERROR(VLOOKUP($A:$A,MASTER!$A:$T,20,0),0)</f>
        <v>890</v>
      </c>
      <c r="T7" s="9">
        <f t="shared" ref="T7:T22" si="5">IFERROR(R7/S7-1,0)</f>
        <v>0.39999999999999991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92020027.257378921</v>
      </c>
      <c r="D8" s="4">
        <f>IFERROR(VLOOKUP($A:$A,MASTER!$A:$T,4,0),0)</f>
        <v>86250070.809255853</v>
      </c>
      <c r="E8" s="9">
        <f t="shared" si="0"/>
        <v>6.6897990853636236E-2</v>
      </c>
      <c r="F8" s="4">
        <f>IFERROR(VLOOKUP(A:A,MASTER!A:E,5,0),0)</f>
        <v>906756.75675675704</v>
      </c>
      <c r="G8" s="4">
        <f>IFERROR(VLOOKUP(A:A,MASTER!A:F,6,0),0)</f>
        <v>1017117.117117118</v>
      </c>
      <c r="H8" s="9">
        <f t="shared" si="1"/>
        <v>-0.10850310008857444</v>
      </c>
      <c r="I8" s="4">
        <f>IFERROR(VLOOKUP(A:A,MASTER!A:M,13,0),0)</f>
        <v>18897747.747747753</v>
      </c>
      <c r="J8" s="4">
        <f>IFERROR(VLOOKUP($A:$A,MASTER!$A:$T,14,0),0)</f>
        <v>15818018.018018018</v>
      </c>
      <c r="K8" s="9">
        <f t="shared" si="2"/>
        <v>0.19469757375555341</v>
      </c>
      <c r="L8" s="4">
        <f>IFERROR(VLOOKUP($A:$A,MASTER!$A:$T,15,0),0)</f>
        <v>23400495.495495494</v>
      </c>
      <c r="M8" s="4">
        <f>IFERROR(VLOOKUP($A:$A,MASTER!$A:$T,16,0),0)</f>
        <v>24632684.684684683</v>
      </c>
      <c r="N8" s="9">
        <f t="shared" si="3"/>
        <v>-5.0022529211170341E-2</v>
      </c>
      <c r="O8" s="4">
        <f>IFERROR(VLOOKUP($A:$A,MASTER!$A:$T,17,0),0)</f>
        <v>19999729.729729731</v>
      </c>
      <c r="P8" s="4">
        <f>IFERROR(VLOOKUP($A:$A,MASTER!$A:$T,18,0),0)</f>
        <v>13959999.999999998</v>
      </c>
      <c r="Q8" s="9">
        <f t="shared" si="4"/>
        <v>0.43264539611244501</v>
      </c>
      <c r="R8" s="4">
        <f>IFERROR(VLOOKUP($A:$A,MASTER!$A:$T,19,0),0)</f>
        <v>3920</v>
      </c>
      <c r="S8" s="4">
        <f>IFERROR(VLOOKUP($A:$A,MASTER!$A:$T,20,0),0)</f>
        <v>3633</v>
      </c>
      <c r="T8" s="9">
        <f t="shared" si="5"/>
        <v>7.899807321772645E-2</v>
      </c>
      <c r="U8" s="13">
        <f>IFERROR(VLOOKUP(A:A,MASTER!A:K,11,0),0)</f>
        <v>16</v>
      </c>
      <c r="V8" s="13">
        <f>IFERROR(VLOOKUP(A:A,MASTER!A:L,12,0),0)</f>
        <v>8</v>
      </c>
      <c r="W8" s="9">
        <f t="shared" si="6"/>
        <v>1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54258421.435733855</v>
      </c>
      <c r="D9" s="4">
        <f>IFERROR(VLOOKUP($A:$A,MASTER!$A:$T,4,0),0)</f>
        <v>54838736.440602213</v>
      </c>
      <c r="E9" s="9">
        <f t="shared" si="0"/>
        <v>-1.0582209630174755E-2</v>
      </c>
      <c r="F9" s="4">
        <f>IFERROR(VLOOKUP(A:A,MASTER!A:E,5,0),0)</f>
        <v>602702.702702704</v>
      </c>
      <c r="G9" s="4">
        <f>IFERROR(VLOOKUP(A:A,MASTER!A:F,6,0),0)</f>
        <v>581081.08108108304</v>
      </c>
      <c r="H9" s="9">
        <f t="shared" si="1"/>
        <v>3.7209302325580174E-2</v>
      </c>
      <c r="I9" s="4">
        <f>IFERROR(VLOOKUP(A:A,MASTER!A:M,13,0),0)</f>
        <v>8614864.8648648653</v>
      </c>
      <c r="J9" s="4">
        <f>IFERROR(VLOOKUP($A:$A,MASTER!$A:$T,14,0),0)</f>
        <v>17430630.630630631</v>
      </c>
      <c r="K9" s="9">
        <f t="shared" si="2"/>
        <v>-0.50576286954724003</v>
      </c>
      <c r="L9" s="4">
        <f>IFERROR(VLOOKUP($A:$A,MASTER!$A:$T,15,0),0)</f>
        <v>19428378.378378376</v>
      </c>
      <c r="M9" s="4">
        <f>IFERROR(VLOOKUP($A:$A,MASTER!$A:$T,16,0),0)</f>
        <v>18946108.108108107</v>
      </c>
      <c r="N9" s="9">
        <f t="shared" si="3"/>
        <v>2.5454846320858815E-2</v>
      </c>
      <c r="O9" s="4">
        <f>IFERROR(VLOOKUP($A:$A,MASTER!$A:$T,17,0),0)</f>
        <v>7999549.5495495489</v>
      </c>
      <c r="P9" s="4">
        <f>IFERROR(VLOOKUP($A:$A,MASTER!$A:$T,18,0),0)</f>
        <v>17864054.054054052</v>
      </c>
      <c r="Q9" s="9">
        <f t="shared" si="4"/>
        <v>-0.55219853649434414</v>
      </c>
      <c r="R9" s="4">
        <f>IFERROR(VLOOKUP($A:$A,MASTER!$A:$T,19,0),0)</f>
        <v>3603</v>
      </c>
      <c r="S9" s="4">
        <f>IFERROR(VLOOKUP($A:$A,MASTER!$A:$T,20,0),0)</f>
        <v>3550</v>
      </c>
      <c r="T9" s="9">
        <f t="shared" si="5"/>
        <v>1.4929577464788624E-2</v>
      </c>
      <c r="U9" s="13">
        <f>IFERROR(VLOOKUP(A:A,MASTER!A:K,11,0),0)</f>
        <v>5</v>
      </c>
      <c r="V9" s="13">
        <f>IFERROR(VLOOKUP(A:A,MASTER!A:L,12,0),0)</f>
        <v>7</v>
      </c>
      <c r="W9" s="9">
        <f t="shared" si="6"/>
        <v>-0.2857142857142857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6756756.7567567574</v>
      </c>
      <c r="G10" s="4">
        <f>IFERROR(VLOOKUP(A:A,MASTER!A:F,6,0),0)</f>
        <v>3378378.3783783782</v>
      </c>
      <c r="H10" s="9">
        <f t="shared" si="1"/>
        <v>1.0000000000000004</v>
      </c>
      <c r="I10" s="4">
        <f>IFERROR(VLOOKUP(A:A,MASTER!A:M,13,0),0)</f>
        <v>331081.08108108101</v>
      </c>
      <c r="J10" s="4">
        <f>IFERROR(VLOOKUP($A:$A,MASTER!$A:$T,14,0),0)</f>
        <v>270945.94594594598</v>
      </c>
      <c r="K10" s="9">
        <f t="shared" si="2"/>
        <v>0.22194513715710684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48533976.182101361</v>
      </c>
      <c r="D11" s="4">
        <f>IFERROR(VLOOKUP($A:$A,MASTER!$A:$T,4,0),0)</f>
        <v>58473722.904897384</v>
      </c>
      <c r="E11" s="9">
        <f t="shared" si="0"/>
        <v>-0.16998655513968541</v>
      </c>
      <c r="F11" s="4">
        <f>IFERROR(VLOOKUP(A:A,MASTER!A:E,5,0),0)</f>
        <v>543693.69369369396</v>
      </c>
      <c r="G11" s="4">
        <f>IFERROR(VLOOKUP(A:A,MASTER!A:F,6,0),0)</f>
        <v>111711.711711713</v>
      </c>
      <c r="H11" s="9">
        <f t="shared" si="1"/>
        <v>3.8669354838709138</v>
      </c>
      <c r="I11" s="4">
        <f>IFERROR(VLOOKUP(A:A,MASTER!A:M,13,0),0)</f>
        <v>2624774.774774773</v>
      </c>
      <c r="J11" s="4">
        <f>IFERROR(VLOOKUP($A:$A,MASTER!$A:$T,14,0),0)</f>
        <v>5398198.1981981983</v>
      </c>
      <c r="K11" s="9">
        <f t="shared" si="2"/>
        <v>-0.51376835781041419</v>
      </c>
      <c r="L11" s="4">
        <f>IFERROR(VLOOKUP($A:$A,MASTER!$A:$T,15,0),0)</f>
        <v>22185360.360360362</v>
      </c>
      <c r="M11" s="4">
        <f>IFERROR(VLOOKUP($A:$A,MASTER!$A:$T,16,0),0)</f>
        <v>23857639.639639638</v>
      </c>
      <c r="N11" s="9">
        <f t="shared" si="3"/>
        <v>-7.009407906810583E-2</v>
      </c>
      <c r="O11" s="4">
        <f>IFERROR(VLOOKUP($A:$A,MASTER!$A:$T,17,0),0)</f>
        <v>2129099.0990990978</v>
      </c>
      <c r="P11" s="4">
        <f>IFERROR(VLOOKUP($A:$A,MASTER!$A:$T,18,0),0)</f>
        <v>4770270.2702702703</v>
      </c>
      <c r="Q11" s="9">
        <f t="shared" si="4"/>
        <v>-0.55367327667610988</v>
      </c>
      <c r="R11" s="4">
        <f>IFERROR(VLOOKUP($A:$A,MASTER!$A:$T,19,0),0)</f>
        <v>3327</v>
      </c>
      <c r="S11" s="4">
        <f>IFERROR(VLOOKUP($A:$A,MASTER!$A:$T,20,0),0)</f>
        <v>2975</v>
      </c>
      <c r="T11" s="9">
        <f t="shared" si="5"/>
        <v>0.11831932773109233</v>
      </c>
      <c r="U11" s="13">
        <f>IFERROR(VLOOKUP(A:A,MASTER!A:K,11,0),0)</f>
        <v>7</v>
      </c>
      <c r="V11" s="13">
        <f>IFERROR(VLOOKUP(A:A,MASTER!A:L,12,0),0)</f>
        <v>6</v>
      </c>
      <c r="W11" s="9">
        <f t="shared" si="6"/>
        <v>0.16666666666666674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216622684.36358833</v>
      </c>
      <c r="D12" s="4">
        <f>IFERROR(VLOOKUP($A:$A,MASTER!$A:$T,4,0),0)</f>
        <v>196180515.60985184</v>
      </c>
      <c r="E12" s="9">
        <f t="shared" si="0"/>
        <v>0.10420081061663766</v>
      </c>
      <c r="F12" s="4">
        <f>IFERROR(VLOOKUP(A:A,MASTER!A:E,5,0),0)</f>
        <v>77516796.396396384</v>
      </c>
      <c r="G12" s="4">
        <f>IFERROR(VLOOKUP(A:A,MASTER!A:F,6,0),0)</f>
        <v>231875835.13513514</v>
      </c>
      <c r="H12" s="9">
        <f t="shared" si="1"/>
        <v>-0.66569696082724494</v>
      </c>
      <c r="I12" s="4">
        <f>IFERROR(VLOOKUP(A:A,MASTER!A:M,13,0),0)</f>
        <v>134299099.0990991</v>
      </c>
      <c r="J12" s="4">
        <f>IFERROR(VLOOKUP($A:$A,MASTER!$A:$T,14,0),0)</f>
        <v>68249549.54954955</v>
      </c>
      <c r="K12" s="9">
        <f t="shared" si="2"/>
        <v>0.96776535501669803</v>
      </c>
      <c r="L12" s="4">
        <f>IFERROR(VLOOKUP($A:$A,MASTER!$A:$T,15,0),0)</f>
        <v>141681081.08108109</v>
      </c>
      <c r="M12" s="4">
        <f>IFERROR(VLOOKUP($A:$A,MASTER!$A:$T,16,0),0)</f>
        <v>131483900.9009009</v>
      </c>
      <c r="N12" s="9">
        <f t="shared" si="3"/>
        <v>7.7554591172844578E-2</v>
      </c>
      <c r="O12" s="4">
        <f>IFERROR(VLOOKUP($A:$A,MASTER!$A:$T,17,0),0)</f>
        <v>118588018.01801802</v>
      </c>
      <c r="P12" s="4">
        <f>IFERROR(VLOOKUP($A:$A,MASTER!$A:$T,18,0),0)</f>
        <v>59288558.558558561</v>
      </c>
      <c r="Q12" s="9">
        <f t="shared" si="4"/>
        <v>1.0001838617967098</v>
      </c>
      <c r="R12" s="4">
        <f>IFERROR(VLOOKUP($A:$A,MASTER!$A:$T,19,0),0)</f>
        <v>13617</v>
      </c>
      <c r="S12" s="4">
        <f>IFERROR(VLOOKUP($A:$A,MASTER!$A:$T,20,0),0)</f>
        <v>13110</v>
      </c>
      <c r="T12" s="9">
        <f t="shared" si="5"/>
        <v>3.8672768878718511E-2</v>
      </c>
      <c r="U12" s="13">
        <f>IFERROR(VLOOKUP(A:A,MASTER!A:K,11,0),0)</f>
        <v>340</v>
      </c>
      <c r="V12" s="13">
        <f>IFERROR(VLOOKUP(A:A,MASTER!A:L,12,0),0)</f>
        <v>288</v>
      </c>
      <c r="W12" s="9">
        <f t="shared" si="6"/>
        <v>0.18055555555555558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48043274.115988255</v>
      </c>
      <c r="D13" s="4">
        <f>IFERROR(VLOOKUP($A:$A,MASTER!$A:$T,4,0),0)</f>
        <v>49394762.395159177</v>
      </c>
      <c r="E13" s="9">
        <f t="shared" si="0"/>
        <v>-2.7360963260820825E-2</v>
      </c>
      <c r="F13" s="4">
        <f>IFERROR(VLOOKUP(A:A,MASTER!A:E,5,0),0)</f>
        <v>11261.261261262</v>
      </c>
      <c r="G13" s="4">
        <f>IFERROR(VLOOKUP(A:A,MASTER!A:F,6,0),0)</f>
        <v>136936.936936938</v>
      </c>
      <c r="H13" s="9">
        <f t="shared" si="1"/>
        <v>-0.91776315789473206</v>
      </c>
      <c r="I13" s="4">
        <f>IFERROR(VLOOKUP(A:A,MASTER!A:M,13,0),0)</f>
        <v>9261711.7117117122</v>
      </c>
      <c r="J13" s="4">
        <f>IFERROR(VLOOKUP($A:$A,MASTER!$A:$T,14,0),0)</f>
        <v>6997297.2972972961</v>
      </c>
      <c r="K13" s="9">
        <f t="shared" si="2"/>
        <v>0.32361272048409973</v>
      </c>
      <c r="L13" s="4">
        <f>IFERROR(VLOOKUP($A:$A,MASTER!$A:$T,15,0),0)</f>
        <v>31473423.423423424</v>
      </c>
      <c r="M13" s="4">
        <f>IFERROR(VLOOKUP($A:$A,MASTER!$A:$T,16,0),0)</f>
        <v>34820837.837837838</v>
      </c>
      <c r="N13" s="9">
        <f t="shared" si="3"/>
        <v>-9.6132506345868785E-2</v>
      </c>
      <c r="O13" s="4">
        <f>IFERROR(VLOOKUP($A:$A,MASTER!$A:$T,17,0),0)</f>
        <v>10299909.909909911</v>
      </c>
      <c r="P13" s="4">
        <f>IFERROR(VLOOKUP($A:$A,MASTER!$A:$T,18,0),0)</f>
        <v>8593423.4234234225</v>
      </c>
      <c r="Q13" s="9">
        <f t="shared" si="4"/>
        <v>0.19858051935798415</v>
      </c>
      <c r="R13" s="4">
        <f>IFERROR(VLOOKUP($A:$A,MASTER!$A:$T,19,0),0)</f>
        <v>4198</v>
      </c>
      <c r="S13" s="4">
        <f>IFERROR(VLOOKUP($A:$A,MASTER!$A:$T,20,0),0)</f>
        <v>4879</v>
      </c>
      <c r="T13" s="9">
        <f t="shared" si="5"/>
        <v>-0.13957778233244522</v>
      </c>
      <c r="U13" s="13">
        <f>IFERROR(VLOOKUP(A:A,MASTER!A:K,11,0),0)</f>
        <v>16</v>
      </c>
      <c r="V13" s="13">
        <f>IFERROR(VLOOKUP(A:A,MASTER!A:L,12,0),0)</f>
        <v>22</v>
      </c>
      <c r="W13" s="9">
        <f t="shared" si="6"/>
        <v>-0.27272727272727271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69406672.01388742</v>
      </c>
      <c r="D14" s="4">
        <f>IFERROR(VLOOKUP($A:$A,MASTER!$A:$T,4,0),0)</f>
        <v>64744262.717331924</v>
      </c>
      <c r="E14" s="9">
        <f t="shared" si="0"/>
        <v>7.2012701988918959E-2</v>
      </c>
      <c r="F14" s="4">
        <f>IFERROR(VLOOKUP(A:A,MASTER!A:E,5,0),0)</f>
        <v>932432.43243243301</v>
      </c>
      <c r="G14" s="4">
        <f>IFERROR(VLOOKUP(A:A,MASTER!A:F,6,0),0)</f>
        <v>1016216.216216218</v>
      </c>
      <c r="H14" s="9">
        <f t="shared" si="1"/>
        <v>-8.2446808510639347E-2</v>
      </c>
      <c r="I14" s="4">
        <f>IFERROR(VLOOKUP(A:A,MASTER!A:M,13,0),0)</f>
        <v>9263963.9639639631</v>
      </c>
      <c r="J14" s="4">
        <f>IFERROR(VLOOKUP($A:$A,MASTER!$A:$T,14,0),0)</f>
        <v>8817117.1171171181</v>
      </c>
      <c r="K14" s="9">
        <f t="shared" si="2"/>
        <v>5.0679472770000844E-2</v>
      </c>
      <c r="L14" s="4">
        <f>IFERROR(VLOOKUP($A:$A,MASTER!$A:$T,15,0),0)</f>
        <v>19918513.513513513</v>
      </c>
      <c r="M14" s="4">
        <f>IFERROR(VLOOKUP($A:$A,MASTER!$A:$T,16,0),0)</f>
        <v>18743792.792792793</v>
      </c>
      <c r="N14" s="9">
        <f t="shared" si="3"/>
        <v>6.2672519575249108E-2</v>
      </c>
      <c r="O14" s="4">
        <f>IFERROR(VLOOKUP($A:$A,MASTER!$A:$T,17,0),0)</f>
        <v>8684684.6846846845</v>
      </c>
      <c r="P14" s="4">
        <f>IFERROR(VLOOKUP($A:$A,MASTER!$A:$T,18,0),0)</f>
        <v>7440900.9009009004</v>
      </c>
      <c r="Q14" s="9">
        <f t="shared" si="4"/>
        <v>0.16715499915248078</v>
      </c>
      <c r="R14" s="4">
        <f>IFERROR(VLOOKUP($A:$A,MASTER!$A:$T,19,0),0)</f>
        <v>3676</v>
      </c>
      <c r="S14" s="4">
        <f>IFERROR(VLOOKUP($A:$A,MASTER!$A:$T,20,0),0)</f>
        <v>3534</v>
      </c>
      <c r="T14" s="9">
        <f t="shared" si="5"/>
        <v>4.0181097906055507E-2</v>
      </c>
      <c r="U14" s="13">
        <f>IFERROR(VLOOKUP(A:A,MASTER!A:K,11,0),0)</f>
        <v>5</v>
      </c>
      <c r="V14" s="13">
        <f>IFERROR(VLOOKUP(A:A,MASTER!A:L,12,0),0)</f>
        <v>1</v>
      </c>
      <c r="W14" s="9">
        <f t="shared" si="6"/>
        <v>4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137588777.46392941</v>
      </c>
      <c r="D15" s="4">
        <f>IFERROR(VLOOKUP($A:$A,MASTER!$A:$T,4,0),0)</f>
        <v>127543451.82436892</v>
      </c>
      <c r="E15" s="9">
        <f t="shared" si="0"/>
        <v>7.8760026452735499E-2</v>
      </c>
      <c r="F15" s="4">
        <f>IFERROR(VLOOKUP(A:A,MASTER!A:E,5,0),0)</f>
        <v>991351.35135135194</v>
      </c>
      <c r="G15" s="4">
        <f>IFERROR(VLOOKUP(A:A,MASTER!A:F,6,0),0)</f>
        <v>966666.66666667</v>
      </c>
      <c r="H15" s="9">
        <f t="shared" si="1"/>
        <v>2.5535880708291492E-2</v>
      </c>
      <c r="I15" s="4">
        <f>IFERROR(VLOOKUP(A:A,MASTER!A:M,13,0),0)</f>
        <v>247659819.81981981</v>
      </c>
      <c r="J15" s="4">
        <f>IFERROR(VLOOKUP($A:$A,MASTER!$A:$T,14,0),0)</f>
        <v>135054054.05405405</v>
      </c>
      <c r="K15" s="9">
        <f t="shared" si="2"/>
        <v>0.83378293642852364</v>
      </c>
      <c r="L15" s="4">
        <f>IFERROR(VLOOKUP($A:$A,MASTER!$A:$T,15,0),0)</f>
        <v>49064234.234234229</v>
      </c>
      <c r="M15" s="4">
        <f>IFERROR(VLOOKUP($A:$A,MASTER!$A:$T,16,0),0)</f>
        <v>46599018.018018015</v>
      </c>
      <c r="N15" s="9">
        <f t="shared" si="3"/>
        <v>5.2902750338279958E-2</v>
      </c>
      <c r="O15" s="4">
        <f>IFERROR(VLOOKUP($A:$A,MASTER!$A:$T,17,0),0)</f>
        <v>207963783.78378376</v>
      </c>
      <c r="P15" s="4">
        <f>IFERROR(VLOOKUP($A:$A,MASTER!$A:$T,18,0),0)</f>
        <v>112215675.67567568</v>
      </c>
      <c r="Q15" s="9">
        <f t="shared" si="4"/>
        <v>0.85325073820201425</v>
      </c>
      <c r="R15" s="4">
        <f>IFERROR(VLOOKUP($A:$A,MASTER!$A:$T,19,0),0)</f>
        <v>7273</v>
      </c>
      <c r="S15" s="4">
        <f>IFERROR(VLOOKUP($A:$A,MASTER!$A:$T,20,0),0)</f>
        <v>7034</v>
      </c>
      <c r="T15" s="9">
        <f t="shared" si="5"/>
        <v>3.3977822007392744E-2</v>
      </c>
      <c r="U15" s="13">
        <f>IFERROR(VLOOKUP(A:A,MASTER!A:K,11,0),0)</f>
        <v>27</v>
      </c>
      <c r="V15" s="13">
        <f>IFERROR(VLOOKUP(A:A,MASTER!A:L,12,0),0)</f>
        <v>20</v>
      </c>
      <c r="W15" s="9">
        <f t="shared" si="6"/>
        <v>0.35000000000000009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57400017.612598009</v>
      </c>
      <c r="D17" s="4">
        <f>IFERROR(VLOOKUP($A:$A,MASTER!$A:$T,4,0),0)</f>
        <v>52031619.151048027</v>
      </c>
      <c r="E17" s="9">
        <f t="shared" si="0"/>
        <v>0.10317569487825273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33303153.153153151</v>
      </c>
      <c r="M17" s="4">
        <f>IFERROR(VLOOKUP($A:$A,MASTER!$A:$T,16,0),0)</f>
        <v>31401207.207207207</v>
      </c>
      <c r="N17" s="9">
        <f t="shared" si="3"/>
        <v>6.0569198292141024E-2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4630</v>
      </c>
      <c r="S17" s="4">
        <f>IFERROR(VLOOKUP($A:$A,MASTER!$A:$T,20,0),0)</f>
        <v>3714</v>
      </c>
      <c r="T17" s="9">
        <f t="shared" si="5"/>
        <v>0.24663435648896059</v>
      </c>
      <c r="U17" s="13">
        <f>IFERROR(VLOOKUP(A:A,MASTER!A:K,11,0),0)</f>
        <v>6</v>
      </c>
      <c r="V17" s="13">
        <f>IFERROR(VLOOKUP(A:A,MASTER!A:L,12,0),0)</f>
        <v>11</v>
      </c>
      <c r="W17" s="9">
        <f t="shared" si="6"/>
        <v>-0.45454545454545459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45693776.28669633</v>
      </c>
      <c r="D18" s="4">
        <f>IFERROR(VLOOKUP($A:$A,MASTER!$A:$T,4,0),0)</f>
        <v>45013940.094997123</v>
      </c>
      <c r="E18" s="9">
        <f t="shared" si="0"/>
        <v>1.5102792385302877E-2</v>
      </c>
      <c r="F18" s="4">
        <f>IFERROR(VLOOKUP(A:A,MASTER!A:E,5,0),0)</f>
        <v>262162.162162163</v>
      </c>
      <c r="G18" s="4">
        <f>IFERROR(VLOOKUP(A:A,MASTER!A:F,6,0),0)</f>
        <v>18018.018018018</v>
      </c>
      <c r="H18" s="9">
        <f t="shared" si="1"/>
        <v>13.550000000000061</v>
      </c>
      <c r="I18" s="4">
        <f>IFERROR(VLOOKUP(A:A,MASTER!A:M,13,0),0)</f>
        <v>712612.61261261301</v>
      </c>
      <c r="J18" s="4">
        <f>IFERROR(VLOOKUP($A:$A,MASTER!$A:$T,14,0),0)</f>
        <v>1819819.8198198189</v>
      </c>
      <c r="K18" s="9">
        <f t="shared" si="2"/>
        <v>-0.60841584158415807</v>
      </c>
      <c r="L18" s="4">
        <f>IFERROR(VLOOKUP($A:$A,MASTER!$A:$T,15,0),0)</f>
        <v>14860270.270270271</v>
      </c>
      <c r="M18" s="4">
        <f>IFERROR(VLOOKUP($A:$A,MASTER!$A:$T,16,0),0)</f>
        <v>15800657.657657657</v>
      </c>
      <c r="N18" s="9">
        <f t="shared" si="3"/>
        <v>-5.9515711798972748E-2</v>
      </c>
      <c r="O18" s="4">
        <f>IFERROR(VLOOKUP($A:$A,MASTER!$A:$T,17,0),0)</f>
        <v>1184684.684684685</v>
      </c>
      <c r="P18" s="4">
        <f>IFERROR(VLOOKUP($A:$A,MASTER!$A:$T,18,0),0)</f>
        <v>1335585.585585586</v>
      </c>
      <c r="Q18" s="9">
        <f t="shared" si="4"/>
        <v>-0.11298482293423284</v>
      </c>
      <c r="R18" s="4">
        <f>IFERROR(VLOOKUP($A:$A,MASTER!$A:$T,19,0),0)</f>
        <v>3831</v>
      </c>
      <c r="S18" s="4">
        <f>IFERROR(VLOOKUP($A:$A,MASTER!$A:$T,20,0),0)</f>
        <v>3897</v>
      </c>
      <c r="T18" s="9">
        <f t="shared" si="5"/>
        <v>-1.6936104695919885E-2</v>
      </c>
      <c r="U18" s="13">
        <f>IFERROR(VLOOKUP(A:A,MASTER!A:K,11,0),0)</f>
        <v>12</v>
      </c>
      <c r="V18" s="13">
        <f>IFERROR(VLOOKUP(A:A,MASTER!A:L,12,0),0)</f>
        <v>11</v>
      </c>
      <c r="W18" s="9">
        <f t="shared" si="6"/>
        <v>9.0909090909090828E-2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32990197.229451749</v>
      </c>
      <c r="D19" s="4">
        <f>IFERROR(VLOOKUP($A:$A,MASTER!$A:$T,4,0),0)</f>
        <v>28914082.883511443</v>
      </c>
      <c r="E19" s="9">
        <f t="shared" si="0"/>
        <v>0.14097332301225274</v>
      </c>
      <c r="F19" s="4">
        <f>IFERROR(VLOOKUP(A:A,MASTER!A:E,5,0),0)</f>
        <v>26126.126126128998</v>
      </c>
      <c r="G19" s="4">
        <f>IFERROR(VLOOKUP(A:A,MASTER!A:F,6,0),0)</f>
        <v>54954.954954954999</v>
      </c>
      <c r="H19" s="9">
        <f t="shared" si="1"/>
        <v>-0.52459016393437441</v>
      </c>
      <c r="I19" s="4">
        <f>IFERROR(VLOOKUP(A:A,MASTER!A:M,13,0),0)</f>
        <v>3629729.729729732</v>
      </c>
      <c r="J19" s="4">
        <f>IFERROR(VLOOKUP($A:$A,MASTER!$A:$T,14,0),0)</f>
        <v>54954.954954954999</v>
      </c>
      <c r="K19" s="9">
        <f t="shared" si="2"/>
        <v>65.049180327868839</v>
      </c>
      <c r="L19" s="4">
        <f>IFERROR(VLOOKUP($A:$A,MASTER!$A:$T,15,0),0)</f>
        <v>11677117.117117118</v>
      </c>
      <c r="M19" s="4">
        <f>IFERROR(VLOOKUP($A:$A,MASTER!$A:$T,16,0),0)</f>
        <v>12296945.945945946</v>
      </c>
      <c r="N19" s="9">
        <f t="shared" si="3"/>
        <v>-5.0405103149467223E-2</v>
      </c>
      <c r="O19" s="4">
        <f>IFERROR(VLOOKUP($A:$A,MASTER!$A:$T,17,0),0)</f>
        <v>700900.90090090001</v>
      </c>
      <c r="P19" s="4">
        <f>IFERROR(VLOOKUP($A:$A,MASTER!$A:$T,18,0),0)</f>
        <v>1597837.837837839</v>
      </c>
      <c r="Q19" s="9">
        <f t="shared" si="4"/>
        <v>-0.56134415877311772</v>
      </c>
      <c r="R19" s="4">
        <f>IFERROR(VLOOKUP($A:$A,MASTER!$A:$T,19,0),0)</f>
        <v>2771</v>
      </c>
      <c r="S19" s="4">
        <f>IFERROR(VLOOKUP($A:$A,MASTER!$A:$T,20,0),0)</f>
        <v>4191</v>
      </c>
      <c r="T19" s="9">
        <f t="shared" si="5"/>
        <v>-0.33882128370317344</v>
      </c>
      <c r="U19" s="13">
        <f>IFERROR(VLOOKUP(A:A,MASTER!A:K,11,0),0)</f>
        <v>8</v>
      </c>
      <c r="V19" s="13">
        <f>IFERROR(VLOOKUP(A:A,MASTER!A:L,12,0),0)</f>
        <v>3</v>
      </c>
      <c r="W19" s="9">
        <f t="shared" si="6"/>
        <v>1.6666666666666665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275537251.35135138</v>
      </c>
      <c r="G20" s="4">
        <f>IFERROR(VLOOKUP(A:A,MASTER!A:F,6,0),0)</f>
        <v>201526634.23423424</v>
      </c>
      <c r="H20" s="9">
        <f t="shared" si="1"/>
        <v>0.36724980496173343</v>
      </c>
      <c r="I20" s="4">
        <f>IFERROR(VLOOKUP(A:A,MASTER!A:M,13,0),0)</f>
        <v>14234234.234234234</v>
      </c>
      <c r="J20" s="4">
        <f>IFERROR(VLOOKUP($A:$A,MASTER!$A:$T,14,0),0)</f>
        <v>10180180.180180181</v>
      </c>
      <c r="K20" s="9">
        <f t="shared" si="2"/>
        <v>0.39823008849557517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117220946.34881377</v>
      </c>
      <c r="D21" s="4">
        <f>IFERROR(VLOOKUP($A:$A,MASTER!$A:$T,4,0),0)</f>
        <v>104777150.21955962</v>
      </c>
      <c r="E21" s="9">
        <f t="shared" si="0"/>
        <v>0.11876440715536041</v>
      </c>
      <c r="F21" s="4">
        <f>IFERROR(VLOOKUP(A:A,MASTER!A:E,5,0),0)</f>
        <v>3750000.0000000028</v>
      </c>
      <c r="G21" s="4">
        <f>IFERROR(VLOOKUP(A:A,MASTER!A:F,6,0),0)</f>
        <v>76745945.945945948</v>
      </c>
      <c r="H21" s="9">
        <f t="shared" si="1"/>
        <v>-0.9511374841526975</v>
      </c>
      <c r="I21" s="4">
        <f>IFERROR(VLOOKUP(A:A,MASTER!A:M,13,0),0)</f>
        <v>30856531.531531531</v>
      </c>
      <c r="J21" s="4">
        <f>IFERROR(VLOOKUP($A:$A,MASTER!$A:$T,14,0),0)</f>
        <v>28175630.630630631</v>
      </c>
      <c r="K21" s="9">
        <f t="shared" si="2"/>
        <v>9.5149632533385375E-2</v>
      </c>
      <c r="L21" s="4">
        <f>IFERROR(VLOOKUP($A:$A,MASTER!$A:$T,15,0),0)</f>
        <v>65109824.324324325</v>
      </c>
      <c r="M21" s="4">
        <f>IFERROR(VLOOKUP($A:$A,MASTER!$A:$T,16,0),0)</f>
        <v>58492702.702702701</v>
      </c>
      <c r="N21" s="9">
        <f t="shared" si="3"/>
        <v>0.11312730162690654</v>
      </c>
      <c r="O21" s="4">
        <f>IFERROR(VLOOKUP($A:$A,MASTER!$A:$T,17,0),0)</f>
        <v>22733333.333333332</v>
      </c>
      <c r="P21" s="4">
        <f>IFERROR(VLOOKUP($A:$A,MASTER!$A:$T,18,0),0)</f>
        <v>24503423.423423424</v>
      </c>
      <c r="Q21" s="9">
        <f t="shared" si="4"/>
        <v>-7.223848110946085E-2</v>
      </c>
      <c r="R21" s="4">
        <f>IFERROR(VLOOKUP($A:$A,MASTER!$A:$T,19,0),0)</f>
        <v>7350</v>
      </c>
      <c r="S21" s="4">
        <f>IFERROR(VLOOKUP($A:$A,MASTER!$A:$T,20,0),0)</f>
        <v>6854</v>
      </c>
      <c r="T21" s="9">
        <f t="shared" si="5"/>
        <v>7.236650131310185E-2</v>
      </c>
      <c r="U21" s="13">
        <f>IFERROR(VLOOKUP(A:A,MASTER!A:K,11,0),0)</f>
        <v>32</v>
      </c>
      <c r="V21" s="13">
        <f>IFERROR(VLOOKUP(A:A,MASTER!A:L,12,0),0)</f>
        <v>93</v>
      </c>
      <c r="W21" s="9">
        <f t="shared" si="6"/>
        <v>-0.65591397849462363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61332323.80188451</v>
      </c>
      <c r="D22" s="4">
        <f>IFERROR(VLOOKUP($A:$A,MASTER!$A:$T,4,0),0)</f>
        <v>53905301.196377218</v>
      </c>
      <c r="E22" s="9">
        <f t="shared" si="0"/>
        <v>0.13777907628139618</v>
      </c>
      <c r="F22" s="4">
        <f>IFERROR(VLOOKUP(A:A,MASTER!A:E,5,0),0)</f>
        <v>40540.540540542002</v>
      </c>
      <c r="G22" s="4">
        <f>IFERROR(VLOOKUP(A:A,MASTER!A:F,6,0),0)</f>
        <v>657657.65765765903</v>
      </c>
      <c r="H22" s="9">
        <f t="shared" si="1"/>
        <v>-0.93835616438355951</v>
      </c>
      <c r="I22" s="4">
        <f>IFERROR(VLOOKUP(A:A,MASTER!A:M,13,0),0)</f>
        <v>4184684.684684685</v>
      </c>
      <c r="J22" s="4">
        <f>IFERROR(VLOOKUP($A:$A,MASTER!$A:$T,14,0),0)</f>
        <v>22231531.531531531</v>
      </c>
      <c r="K22" s="9">
        <f t="shared" si="2"/>
        <v>-0.81176804311707262</v>
      </c>
      <c r="L22" s="4">
        <f>IFERROR(VLOOKUP($A:$A,MASTER!$A:$T,15,0),0)</f>
        <v>20043144.144144144</v>
      </c>
      <c r="M22" s="4">
        <f>IFERROR(VLOOKUP($A:$A,MASTER!$A:$T,16,0),0)</f>
        <v>18619711.711711712</v>
      </c>
      <c r="N22" s="9">
        <f t="shared" si="3"/>
        <v>7.6447608559755409E-2</v>
      </c>
      <c r="O22" s="4">
        <f>IFERROR(VLOOKUP($A:$A,MASTER!$A:$T,17,0),0)</f>
        <v>3512342.3423423418</v>
      </c>
      <c r="P22" s="4">
        <f>IFERROR(VLOOKUP($A:$A,MASTER!$A:$T,18,0),0)</f>
        <v>24953783.783783782</v>
      </c>
      <c r="Q22" s="9">
        <f t="shared" si="4"/>
        <v>-0.85924610180261163</v>
      </c>
      <c r="R22" s="4">
        <f>IFERROR(VLOOKUP($A:$A,MASTER!$A:$T,19,0),0)</f>
        <v>4042</v>
      </c>
      <c r="S22" s="4">
        <f>IFERROR(VLOOKUP($A:$A,MASTER!$A:$T,20,0),0)</f>
        <v>4038</v>
      </c>
      <c r="T22" s="9">
        <f t="shared" si="5"/>
        <v>9.9058940069340906E-4</v>
      </c>
      <c r="U22" s="13">
        <f>IFERROR(VLOOKUP(A:A,MASTER!A:K,11,0),0)</f>
        <v>7</v>
      </c>
      <c r="V22" s="13">
        <f>IFERROR(VLOOKUP(A:A,MASTER!A:L,12,0),0)</f>
        <v>9</v>
      </c>
      <c r="W22" s="9">
        <f t="shared" si="6"/>
        <v>-0.22222222222222221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workbookViewId="0">
      <pane xSplit="1" ySplit="2" topLeftCell="B558" activePane="bottomRight" state="frozen"/>
      <selection pane="topRight" activeCell="B1" sqref="B1"/>
      <selection pane="bottomLeft" activeCell="A3" sqref="A3"/>
      <selection pane="bottomRight" activeCell="A3" sqref="A3:A574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160785385.34120154</v>
      </c>
      <c r="D4">
        <v>174349782.67443702</v>
      </c>
      <c r="E4">
        <v>316216.21621621703</v>
      </c>
      <c r="F4">
        <v>412387.38738738798</v>
      </c>
      <c r="G4">
        <v>9</v>
      </c>
      <c r="H4">
        <v>23</v>
      </c>
      <c r="K4">
        <v>10</v>
      </c>
      <c r="L4">
        <v>27</v>
      </c>
      <c r="M4">
        <v>2495675.6756756771</v>
      </c>
      <c r="N4">
        <v>9300900.900900906</v>
      </c>
      <c r="O4">
        <v>19655765.765765768</v>
      </c>
      <c r="P4">
        <v>22955837.837837838</v>
      </c>
      <c r="Q4">
        <v>4596666.666666666</v>
      </c>
      <c r="R4">
        <v>5801261.2612612648</v>
      </c>
      <c r="S4">
        <v>7572</v>
      </c>
      <c r="T4">
        <v>8272</v>
      </c>
    </row>
    <row r="5" spans="1:20" x14ac:dyDescent="0.35">
      <c r="A5" s="7" t="s">
        <v>49</v>
      </c>
      <c r="B5" s="12" t="s">
        <v>50</v>
      </c>
      <c r="C5">
        <v>282460470.89744526</v>
      </c>
      <c r="D5">
        <v>273244568.42322105</v>
      </c>
      <c r="E5">
        <v>2088468.46846847</v>
      </c>
      <c r="F5">
        <v>1905405.4054054159</v>
      </c>
      <c r="G5">
        <v>56</v>
      </c>
      <c r="H5">
        <v>94</v>
      </c>
      <c r="I5">
        <v>5</v>
      </c>
      <c r="K5">
        <v>70</v>
      </c>
      <c r="L5">
        <v>284</v>
      </c>
      <c r="M5">
        <v>59589549.54954955</v>
      </c>
      <c r="N5">
        <v>54511171.171171166</v>
      </c>
      <c r="O5">
        <v>82334509.009009004</v>
      </c>
      <c r="P5">
        <v>82801621.621621609</v>
      </c>
      <c r="Q5">
        <v>55676666.666666672</v>
      </c>
      <c r="R5">
        <v>52260180.180180185</v>
      </c>
      <c r="S5">
        <v>21100</v>
      </c>
      <c r="T5">
        <v>19460</v>
      </c>
    </row>
    <row r="6" spans="1:20" x14ac:dyDescent="0.35">
      <c r="A6" s="7" t="s">
        <v>51</v>
      </c>
      <c r="B6" s="12" t="s">
        <v>52</v>
      </c>
      <c r="C6">
        <v>66569879.522527441</v>
      </c>
      <c r="D6">
        <v>66255346.876729615</v>
      </c>
      <c r="E6">
        <v>41441.441441442003</v>
      </c>
      <c r="F6">
        <v>407207.20720720798</v>
      </c>
      <c r="G6">
        <v>9</v>
      </c>
      <c r="H6">
        <v>26</v>
      </c>
      <c r="K6">
        <v>12</v>
      </c>
      <c r="L6">
        <v>27</v>
      </c>
      <c r="M6">
        <v>3805855.8558558552</v>
      </c>
      <c r="N6">
        <v>4835135.1351351365</v>
      </c>
      <c r="O6">
        <v>22267954.954954956</v>
      </c>
      <c r="P6">
        <v>21439540.540540542</v>
      </c>
      <c r="Q6">
        <v>4566936.9369369373</v>
      </c>
      <c r="R6">
        <v>5105495.4954954982</v>
      </c>
      <c r="S6">
        <v>4741</v>
      </c>
      <c r="T6">
        <v>4750</v>
      </c>
    </row>
    <row r="7" spans="1:20" x14ac:dyDescent="0.35">
      <c r="A7" s="7" t="s">
        <v>53</v>
      </c>
      <c r="B7" s="12" t="s">
        <v>54</v>
      </c>
      <c r="C7">
        <v>35986210.930940785</v>
      </c>
      <c r="D7">
        <v>36565397.737562627</v>
      </c>
      <c r="E7">
        <v>263513.513513515</v>
      </c>
      <c r="F7">
        <v>218918.918918921</v>
      </c>
      <c r="G7">
        <v>5</v>
      </c>
      <c r="H7">
        <v>7</v>
      </c>
      <c r="K7">
        <v>7</v>
      </c>
      <c r="L7">
        <v>10</v>
      </c>
      <c r="M7">
        <v>3182432.4324324331</v>
      </c>
      <c r="N7">
        <v>3755495.4954954959</v>
      </c>
      <c r="O7">
        <v>11636045.045045044</v>
      </c>
      <c r="P7">
        <v>11958792.792792792</v>
      </c>
      <c r="Q7">
        <v>3664864.8648648639</v>
      </c>
      <c r="R7">
        <v>3667027.0270270258</v>
      </c>
      <c r="S7">
        <v>3101</v>
      </c>
      <c r="T7">
        <v>3630</v>
      </c>
    </row>
    <row r="8" spans="1:20" x14ac:dyDescent="0.35">
      <c r="A8" s="7" t="s">
        <v>55</v>
      </c>
      <c r="B8" s="12" t="s">
        <v>54</v>
      </c>
      <c r="C8">
        <v>62086275.470428646</v>
      </c>
      <c r="D8">
        <v>58556450.730510838</v>
      </c>
      <c r="E8">
        <v>368918.91891891998</v>
      </c>
      <c r="F8">
        <v>1023423.423423428</v>
      </c>
      <c r="G8">
        <v>17</v>
      </c>
      <c r="H8">
        <v>14</v>
      </c>
      <c r="K8">
        <v>34</v>
      </c>
      <c r="L8">
        <v>35</v>
      </c>
      <c r="M8">
        <v>10792342.342342339</v>
      </c>
      <c r="N8">
        <v>9074594.5945945978</v>
      </c>
      <c r="O8">
        <v>15563090.090090089</v>
      </c>
      <c r="P8">
        <v>16920351.351351351</v>
      </c>
      <c r="Q8">
        <v>11533603.603603603</v>
      </c>
      <c r="R8">
        <v>22346486.486486487</v>
      </c>
      <c r="S8">
        <v>4972</v>
      </c>
      <c r="T8">
        <v>4383</v>
      </c>
    </row>
    <row r="9" spans="1:20" x14ac:dyDescent="0.35">
      <c r="A9" s="7" t="s">
        <v>56</v>
      </c>
      <c r="B9" s="12" t="s">
        <v>54</v>
      </c>
      <c r="C9">
        <v>30985310.961655628</v>
      </c>
      <c r="D9">
        <v>29025931.167103823</v>
      </c>
      <c r="E9">
        <v>15140720.72072072</v>
      </c>
      <c r="F9">
        <v>23040990.990990993</v>
      </c>
      <c r="G9">
        <v>2</v>
      </c>
      <c r="H9">
        <v>7</v>
      </c>
      <c r="K9">
        <v>3</v>
      </c>
      <c r="L9">
        <v>8</v>
      </c>
      <c r="M9">
        <v>3754234.2342342329</v>
      </c>
      <c r="N9">
        <v>4380540.5405405406</v>
      </c>
      <c r="O9">
        <v>9180675.6756756753</v>
      </c>
      <c r="P9">
        <v>9099144.1441441439</v>
      </c>
      <c r="Q9">
        <v>2484324.3243243229</v>
      </c>
      <c r="R9">
        <v>3327477.4774774802</v>
      </c>
      <c r="S9">
        <v>2116</v>
      </c>
      <c r="T9">
        <v>1926</v>
      </c>
    </row>
    <row r="10" spans="1:20" x14ac:dyDescent="0.35">
      <c r="A10" s="7" t="s">
        <v>57</v>
      </c>
      <c r="B10" s="12" t="s">
        <v>58</v>
      </c>
      <c r="C10">
        <v>77613823.686429977</v>
      </c>
      <c r="D10">
        <v>80031519.987159029</v>
      </c>
      <c r="E10">
        <v>903603.60360360402</v>
      </c>
      <c r="F10">
        <v>67567.567567569</v>
      </c>
      <c r="G10">
        <v>17</v>
      </c>
      <c r="H10">
        <v>22</v>
      </c>
      <c r="K10">
        <v>22</v>
      </c>
      <c r="L10">
        <v>27</v>
      </c>
      <c r="M10">
        <v>3606306.3063063058</v>
      </c>
      <c r="N10">
        <v>1959459.4594594589</v>
      </c>
      <c r="O10">
        <v>13547162.162162162</v>
      </c>
      <c r="P10">
        <v>14338819.819819819</v>
      </c>
      <c r="Q10">
        <v>1924504.5045045051</v>
      </c>
      <c r="R10">
        <v>1420900.9009009011</v>
      </c>
      <c r="S10">
        <v>5692</v>
      </c>
      <c r="T10">
        <v>5625</v>
      </c>
    </row>
    <row r="11" spans="1:20" x14ac:dyDescent="0.35">
      <c r="A11" s="7" t="s">
        <v>59</v>
      </c>
      <c r="B11" s="12" t="s">
        <v>60</v>
      </c>
      <c r="C11">
        <v>34847880.14271836</v>
      </c>
      <c r="D11">
        <v>32953662.15443486</v>
      </c>
      <c r="E11">
        <v>9549.5495495499999</v>
      </c>
      <c r="F11">
        <v>170270.270270273</v>
      </c>
      <c r="G11">
        <v>5</v>
      </c>
      <c r="H11">
        <v>14</v>
      </c>
      <c r="K11">
        <v>6</v>
      </c>
      <c r="L11">
        <v>24</v>
      </c>
      <c r="M11">
        <v>2243783.7837837818</v>
      </c>
      <c r="N11">
        <v>4161261.2612612611</v>
      </c>
      <c r="O11">
        <v>16134090.09009009</v>
      </c>
      <c r="P11">
        <v>14839522.522522524</v>
      </c>
      <c r="Q11">
        <v>3199909.9099099101</v>
      </c>
      <c r="R11">
        <v>3164684.684684684</v>
      </c>
      <c r="S11">
        <v>2722</v>
      </c>
      <c r="T11">
        <v>3089</v>
      </c>
    </row>
    <row r="12" spans="1:20" x14ac:dyDescent="0.35">
      <c r="A12" s="7" t="s">
        <v>61</v>
      </c>
      <c r="B12" s="12" t="s">
        <v>62</v>
      </c>
      <c r="C12">
        <v>162698326.05048558</v>
      </c>
      <c r="D12">
        <v>154213007.52733573</v>
      </c>
      <c r="E12">
        <v>31531.531531533001</v>
      </c>
      <c r="F12">
        <v>893243.24324325204</v>
      </c>
      <c r="G12">
        <v>29</v>
      </c>
      <c r="H12">
        <v>15</v>
      </c>
      <c r="K12">
        <v>35</v>
      </c>
      <c r="L12">
        <v>18</v>
      </c>
      <c r="M12">
        <v>3332792.792792798</v>
      </c>
      <c r="N12">
        <v>6365405.4054054059</v>
      </c>
      <c r="O12">
        <v>17015540.540540539</v>
      </c>
      <c r="P12">
        <v>15819981.98198198</v>
      </c>
      <c r="Q12">
        <v>2342432.4324324359</v>
      </c>
      <c r="R12">
        <v>5581801.8018017979</v>
      </c>
      <c r="S12">
        <v>8700</v>
      </c>
      <c r="T12">
        <v>8841</v>
      </c>
    </row>
    <row r="13" spans="1:20" x14ac:dyDescent="0.35">
      <c r="A13" s="7" t="s">
        <v>63</v>
      </c>
      <c r="B13" s="12" t="s">
        <v>50</v>
      </c>
      <c r="C13">
        <v>86990106.139851108</v>
      </c>
      <c r="D13">
        <v>82084982.222795933</v>
      </c>
      <c r="E13">
        <v>32649549.549549554</v>
      </c>
      <c r="F13">
        <v>76090810.810810819</v>
      </c>
      <c r="G13">
        <v>14</v>
      </c>
      <c r="H13">
        <v>13</v>
      </c>
      <c r="K13">
        <v>16</v>
      </c>
      <c r="L13">
        <v>35</v>
      </c>
      <c r="M13">
        <v>28297837.837837838</v>
      </c>
      <c r="N13">
        <v>16839639.639639642</v>
      </c>
      <c r="O13">
        <v>30699405.405405402</v>
      </c>
      <c r="P13">
        <v>29875387.387387387</v>
      </c>
      <c r="Q13">
        <v>23758738.738738734</v>
      </c>
      <c r="R13">
        <v>14674414.414414419</v>
      </c>
      <c r="S13">
        <v>5520</v>
      </c>
      <c r="T13">
        <v>5499</v>
      </c>
    </row>
    <row r="14" spans="1:20" x14ac:dyDescent="0.35">
      <c r="A14" s="7" t="s">
        <v>64</v>
      </c>
      <c r="B14" s="12" t="s">
        <v>50</v>
      </c>
      <c r="C14">
        <v>88476762.448660478</v>
      </c>
      <c r="D14">
        <v>84282671.632305294</v>
      </c>
      <c r="E14">
        <v>953603.60360360402</v>
      </c>
      <c r="F14">
        <v>1410810.8108108121</v>
      </c>
      <c r="G14">
        <v>13</v>
      </c>
      <c r="H14">
        <v>26</v>
      </c>
      <c r="K14">
        <v>14</v>
      </c>
      <c r="L14">
        <v>34</v>
      </c>
      <c r="M14">
        <v>16846126.126126125</v>
      </c>
      <c r="N14">
        <v>8991711.7117117103</v>
      </c>
      <c r="O14">
        <v>32370792.792792793</v>
      </c>
      <c r="P14">
        <v>30189540.540540539</v>
      </c>
      <c r="Q14">
        <v>14798018.018018018</v>
      </c>
      <c r="R14">
        <v>8458828.8288288303</v>
      </c>
      <c r="S14">
        <v>5545</v>
      </c>
      <c r="T14">
        <v>5434</v>
      </c>
    </row>
    <row r="15" spans="1:20" x14ac:dyDescent="0.35">
      <c r="A15" s="7" t="s">
        <v>65</v>
      </c>
      <c r="B15" s="12" t="s">
        <v>66</v>
      </c>
      <c r="C15">
        <v>85432030.738188341</v>
      </c>
      <c r="D15">
        <v>85035175.726814747</v>
      </c>
      <c r="E15">
        <v>1404594.594594595</v>
      </c>
      <c r="F15">
        <v>1078378.378378381</v>
      </c>
      <c r="G15">
        <v>19</v>
      </c>
      <c r="H15">
        <v>14</v>
      </c>
      <c r="K15">
        <v>24</v>
      </c>
      <c r="L15">
        <v>42</v>
      </c>
      <c r="M15">
        <v>30195585.585585587</v>
      </c>
      <c r="N15">
        <v>23533513.513513513</v>
      </c>
      <c r="O15">
        <v>41475441.441441439</v>
      </c>
      <c r="P15">
        <v>44761378.378378376</v>
      </c>
      <c r="Q15">
        <v>19062432.432432432</v>
      </c>
      <c r="R15">
        <v>18995495.495495498</v>
      </c>
      <c r="S15">
        <v>5657</v>
      </c>
      <c r="T15">
        <v>6423</v>
      </c>
    </row>
    <row r="16" spans="1:20" x14ac:dyDescent="0.35">
      <c r="A16" s="7" t="s">
        <v>67</v>
      </c>
      <c r="B16" s="12" t="s">
        <v>68</v>
      </c>
      <c r="C16">
        <v>46905822.582843445</v>
      </c>
      <c r="D16">
        <v>48065694.108684823</v>
      </c>
      <c r="E16">
        <v>283333.33333333401</v>
      </c>
      <c r="F16">
        <v>620720.72072072094</v>
      </c>
      <c r="G16">
        <v>14</v>
      </c>
      <c r="H16">
        <v>10</v>
      </c>
      <c r="K16">
        <v>17</v>
      </c>
      <c r="L16">
        <v>10</v>
      </c>
      <c r="M16">
        <v>6916486.4864864852</v>
      </c>
      <c r="N16">
        <v>9783783.7837837841</v>
      </c>
      <c r="O16">
        <v>12514549.54954955</v>
      </c>
      <c r="P16">
        <v>14528432.432432432</v>
      </c>
      <c r="Q16">
        <v>6519639.6396396393</v>
      </c>
      <c r="R16">
        <v>6611261.2612612592</v>
      </c>
      <c r="S16">
        <v>3430</v>
      </c>
      <c r="T16">
        <v>3117</v>
      </c>
    </row>
    <row r="17" spans="1:20" x14ac:dyDescent="0.35">
      <c r="A17" s="7" t="s">
        <v>69</v>
      </c>
      <c r="B17" s="12" t="s">
        <v>70</v>
      </c>
      <c r="C17">
        <v>3860348.383435511</v>
      </c>
      <c r="D17">
        <v>3904626.5726430239</v>
      </c>
      <c r="G17">
        <v>1</v>
      </c>
      <c r="H17">
        <v>1</v>
      </c>
      <c r="K17">
        <v>1</v>
      </c>
      <c r="L17">
        <v>1</v>
      </c>
      <c r="O17">
        <v>905180.18018018</v>
      </c>
      <c r="P17">
        <v>1288693.693693694</v>
      </c>
      <c r="R17">
        <v>124324.324324324</v>
      </c>
      <c r="S17">
        <v>405</v>
      </c>
      <c r="T17">
        <v>364</v>
      </c>
    </row>
    <row r="18" spans="1:20" x14ac:dyDescent="0.35">
      <c r="A18" s="7" t="s">
        <v>71</v>
      </c>
      <c r="B18" s="12" t="s">
        <v>72</v>
      </c>
      <c r="C18">
        <v>701824613.69313705</v>
      </c>
      <c r="D18">
        <v>658900426.09437907</v>
      </c>
      <c r="E18">
        <v>263522300.9009009</v>
      </c>
      <c r="F18">
        <v>109775752.25225227</v>
      </c>
      <c r="G18">
        <v>163</v>
      </c>
      <c r="H18">
        <v>147</v>
      </c>
      <c r="I18">
        <v>7</v>
      </c>
      <c r="K18">
        <v>212</v>
      </c>
      <c r="L18">
        <v>240</v>
      </c>
      <c r="M18">
        <v>76435412.612612605</v>
      </c>
      <c r="N18">
        <v>71803610.810810804</v>
      </c>
      <c r="O18">
        <v>133443818.01801802</v>
      </c>
      <c r="P18">
        <v>136524056.75675678</v>
      </c>
      <c r="Q18">
        <v>68150360.360360354</v>
      </c>
      <c r="R18">
        <v>64151801.801801808</v>
      </c>
      <c r="S18">
        <v>45423</v>
      </c>
      <c r="T18">
        <v>45548</v>
      </c>
    </row>
    <row r="19" spans="1:20" x14ac:dyDescent="0.35">
      <c r="A19" s="7" t="s">
        <v>73</v>
      </c>
      <c r="B19" s="12" t="s">
        <v>72</v>
      </c>
      <c r="C19">
        <v>65134390.738422342</v>
      </c>
      <c r="D19">
        <v>68853815.771792158</v>
      </c>
      <c r="E19">
        <v>3603.603603604</v>
      </c>
      <c r="F19">
        <v>40540.540540540998</v>
      </c>
      <c r="G19">
        <v>10</v>
      </c>
      <c r="H19">
        <v>11</v>
      </c>
      <c r="K19">
        <v>10</v>
      </c>
      <c r="L19">
        <v>15</v>
      </c>
      <c r="M19">
        <v>454054.05405405402</v>
      </c>
      <c r="N19">
        <v>2427927.9279279271</v>
      </c>
      <c r="O19">
        <v>9020855.8558558561</v>
      </c>
      <c r="P19">
        <v>10334216.216216216</v>
      </c>
      <c r="Q19">
        <v>762432.43243243301</v>
      </c>
      <c r="R19">
        <v>1904864.8648648651</v>
      </c>
      <c r="S19">
        <v>3500</v>
      </c>
      <c r="T19">
        <v>3538</v>
      </c>
    </row>
    <row r="20" spans="1:20" x14ac:dyDescent="0.35">
      <c r="A20" s="7" t="s">
        <v>74</v>
      </c>
      <c r="B20" s="12" t="s">
        <v>70</v>
      </c>
      <c r="C20">
        <v>70017376.770269901</v>
      </c>
      <c r="D20">
        <v>66820888.017560959</v>
      </c>
      <c r="E20">
        <v>268108.10810810898</v>
      </c>
      <c r="F20">
        <v>2072072.0720720771</v>
      </c>
      <c r="G20">
        <v>12</v>
      </c>
      <c r="H20">
        <v>17</v>
      </c>
      <c r="K20">
        <v>18</v>
      </c>
      <c r="L20">
        <v>34</v>
      </c>
      <c r="M20">
        <v>13628018.018018024</v>
      </c>
      <c r="N20">
        <v>14142342.342342349</v>
      </c>
      <c r="O20">
        <v>23595270.270270273</v>
      </c>
      <c r="P20">
        <v>24099945.945945945</v>
      </c>
      <c r="Q20">
        <v>24377297.297297299</v>
      </c>
      <c r="R20">
        <v>11642522.522522522</v>
      </c>
      <c r="S20">
        <v>4348</v>
      </c>
      <c r="T20">
        <v>5562</v>
      </c>
    </row>
    <row r="21" spans="1:20" x14ac:dyDescent="0.35">
      <c r="A21" s="7" t="s">
        <v>75</v>
      </c>
      <c r="B21" s="12" t="s">
        <v>76</v>
      </c>
      <c r="C21">
        <v>20228172.892077863</v>
      </c>
      <c r="D21">
        <v>19145968.243318677</v>
      </c>
      <c r="E21">
        <v>13513.513513514001</v>
      </c>
      <c r="F21">
        <v>16216.216216216</v>
      </c>
      <c r="G21">
        <v>7</v>
      </c>
      <c r="H21">
        <v>1</v>
      </c>
      <c r="K21">
        <v>9</v>
      </c>
      <c r="L21">
        <v>2</v>
      </c>
      <c r="M21">
        <v>1454954.9549549541</v>
      </c>
      <c r="N21">
        <v>1457657.6576576571</v>
      </c>
      <c r="O21">
        <v>5236441.4414414419</v>
      </c>
      <c r="P21">
        <v>4429513.5135135138</v>
      </c>
      <c r="Q21">
        <v>1873873.8738738741</v>
      </c>
      <c r="R21">
        <v>921711.71171171102</v>
      </c>
      <c r="S21">
        <v>1404</v>
      </c>
      <c r="T21">
        <v>1539</v>
      </c>
    </row>
    <row r="22" spans="1:20" x14ac:dyDescent="0.35">
      <c r="A22" s="7" t="s">
        <v>77</v>
      </c>
      <c r="B22" s="12" t="s">
        <v>78</v>
      </c>
      <c r="C22">
        <v>45802743.285175309</v>
      </c>
      <c r="D22">
        <v>41057241.526646167</v>
      </c>
      <c r="E22">
        <v>98288.288288288997</v>
      </c>
      <c r="F22">
        <v>581981.98198198201</v>
      </c>
      <c r="G22">
        <v>11</v>
      </c>
      <c r="H22">
        <v>7</v>
      </c>
      <c r="K22">
        <v>13</v>
      </c>
      <c r="L22">
        <v>9</v>
      </c>
      <c r="M22">
        <v>4900090.0900900904</v>
      </c>
      <c r="N22">
        <v>4185585.5855855858</v>
      </c>
      <c r="O22">
        <v>13789819.819819819</v>
      </c>
      <c r="P22">
        <v>13254261.261261262</v>
      </c>
      <c r="Q22">
        <v>4013243.2432432431</v>
      </c>
      <c r="R22">
        <v>4799819.8198198192</v>
      </c>
      <c r="S22">
        <v>2510</v>
      </c>
      <c r="T22">
        <v>2237</v>
      </c>
    </row>
    <row r="23" spans="1:20" x14ac:dyDescent="0.35">
      <c r="A23" s="7" t="s">
        <v>79</v>
      </c>
      <c r="B23" s="12" t="s">
        <v>80</v>
      </c>
      <c r="C23">
        <v>414853062.84373158</v>
      </c>
      <c r="D23">
        <v>377846063.56565529</v>
      </c>
      <c r="E23">
        <v>594144.14414414996</v>
      </c>
      <c r="F23">
        <v>2126126.1261261348</v>
      </c>
      <c r="G23">
        <v>105</v>
      </c>
      <c r="H23">
        <v>89</v>
      </c>
      <c r="I23">
        <v>2</v>
      </c>
      <c r="K23">
        <v>147</v>
      </c>
      <c r="L23">
        <v>120</v>
      </c>
      <c r="M23">
        <v>173469639.63963962</v>
      </c>
      <c r="N23">
        <v>40847747.747747742</v>
      </c>
      <c r="O23">
        <v>103133689.18918918</v>
      </c>
      <c r="P23">
        <v>98065378.378378391</v>
      </c>
      <c r="Q23">
        <v>32092162.162162159</v>
      </c>
      <c r="R23">
        <v>33615315.315315314</v>
      </c>
      <c r="S23">
        <v>26365</v>
      </c>
      <c r="T23">
        <v>26230</v>
      </c>
    </row>
    <row r="24" spans="1:20" x14ac:dyDescent="0.35">
      <c r="A24" s="7" t="s">
        <v>81</v>
      </c>
      <c r="B24" s="12" t="s">
        <v>54</v>
      </c>
      <c r="C24">
        <v>11940589.013231317</v>
      </c>
      <c r="D24">
        <v>11905805.800623449</v>
      </c>
      <c r="E24">
        <v>139639.63963963999</v>
      </c>
      <c r="F24">
        <v>77477.477477477994</v>
      </c>
      <c r="G24">
        <v>4</v>
      </c>
      <c r="H24">
        <v>5</v>
      </c>
      <c r="K24">
        <v>5</v>
      </c>
      <c r="L24">
        <v>5</v>
      </c>
      <c r="M24">
        <v>725675.67567567504</v>
      </c>
      <c r="N24">
        <v>910810.810810811</v>
      </c>
      <c r="O24">
        <v>2908288.2882882878</v>
      </c>
      <c r="P24">
        <v>2876981.981981982</v>
      </c>
      <c r="Q24">
        <v>892072.07207207195</v>
      </c>
      <c r="R24">
        <v>748918.91891891905</v>
      </c>
      <c r="S24">
        <v>1392</v>
      </c>
      <c r="T24">
        <v>1317</v>
      </c>
    </row>
    <row r="25" spans="1:20" x14ac:dyDescent="0.35">
      <c r="A25" s="7" t="s">
        <v>82</v>
      </c>
      <c r="B25" s="12" t="s">
        <v>83</v>
      </c>
      <c r="C25">
        <v>294314270.15726471</v>
      </c>
      <c r="D25">
        <v>279858140.46634644</v>
      </c>
      <c r="E25">
        <v>2137927.927927928</v>
      </c>
      <c r="F25">
        <v>2502927.9279279332</v>
      </c>
      <c r="G25">
        <v>46</v>
      </c>
      <c r="H25">
        <v>48</v>
      </c>
      <c r="K25">
        <v>55</v>
      </c>
      <c r="L25">
        <v>55</v>
      </c>
      <c r="M25">
        <v>45269459.459459454</v>
      </c>
      <c r="N25">
        <v>76179729.729729727</v>
      </c>
      <c r="O25">
        <v>80666610.810810819</v>
      </c>
      <c r="P25">
        <v>76823932.432432428</v>
      </c>
      <c r="Q25">
        <v>38576216.216216214</v>
      </c>
      <c r="R25">
        <v>33730900.9009009</v>
      </c>
      <c r="S25">
        <v>15294</v>
      </c>
      <c r="T25">
        <v>14865</v>
      </c>
    </row>
    <row r="26" spans="1:20" x14ac:dyDescent="0.35">
      <c r="A26" s="7" t="s">
        <v>84</v>
      </c>
      <c r="B26" s="12" t="s">
        <v>85</v>
      </c>
      <c r="C26">
        <v>28480241.661581147</v>
      </c>
      <c r="D26">
        <v>30192569.540980987</v>
      </c>
      <c r="E26">
        <v>36036.036036037003</v>
      </c>
      <c r="F26">
        <v>757432.43243243499</v>
      </c>
      <c r="G26">
        <v>8</v>
      </c>
      <c r="H26">
        <v>20</v>
      </c>
      <c r="K26">
        <v>11</v>
      </c>
      <c r="L26">
        <v>21</v>
      </c>
      <c r="M26">
        <v>29948198.198198199</v>
      </c>
      <c r="N26">
        <v>51649549.54954955</v>
      </c>
      <c r="O26">
        <v>9260315.3153153155</v>
      </c>
      <c r="P26">
        <v>10558981.981981983</v>
      </c>
      <c r="Q26">
        <v>19614684.684684683</v>
      </c>
      <c r="R26">
        <v>48783063.063063055</v>
      </c>
      <c r="S26">
        <v>2337</v>
      </c>
      <c r="T26">
        <v>2256</v>
      </c>
    </row>
    <row r="27" spans="1:20" x14ac:dyDescent="0.35">
      <c r="A27" s="7" t="s">
        <v>86</v>
      </c>
      <c r="B27" s="12" t="s">
        <v>87</v>
      </c>
      <c r="C27">
        <v>1153762.4851940279</v>
      </c>
      <c r="D27">
        <v>1002309.8224692181</v>
      </c>
      <c r="G27">
        <v>2</v>
      </c>
      <c r="K27">
        <v>2</v>
      </c>
      <c r="O27">
        <v>415090.09009009</v>
      </c>
      <c r="P27">
        <v>567126.12612612604</v>
      </c>
      <c r="S27">
        <v>165</v>
      </c>
      <c r="T27">
        <v>162</v>
      </c>
    </row>
    <row r="28" spans="1:20" x14ac:dyDescent="0.35">
      <c r="A28" s="7" t="s">
        <v>88</v>
      </c>
      <c r="B28" s="12" t="s">
        <v>89</v>
      </c>
      <c r="C28">
        <v>59765498.102804802</v>
      </c>
      <c r="D28">
        <v>57374273.088915884</v>
      </c>
      <c r="E28">
        <v>3603.603603604</v>
      </c>
      <c r="F28">
        <v>220720.72072072301</v>
      </c>
      <c r="G28">
        <v>6</v>
      </c>
      <c r="H28">
        <v>10</v>
      </c>
      <c r="K28">
        <v>7</v>
      </c>
      <c r="L28">
        <v>10</v>
      </c>
      <c r="M28">
        <v>4790630.6306306301</v>
      </c>
      <c r="N28">
        <v>2784684.684684684</v>
      </c>
      <c r="O28">
        <v>19537387.387387387</v>
      </c>
      <c r="P28">
        <v>19549306.306306306</v>
      </c>
      <c r="Q28">
        <v>3245945.945945947</v>
      </c>
      <c r="R28">
        <v>4013333.3333333312</v>
      </c>
      <c r="S28">
        <v>3339</v>
      </c>
      <c r="T28">
        <v>4187</v>
      </c>
    </row>
    <row r="29" spans="1:20" x14ac:dyDescent="0.35">
      <c r="A29" s="7" t="s">
        <v>90</v>
      </c>
      <c r="B29" s="12" t="s">
        <v>60</v>
      </c>
      <c r="C29">
        <v>19580026.539123494</v>
      </c>
      <c r="D29">
        <v>21764340.657793455</v>
      </c>
      <c r="E29">
        <v>28385585.585585583</v>
      </c>
      <c r="F29">
        <v>29309909.909909911</v>
      </c>
      <c r="G29">
        <v>7</v>
      </c>
      <c r="H29">
        <v>2</v>
      </c>
      <c r="K29">
        <v>8</v>
      </c>
      <c r="L29">
        <v>38</v>
      </c>
      <c r="M29">
        <v>1724324.3243243231</v>
      </c>
      <c r="N29">
        <v>2012612.612612613</v>
      </c>
      <c r="O29">
        <v>10482207.207207208</v>
      </c>
      <c r="P29">
        <v>12170621.62162162</v>
      </c>
      <c r="Q29">
        <v>1490540.5405405399</v>
      </c>
      <c r="R29">
        <v>1667117.117117116</v>
      </c>
      <c r="S29">
        <v>1583</v>
      </c>
      <c r="T29">
        <v>2068</v>
      </c>
    </row>
    <row r="30" spans="1:20" x14ac:dyDescent="0.35">
      <c r="A30" s="7" t="s">
        <v>91</v>
      </c>
      <c r="B30" s="12" t="s">
        <v>92</v>
      </c>
      <c r="C30">
        <v>17260984.916805308</v>
      </c>
      <c r="D30">
        <v>17284759.67232345</v>
      </c>
      <c r="F30">
        <v>617117.11711711797</v>
      </c>
      <c r="G30">
        <v>4</v>
      </c>
      <c r="H30">
        <v>3</v>
      </c>
      <c r="K30">
        <v>5</v>
      </c>
      <c r="L30">
        <v>7</v>
      </c>
      <c r="M30">
        <v>60540.540540540998</v>
      </c>
      <c r="N30">
        <v>4094594.594594596</v>
      </c>
      <c r="O30">
        <v>5931981.9819819815</v>
      </c>
      <c r="P30">
        <v>5363207.2072072066</v>
      </c>
      <c r="Q30">
        <v>60540.540540540998</v>
      </c>
      <c r="R30">
        <v>4305855.8558558561</v>
      </c>
      <c r="S30">
        <v>1093</v>
      </c>
      <c r="T30">
        <v>1103</v>
      </c>
    </row>
    <row r="31" spans="1:20" x14ac:dyDescent="0.35">
      <c r="A31" s="7" t="s">
        <v>93</v>
      </c>
      <c r="B31" s="12" t="s">
        <v>94</v>
      </c>
      <c r="C31">
        <v>77524890.555872366</v>
      </c>
      <c r="D31">
        <v>71431863.548994958</v>
      </c>
      <c r="E31">
        <v>8114414.4144144151</v>
      </c>
      <c r="F31">
        <v>24756756.75675676</v>
      </c>
      <c r="G31">
        <v>17</v>
      </c>
      <c r="H31">
        <v>12</v>
      </c>
      <c r="K31">
        <v>24</v>
      </c>
      <c r="L31">
        <v>15</v>
      </c>
      <c r="M31">
        <v>10200900.900900902</v>
      </c>
      <c r="N31">
        <v>10375675.675675675</v>
      </c>
      <c r="O31">
        <v>11409414.414414415</v>
      </c>
      <c r="P31">
        <v>11738700.9009009</v>
      </c>
      <c r="Q31">
        <v>7993333.333333333</v>
      </c>
      <c r="R31">
        <v>8445585.5855855849</v>
      </c>
      <c r="S31">
        <v>4460</v>
      </c>
      <c r="T31">
        <v>4533</v>
      </c>
    </row>
    <row r="32" spans="1:20" x14ac:dyDescent="0.35">
      <c r="A32" s="7" t="s">
        <v>95</v>
      </c>
      <c r="B32" s="12" t="s">
        <v>96</v>
      </c>
      <c r="C32">
        <v>78182120.416178122</v>
      </c>
      <c r="D32">
        <v>74266394.282655746</v>
      </c>
      <c r="E32">
        <v>85585.585585587003</v>
      </c>
      <c r="F32">
        <v>277477.47747747798</v>
      </c>
      <c r="G32">
        <v>18</v>
      </c>
      <c r="H32">
        <v>18</v>
      </c>
      <c r="K32">
        <v>22</v>
      </c>
      <c r="L32">
        <v>19</v>
      </c>
      <c r="M32">
        <v>9746846.8468468487</v>
      </c>
      <c r="N32">
        <v>16637837.837837838</v>
      </c>
      <c r="O32">
        <v>35660441.441441439</v>
      </c>
      <c r="P32">
        <v>36430396.396396399</v>
      </c>
      <c r="Q32">
        <v>10376036.036036037</v>
      </c>
      <c r="R32">
        <v>11443243.243243247</v>
      </c>
      <c r="S32">
        <v>6018</v>
      </c>
      <c r="T32">
        <v>5932</v>
      </c>
    </row>
    <row r="33" spans="1:20" x14ac:dyDescent="0.35">
      <c r="A33" s="7" t="s">
        <v>97</v>
      </c>
      <c r="B33" s="12" t="s">
        <v>98</v>
      </c>
      <c r="C33">
        <v>280989692.02873832</v>
      </c>
      <c r="D33">
        <v>280540075.69211799</v>
      </c>
      <c r="E33">
        <v>971261.26126126503</v>
      </c>
      <c r="F33">
        <v>969369.36936937401</v>
      </c>
      <c r="G33">
        <v>115</v>
      </c>
      <c r="H33">
        <v>90</v>
      </c>
      <c r="K33">
        <v>141</v>
      </c>
      <c r="L33">
        <v>119</v>
      </c>
      <c r="M33">
        <v>33221891.891891897</v>
      </c>
      <c r="N33">
        <v>37357027.027027026</v>
      </c>
      <c r="O33">
        <v>72025720.720720723</v>
      </c>
      <c r="P33">
        <v>72265864.864864871</v>
      </c>
      <c r="Q33">
        <v>29571441.441441439</v>
      </c>
      <c r="R33">
        <v>34760990.990990989</v>
      </c>
      <c r="S33">
        <v>22601</v>
      </c>
      <c r="T33">
        <v>22277</v>
      </c>
    </row>
    <row r="34" spans="1:20" x14ac:dyDescent="0.35">
      <c r="A34" s="7" t="s">
        <v>99</v>
      </c>
      <c r="B34" s="12" t="s">
        <v>98</v>
      </c>
      <c r="C34">
        <v>465090145.54019022</v>
      </c>
      <c r="D34">
        <v>453851173.40813893</v>
      </c>
      <c r="E34">
        <v>295045.04504505103</v>
      </c>
      <c r="F34">
        <v>1489160.3603603661</v>
      </c>
      <c r="G34">
        <v>122</v>
      </c>
      <c r="H34">
        <v>110</v>
      </c>
      <c r="K34">
        <v>170</v>
      </c>
      <c r="L34">
        <v>153</v>
      </c>
      <c r="M34">
        <v>29080855.855855849</v>
      </c>
      <c r="N34">
        <v>22922522.522522524</v>
      </c>
      <c r="O34">
        <v>87011536.036036029</v>
      </c>
      <c r="P34">
        <v>87158238.738738731</v>
      </c>
      <c r="Q34">
        <v>31370045.045045041</v>
      </c>
      <c r="R34">
        <v>21704414.414414413</v>
      </c>
      <c r="S34">
        <v>27697</v>
      </c>
      <c r="T34">
        <v>28442</v>
      </c>
    </row>
    <row r="35" spans="1:20" x14ac:dyDescent="0.35">
      <c r="A35" s="7" t="s">
        <v>100</v>
      </c>
      <c r="B35" s="12" t="s">
        <v>98</v>
      </c>
      <c r="C35">
        <v>445898268.60775876</v>
      </c>
      <c r="D35">
        <v>441555870.89291358</v>
      </c>
      <c r="E35">
        <v>1151351.3513513559</v>
      </c>
      <c r="F35">
        <v>4199099.099099108</v>
      </c>
      <c r="G35">
        <v>90</v>
      </c>
      <c r="H35">
        <v>98</v>
      </c>
      <c r="K35">
        <v>184</v>
      </c>
      <c r="L35">
        <v>153</v>
      </c>
      <c r="M35">
        <v>476541036.03603601</v>
      </c>
      <c r="N35">
        <v>46261036.036036037</v>
      </c>
      <c r="O35">
        <v>90231340.540540546</v>
      </c>
      <c r="P35">
        <v>95413903.153153151</v>
      </c>
      <c r="Q35">
        <v>470733962.16216218</v>
      </c>
      <c r="R35">
        <v>42794639.639639646</v>
      </c>
      <c r="S35">
        <v>33171</v>
      </c>
      <c r="T35">
        <v>34372</v>
      </c>
    </row>
    <row r="36" spans="1:20" x14ac:dyDescent="0.35">
      <c r="A36" s="7" t="s">
        <v>101</v>
      </c>
      <c r="B36" s="12" t="s">
        <v>98</v>
      </c>
      <c r="C36">
        <v>265704704.36441168</v>
      </c>
      <c r="D36">
        <v>261351064.80337572</v>
      </c>
      <c r="E36">
        <v>42921621.621621624</v>
      </c>
      <c r="F36">
        <v>1000900.900900903</v>
      </c>
      <c r="G36">
        <v>81</v>
      </c>
      <c r="H36">
        <v>64</v>
      </c>
      <c r="I36">
        <v>1</v>
      </c>
      <c r="K36">
        <v>103</v>
      </c>
      <c r="L36">
        <v>92</v>
      </c>
      <c r="M36">
        <v>25010270.270270269</v>
      </c>
      <c r="N36">
        <v>21946396.396396395</v>
      </c>
      <c r="O36">
        <v>56318666.666666664</v>
      </c>
      <c r="P36">
        <v>59236135.135135137</v>
      </c>
      <c r="Q36">
        <v>22271261.261261258</v>
      </c>
      <c r="R36">
        <v>20171081.081081077</v>
      </c>
      <c r="S36">
        <v>21402</v>
      </c>
      <c r="T36">
        <v>21518</v>
      </c>
    </row>
    <row r="37" spans="1:20" x14ac:dyDescent="0.35">
      <c r="A37" s="7" t="s">
        <v>102</v>
      </c>
      <c r="B37" s="12" t="s">
        <v>98</v>
      </c>
      <c r="C37">
        <v>296989693.56069672</v>
      </c>
      <c r="D37">
        <v>293483971.58744913</v>
      </c>
      <c r="E37">
        <v>1066261.2612612641</v>
      </c>
      <c r="F37">
        <v>3159459.4594594631</v>
      </c>
      <c r="G37">
        <v>45</v>
      </c>
      <c r="H37">
        <v>64</v>
      </c>
      <c r="K37">
        <v>55</v>
      </c>
      <c r="L37">
        <v>85</v>
      </c>
      <c r="M37">
        <v>54941711.711711705</v>
      </c>
      <c r="N37">
        <v>33039639.639639638</v>
      </c>
      <c r="O37">
        <v>84034718.918918908</v>
      </c>
      <c r="P37">
        <v>85000288.288288295</v>
      </c>
      <c r="Q37">
        <v>48459639.639639631</v>
      </c>
      <c r="R37">
        <v>50537297.297297306</v>
      </c>
      <c r="S37">
        <v>25197</v>
      </c>
      <c r="T37">
        <v>25059</v>
      </c>
    </row>
    <row r="38" spans="1:20" x14ac:dyDescent="0.35">
      <c r="A38" s="7" t="s">
        <v>103</v>
      </c>
      <c r="B38" s="12" t="s">
        <v>98</v>
      </c>
      <c r="C38">
        <v>760753168.7351656</v>
      </c>
      <c r="D38">
        <v>758705198.01648641</v>
      </c>
      <c r="E38">
        <v>445802824.32432437</v>
      </c>
      <c r="F38">
        <v>182951063.96396396</v>
      </c>
      <c r="G38">
        <v>178</v>
      </c>
      <c r="H38">
        <v>169</v>
      </c>
      <c r="I38">
        <v>5</v>
      </c>
      <c r="K38">
        <v>239</v>
      </c>
      <c r="L38">
        <v>243</v>
      </c>
      <c r="M38">
        <v>66464504.504504494</v>
      </c>
      <c r="N38">
        <v>74973873.873873875</v>
      </c>
      <c r="O38">
        <v>153416016.21621624</v>
      </c>
      <c r="P38">
        <v>159983243.24324328</v>
      </c>
      <c r="Q38">
        <v>63670583.783783786</v>
      </c>
      <c r="R38">
        <v>68978738.738738745</v>
      </c>
      <c r="S38">
        <v>55639</v>
      </c>
      <c r="T38">
        <v>55023</v>
      </c>
    </row>
    <row r="39" spans="1:20" x14ac:dyDescent="0.35">
      <c r="A39" s="7" t="s">
        <v>104</v>
      </c>
      <c r="B39" s="12" t="s">
        <v>105</v>
      </c>
      <c r="C39">
        <v>57395246.239391319</v>
      </c>
      <c r="D39">
        <v>48582406.811094224</v>
      </c>
      <c r="E39">
        <v>186486.48648648601</v>
      </c>
      <c r="F39">
        <v>364864.86486486503</v>
      </c>
      <c r="G39">
        <v>6</v>
      </c>
      <c r="H39">
        <v>13</v>
      </c>
      <c r="K39">
        <v>8</v>
      </c>
      <c r="L39">
        <v>14</v>
      </c>
      <c r="M39">
        <v>1028828.8288288279</v>
      </c>
      <c r="N39">
        <v>364864.86486486503</v>
      </c>
      <c r="O39">
        <v>10040765.765765764</v>
      </c>
      <c r="P39">
        <v>10495405.405405404</v>
      </c>
      <c r="Q39">
        <v>870180.18018018105</v>
      </c>
      <c r="R39">
        <v>400000</v>
      </c>
      <c r="S39">
        <v>2520</v>
      </c>
      <c r="T39">
        <v>2510</v>
      </c>
    </row>
    <row r="40" spans="1:20" x14ac:dyDescent="0.35">
      <c r="A40" s="7" t="s">
        <v>106</v>
      </c>
      <c r="B40" s="12" t="s">
        <v>54</v>
      </c>
      <c r="C40">
        <v>18073291.604167014</v>
      </c>
      <c r="D40">
        <v>17166357.651620105</v>
      </c>
      <c r="E40">
        <v>2702.7027027029999</v>
      </c>
      <c r="F40">
        <v>2702.7027027029999</v>
      </c>
      <c r="G40">
        <v>2</v>
      </c>
      <c r="H40">
        <v>5</v>
      </c>
      <c r="K40">
        <v>6</v>
      </c>
      <c r="L40">
        <v>5</v>
      </c>
      <c r="M40">
        <v>408108.10810810799</v>
      </c>
      <c r="N40">
        <v>566306.30630630697</v>
      </c>
      <c r="O40">
        <v>4128828.8288288298</v>
      </c>
      <c r="P40">
        <v>4669180.1801801799</v>
      </c>
      <c r="Q40">
        <v>840090.09009008994</v>
      </c>
      <c r="R40">
        <v>734864.86486486602</v>
      </c>
      <c r="S40">
        <v>1405</v>
      </c>
      <c r="T40">
        <v>1372</v>
      </c>
    </row>
    <row r="41" spans="1:20" x14ac:dyDescent="0.35">
      <c r="A41" s="7" t="s">
        <v>107</v>
      </c>
      <c r="B41" s="12" t="s">
        <v>108</v>
      </c>
      <c r="C41">
        <v>148478296.6057193</v>
      </c>
      <c r="D41">
        <v>144002971.70498797</v>
      </c>
      <c r="E41">
        <v>515495.495495499</v>
      </c>
      <c r="F41">
        <v>1969369.3693693711</v>
      </c>
      <c r="G41">
        <v>35</v>
      </c>
      <c r="H41">
        <v>39</v>
      </c>
      <c r="K41">
        <v>48</v>
      </c>
      <c r="L41">
        <v>58</v>
      </c>
      <c r="M41">
        <v>15384864.864864863</v>
      </c>
      <c r="N41">
        <v>16048828.828828827</v>
      </c>
      <c r="O41">
        <v>31921666.666666668</v>
      </c>
      <c r="P41">
        <v>33023891.891891893</v>
      </c>
      <c r="Q41">
        <v>12150810.810810812</v>
      </c>
      <c r="R41">
        <v>15129189.189189188</v>
      </c>
      <c r="S41">
        <v>10043</v>
      </c>
      <c r="T41">
        <v>9585</v>
      </c>
    </row>
    <row r="42" spans="1:20" x14ac:dyDescent="0.35">
      <c r="A42" s="7" t="s">
        <v>109</v>
      </c>
      <c r="B42" s="12" t="s">
        <v>108</v>
      </c>
      <c r="C42">
        <v>199836539.15942159</v>
      </c>
      <c r="D42">
        <v>206695131.57556489</v>
      </c>
      <c r="E42">
        <v>2945495.4954954968</v>
      </c>
      <c r="F42">
        <v>1387387.38738739</v>
      </c>
      <c r="G42">
        <v>32</v>
      </c>
      <c r="H42">
        <v>59</v>
      </c>
      <c r="K42">
        <v>46</v>
      </c>
      <c r="L42">
        <v>100</v>
      </c>
      <c r="M42">
        <v>193132882.88288289</v>
      </c>
      <c r="N42">
        <v>13151171.171171172</v>
      </c>
      <c r="O42">
        <v>50078626.126126125</v>
      </c>
      <c r="P42">
        <v>55407360.360360362</v>
      </c>
      <c r="Q42">
        <v>180388468.46846849</v>
      </c>
      <c r="R42">
        <v>25063333.333333328</v>
      </c>
      <c r="S42">
        <v>13363</v>
      </c>
      <c r="T42">
        <v>13992</v>
      </c>
    </row>
    <row r="43" spans="1:20" x14ac:dyDescent="0.35">
      <c r="A43" s="7" t="s">
        <v>110</v>
      </c>
      <c r="B43" s="12" t="s">
        <v>111</v>
      </c>
      <c r="C43">
        <v>249320508.69449881</v>
      </c>
      <c r="D43">
        <v>236025651.42153513</v>
      </c>
      <c r="E43">
        <v>990180.18018018303</v>
      </c>
      <c r="F43">
        <v>3212612.61261262</v>
      </c>
      <c r="G43">
        <v>34</v>
      </c>
      <c r="H43">
        <v>54</v>
      </c>
      <c r="K43">
        <v>49</v>
      </c>
      <c r="L43">
        <v>144</v>
      </c>
      <c r="M43">
        <v>19767927.927927926</v>
      </c>
      <c r="N43">
        <v>22209213.513513509</v>
      </c>
      <c r="O43">
        <v>76370522.522522524</v>
      </c>
      <c r="P43">
        <v>80570072.072072059</v>
      </c>
      <c r="Q43">
        <v>19367657.657657657</v>
      </c>
      <c r="R43">
        <v>22276576.576576572</v>
      </c>
      <c r="S43">
        <v>19799</v>
      </c>
      <c r="T43">
        <v>19307</v>
      </c>
    </row>
    <row r="44" spans="1:20" x14ac:dyDescent="0.35">
      <c r="A44" s="7" t="s">
        <v>112</v>
      </c>
      <c r="B44" s="12" t="s">
        <v>111</v>
      </c>
      <c r="C44">
        <v>306576065.45307761</v>
      </c>
      <c r="D44">
        <v>308131974.662269</v>
      </c>
      <c r="E44">
        <v>31909369.369369373</v>
      </c>
      <c r="F44">
        <v>86065675.67567569</v>
      </c>
      <c r="G44">
        <v>62</v>
      </c>
      <c r="H44">
        <v>123</v>
      </c>
      <c r="K44">
        <v>79</v>
      </c>
      <c r="L44">
        <v>187</v>
      </c>
      <c r="M44">
        <v>25832792.79279279</v>
      </c>
      <c r="N44">
        <v>28094697.297297299</v>
      </c>
      <c r="O44">
        <v>101483702.7027027</v>
      </c>
      <c r="P44">
        <v>111943639.63963963</v>
      </c>
      <c r="Q44">
        <v>19085765.765765768</v>
      </c>
      <c r="R44">
        <v>27917477.477477476</v>
      </c>
      <c r="S44">
        <v>27173</v>
      </c>
      <c r="T44">
        <v>28030</v>
      </c>
    </row>
    <row r="45" spans="1:20" x14ac:dyDescent="0.35">
      <c r="A45" s="7" t="s">
        <v>113</v>
      </c>
      <c r="B45" s="12" t="s">
        <v>111</v>
      </c>
      <c r="C45">
        <v>212996709.4396815</v>
      </c>
      <c r="D45">
        <v>213151303.03590098</v>
      </c>
      <c r="E45">
        <v>7070270.270270274</v>
      </c>
      <c r="F45">
        <v>1739414.4144144249</v>
      </c>
      <c r="G45">
        <v>52</v>
      </c>
      <c r="H45">
        <v>73</v>
      </c>
      <c r="I45">
        <v>1</v>
      </c>
      <c r="K45">
        <v>62</v>
      </c>
      <c r="L45">
        <v>163</v>
      </c>
      <c r="M45">
        <v>18081621.62162162</v>
      </c>
      <c r="N45">
        <v>15552539.639639642</v>
      </c>
      <c r="O45">
        <v>63737243.243243247</v>
      </c>
      <c r="P45">
        <v>68417106.306306303</v>
      </c>
      <c r="Q45">
        <v>15186576.576576572</v>
      </c>
      <c r="R45">
        <v>17039909.909909908</v>
      </c>
      <c r="S45">
        <v>13989</v>
      </c>
      <c r="T45">
        <v>14463</v>
      </c>
    </row>
    <row r="46" spans="1:20" x14ac:dyDescent="0.35">
      <c r="A46" s="7" t="s">
        <v>114</v>
      </c>
      <c r="B46" s="12" t="s">
        <v>111</v>
      </c>
      <c r="C46">
        <v>245408531.41332874</v>
      </c>
      <c r="D46">
        <v>248327874.29389945</v>
      </c>
      <c r="E46">
        <v>832882.88288288703</v>
      </c>
      <c r="F46">
        <v>3421396.3963964079</v>
      </c>
      <c r="G46">
        <v>64</v>
      </c>
      <c r="H46">
        <v>93</v>
      </c>
      <c r="I46">
        <v>1</v>
      </c>
      <c r="K46">
        <v>90</v>
      </c>
      <c r="L46">
        <v>219</v>
      </c>
      <c r="M46">
        <v>17889639.639639635</v>
      </c>
      <c r="N46">
        <v>25307027.027027033</v>
      </c>
      <c r="O46">
        <v>67537414.414414421</v>
      </c>
      <c r="P46">
        <v>67373765.765765771</v>
      </c>
      <c r="Q46">
        <v>16851081.081081077</v>
      </c>
      <c r="R46">
        <v>21531801.801801804</v>
      </c>
      <c r="S46">
        <v>19676</v>
      </c>
      <c r="T46">
        <v>20757</v>
      </c>
    </row>
    <row r="47" spans="1:20" x14ac:dyDescent="0.35">
      <c r="A47" s="7" t="s">
        <v>115</v>
      </c>
      <c r="B47" s="12" t="s">
        <v>111</v>
      </c>
      <c r="C47">
        <v>316346296.29911083</v>
      </c>
      <c r="D47">
        <v>288923781.55496329</v>
      </c>
      <c r="E47">
        <v>2581549.549549554</v>
      </c>
      <c r="F47">
        <v>8445141.4414414465</v>
      </c>
      <c r="G47">
        <v>111</v>
      </c>
      <c r="H47">
        <v>142</v>
      </c>
      <c r="K47">
        <v>148</v>
      </c>
      <c r="L47">
        <v>257</v>
      </c>
      <c r="M47">
        <v>27724414.414414406</v>
      </c>
      <c r="N47">
        <v>92576727.027027026</v>
      </c>
      <c r="O47">
        <v>76239180.180180177</v>
      </c>
      <c r="P47">
        <v>80260279.279279277</v>
      </c>
      <c r="Q47">
        <v>44868018.018018007</v>
      </c>
      <c r="R47">
        <v>59458198.198198199</v>
      </c>
      <c r="S47">
        <v>25009</v>
      </c>
      <c r="T47">
        <v>23541</v>
      </c>
    </row>
    <row r="48" spans="1:20" x14ac:dyDescent="0.35">
      <c r="A48" s="7" t="s">
        <v>116</v>
      </c>
      <c r="B48" s="12" t="s">
        <v>54</v>
      </c>
      <c r="C48">
        <v>16781732.73446203</v>
      </c>
      <c r="D48">
        <v>15940335.607828891</v>
      </c>
      <c r="E48">
        <v>28828.828828828999</v>
      </c>
      <c r="F48">
        <v>107882.882882883</v>
      </c>
      <c r="G48">
        <v>1</v>
      </c>
      <c r="H48">
        <v>2</v>
      </c>
      <c r="K48">
        <v>1</v>
      </c>
      <c r="L48">
        <v>2</v>
      </c>
      <c r="M48">
        <v>1308108.1081081079</v>
      </c>
      <c r="N48">
        <v>1369369.369369369</v>
      </c>
      <c r="O48">
        <v>4044864.8648648658</v>
      </c>
      <c r="P48">
        <v>3622369.369369369</v>
      </c>
      <c r="Q48">
        <v>1260360.36036036</v>
      </c>
      <c r="R48">
        <v>1107747.747747747</v>
      </c>
      <c r="S48">
        <v>1119</v>
      </c>
      <c r="T48">
        <v>978</v>
      </c>
    </row>
    <row r="49" spans="1:20" x14ac:dyDescent="0.35">
      <c r="A49" s="7" t="s">
        <v>668</v>
      </c>
      <c r="B49" s="12" t="s">
        <v>117</v>
      </c>
      <c r="E49">
        <v>1013513.513513514</v>
      </c>
      <c r="M49">
        <v>2323198.1981981979</v>
      </c>
      <c r="N49">
        <v>279729.72972973</v>
      </c>
    </row>
    <row r="50" spans="1:20" x14ac:dyDescent="0.35">
      <c r="A50" s="7" t="s">
        <v>118</v>
      </c>
      <c r="B50" s="12" t="s">
        <v>78</v>
      </c>
      <c r="C50">
        <v>143699321.4926092</v>
      </c>
      <c r="D50">
        <v>138841792.32583416</v>
      </c>
      <c r="E50">
        <v>91270312.612612605</v>
      </c>
      <c r="F50">
        <v>262366797.2972973</v>
      </c>
      <c r="G50">
        <v>36</v>
      </c>
      <c r="H50">
        <v>33</v>
      </c>
      <c r="I50">
        <v>1</v>
      </c>
      <c r="K50">
        <v>51</v>
      </c>
      <c r="L50">
        <v>50</v>
      </c>
      <c r="M50">
        <v>23159189.189189184</v>
      </c>
      <c r="N50">
        <v>38477027.027027026</v>
      </c>
      <c r="O50">
        <v>51706747.747747749</v>
      </c>
      <c r="P50">
        <v>56193693.693693697</v>
      </c>
      <c r="Q50">
        <v>20584144.144144148</v>
      </c>
      <c r="R50">
        <v>35029729.729729734</v>
      </c>
      <c r="S50">
        <v>11567</v>
      </c>
      <c r="T50">
        <v>12409</v>
      </c>
    </row>
    <row r="51" spans="1:20" x14ac:dyDescent="0.35">
      <c r="A51" s="7" t="s">
        <v>119</v>
      </c>
      <c r="B51" s="12" t="s">
        <v>50</v>
      </c>
      <c r="C51">
        <v>45593460.024546117</v>
      </c>
      <c r="D51">
        <v>44000259.258180775</v>
      </c>
      <c r="E51">
        <v>13513.513513514001</v>
      </c>
      <c r="F51">
        <v>568468.46846847003</v>
      </c>
      <c r="G51">
        <v>9</v>
      </c>
      <c r="H51">
        <v>14</v>
      </c>
      <c r="K51">
        <v>10</v>
      </c>
      <c r="L51">
        <v>16</v>
      </c>
      <c r="M51">
        <v>9745315.3153153174</v>
      </c>
      <c r="N51">
        <v>7619369.3693693699</v>
      </c>
      <c r="O51">
        <v>15192747.747747747</v>
      </c>
      <c r="P51">
        <v>15757558.558558557</v>
      </c>
      <c r="Q51">
        <v>9715045.0450450461</v>
      </c>
      <c r="R51">
        <v>5674684.6846846836</v>
      </c>
      <c r="S51">
        <v>2519</v>
      </c>
      <c r="T51">
        <v>2381</v>
      </c>
    </row>
    <row r="52" spans="1:20" x14ac:dyDescent="0.35">
      <c r="A52" s="7" t="s">
        <v>120</v>
      </c>
      <c r="B52" s="12" t="s">
        <v>121</v>
      </c>
      <c r="C52">
        <v>167066338.88752788</v>
      </c>
      <c r="D52">
        <v>145234736.18862385</v>
      </c>
      <c r="E52">
        <v>206306.30630630799</v>
      </c>
      <c r="F52">
        <v>1193018.018018024</v>
      </c>
      <c r="G52">
        <v>55</v>
      </c>
      <c r="H52">
        <v>46</v>
      </c>
      <c r="K52">
        <v>65</v>
      </c>
      <c r="L52">
        <v>68</v>
      </c>
      <c r="M52">
        <v>3161261.2612612629</v>
      </c>
      <c r="N52">
        <v>6209909.9099099142</v>
      </c>
      <c r="O52">
        <v>10941333.333333332</v>
      </c>
      <c r="P52">
        <v>11008351.351351352</v>
      </c>
      <c r="Q52">
        <v>4540180.180180178</v>
      </c>
      <c r="R52">
        <v>4338468.4684684686</v>
      </c>
      <c r="S52">
        <v>8102</v>
      </c>
      <c r="T52">
        <v>7930</v>
      </c>
    </row>
    <row r="53" spans="1:20" x14ac:dyDescent="0.35">
      <c r="A53" s="7" t="s">
        <v>122</v>
      </c>
      <c r="B53" s="12" t="s">
        <v>123</v>
      </c>
      <c r="C53">
        <v>72539918.605102286</v>
      </c>
      <c r="D53">
        <v>73110492.79720737</v>
      </c>
      <c r="E53">
        <v>308558.558558558</v>
      </c>
      <c r="F53">
        <v>398873.87387387402</v>
      </c>
      <c r="G53">
        <v>5</v>
      </c>
      <c r="H53">
        <v>12</v>
      </c>
      <c r="K53">
        <v>7</v>
      </c>
      <c r="L53">
        <v>14</v>
      </c>
      <c r="M53">
        <v>24560450.45045045</v>
      </c>
      <c r="N53">
        <v>10941441.441441443</v>
      </c>
      <c r="O53">
        <v>31525540.540540539</v>
      </c>
      <c r="P53">
        <v>32379666.666666664</v>
      </c>
      <c r="Q53">
        <v>22511981.981981982</v>
      </c>
      <c r="R53">
        <v>13753243.243243244</v>
      </c>
      <c r="S53">
        <v>4427</v>
      </c>
      <c r="T53">
        <v>4432</v>
      </c>
    </row>
    <row r="54" spans="1:20" x14ac:dyDescent="0.35">
      <c r="A54" s="7" t="s">
        <v>124</v>
      </c>
      <c r="B54" s="12" t="s">
        <v>125</v>
      </c>
      <c r="C54">
        <v>106231386.51547481</v>
      </c>
      <c r="D54">
        <v>96116781.006383434</v>
      </c>
      <c r="E54">
        <v>188828.82882882899</v>
      </c>
      <c r="F54">
        <v>1242792.7927927959</v>
      </c>
      <c r="G54">
        <v>13</v>
      </c>
      <c r="H54">
        <v>19</v>
      </c>
      <c r="K54">
        <v>14</v>
      </c>
      <c r="L54">
        <v>22</v>
      </c>
      <c r="M54">
        <v>41077657.657657661</v>
      </c>
      <c r="N54">
        <v>19651351.351351351</v>
      </c>
      <c r="O54">
        <v>30213828.82882883</v>
      </c>
      <c r="P54">
        <v>29918926.126126129</v>
      </c>
      <c r="Q54">
        <v>40438648.648648649</v>
      </c>
      <c r="R54">
        <v>22295268.468468469</v>
      </c>
      <c r="S54">
        <v>6585</v>
      </c>
      <c r="T54">
        <v>6214</v>
      </c>
    </row>
    <row r="55" spans="1:20" x14ac:dyDescent="0.35">
      <c r="A55" s="7" t="s">
        <v>126</v>
      </c>
      <c r="B55" s="12" t="s">
        <v>78</v>
      </c>
      <c r="C55">
        <v>69269276.799824998</v>
      </c>
      <c r="D55">
        <v>63383779.85454303</v>
      </c>
      <c r="E55">
        <v>570000.00000000198</v>
      </c>
      <c r="F55">
        <v>1044144.144144144</v>
      </c>
      <c r="G55">
        <v>8</v>
      </c>
      <c r="H55">
        <v>19</v>
      </c>
      <c r="K55">
        <v>11</v>
      </c>
      <c r="L55">
        <v>22</v>
      </c>
      <c r="M55">
        <v>12515945.945945945</v>
      </c>
      <c r="N55">
        <v>10107207.207207207</v>
      </c>
      <c r="O55">
        <v>25018432.432432432</v>
      </c>
      <c r="P55">
        <v>25146441.441441439</v>
      </c>
      <c r="Q55">
        <v>11668738.738738738</v>
      </c>
      <c r="R55">
        <v>9308198.1981981955</v>
      </c>
      <c r="S55">
        <v>4978</v>
      </c>
      <c r="T55">
        <v>4973</v>
      </c>
    </row>
    <row r="56" spans="1:20" x14ac:dyDescent="0.35">
      <c r="A56" s="7" t="s">
        <v>127</v>
      </c>
      <c r="B56" s="12" t="s">
        <v>78</v>
      </c>
      <c r="C56">
        <v>12694418.280855216</v>
      </c>
      <c r="D56">
        <v>10405325.025391512</v>
      </c>
      <c r="E56">
        <v>8558.5585585589997</v>
      </c>
      <c r="F56">
        <v>192792.79279279499</v>
      </c>
      <c r="G56">
        <v>3</v>
      </c>
      <c r="H56">
        <v>1</v>
      </c>
      <c r="I56">
        <v>1</v>
      </c>
      <c r="K56">
        <v>3</v>
      </c>
      <c r="L56">
        <v>2</v>
      </c>
      <c r="M56">
        <v>1900450.450450449</v>
      </c>
      <c r="N56">
        <v>4454054.0540540526</v>
      </c>
      <c r="O56">
        <v>6496531.5315315323</v>
      </c>
      <c r="P56">
        <v>5547927.9279279271</v>
      </c>
      <c r="Q56">
        <v>1881981.9819819811</v>
      </c>
      <c r="R56">
        <v>5192702.7027027011</v>
      </c>
      <c r="S56">
        <v>1259</v>
      </c>
      <c r="T56">
        <v>1132</v>
      </c>
    </row>
    <row r="57" spans="1:20" x14ac:dyDescent="0.35">
      <c r="A57" s="7" t="s">
        <v>128</v>
      </c>
      <c r="B57" s="12" t="s">
        <v>78</v>
      </c>
      <c r="C57">
        <v>66778239.121781044</v>
      </c>
      <c r="D57">
        <v>62982512.890658073</v>
      </c>
      <c r="E57">
        <v>641441.44144144095</v>
      </c>
      <c r="F57">
        <v>500900.90090090397</v>
      </c>
      <c r="G57">
        <v>20</v>
      </c>
      <c r="H57">
        <v>26</v>
      </c>
      <c r="I57">
        <v>1</v>
      </c>
      <c r="K57">
        <v>26</v>
      </c>
      <c r="L57">
        <v>52</v>
      </c>
      <c r="M57">
        <v>7848648.6486486467</v>
      </c>
      <c r="N57">
        <v>6536936.9369369373</v>
      </c>
      <c r="O57">
        <v>24236180.180180181</v>
      </c>
      <c r="P57">
        <v>25334810.810810808</v>
      </c>
      <c r="Q57">
        <v>6104234.2342342343</v>
      </c>
      <c r="R57">
        <v>6889549.5495495507</v>
      </c>
      <c r="S57">
        <v>5831</v>
      </c>
      <c r="T57">
        <v>5804</v>
      </c>
    </row>
    <row r="58" spans="1:20" x14ac:dyDescent="0.35">
      <c r="A58" s="7" t="s">
        <v>129</v>
      </c>
      <c r="B58" s="12" t="s">
        <v>85</v>
      </c>
      <c r="C58">
        <v>20875062.628411554</v>
      </c>
      <c r="D58">
        <v>20767867.420785647</v>
      </c>
      <c r="E58">
        <v>7207.2072072069996</v>
      </c>
      <c r="F58">
        <v>69369.369369370004</v>
      </c>
      <c r="G58">
        <v>4</v>
      </c>
      <c r="H58">
        <v>4</v>
      </c>
      <c r="K58">
        <v>4</v>
      </c>
      <c r="L58">
        <v>5</v>
      </c>
      <c r="M58">
        <v>11079279.27927928</v>
      </c>
      <c r="N58">
        <v>15236036.036036037</v>
      </c>
      <c r="O58">
        <v>8830945.9459459465</v>
      </c>
      <c r="P58">
        <v>9927252.2522522528</v>
      </c>
      <c r="Q58">
        <v>4720540.5405405406</v>
      </c>
      <c r="R58">
        <v>12642702.702702705</v>
      </c>
      <c r="S58">
        <v>1269</v>
      </c>
      <c r="T58">
        <v>1229</v>
      </c>
    </row>
    <row r="59" spans="1:20" x14ac:dyDescent="0.35">
      <c r="A59" s="7" t="s">
        <v>130</v>
      </c>
      <c r="B59" s="12" t="s">
        <v>89</v>
      </c>
      <c r="C59">
        <v>184761235.47289163</v>
      </c>
      <c r="D59">
        <v>173134616.78256828</v>
      </c>
      <c r="E59">
        <v>540540.54054054199</v>
      </c>
      <c r="F59">
        <v>735585.58558558999</v>
      </c>
      <c r="G59">
        <v>19</v>
      </c>
      <c r="H59">
        <v>25</v>
      </c>
      <c r="K59">
        <v>24</v>
      </c>
      <c r="L59">
        <v>32</v>
      </c>
      <c r="M59">
        <v>8955855.8558558524</v>
      </c>
      <c r="N59">
        <v>13443873.873873873</v>
      </c>
      <c r="O59">
        <v>51899270.270270273</v>
      </c>
      <c r="P59">
        <v>53387738.738738738</v>
      </c>
      <c r="Q59">
        <v>8623333.3333333321</v>
      </c>
      <c r="R59">
        <v>12474144.144144144</v>
      </c>
      <c r="S59">
        <v>10743</v>
      </c>
      <c r="T59">
        <v>10361</v>
      </c>
    </row>
    <row r="60" spans="1:20" x14ac:dyDescent="0.35">
      <c r="A60" s="7" t="s">
        <v>131</v>
      </c>
      <c r="B60" s="12" t="s">
        <v>132</v>
      </c>
      <c r="C60">
        <v>94523375.309311718</v>
      </c>
      <c r="D60">
        <v>81978746.199398339</v>
      </c>
      <c r="E60">
        <v>30630.630630632</v>
      </c>
      <c r="F60">
        <v>432432.43243243301</v>
      </c>
      <c r="G60">
        <v>31</v>
      </c>
      <c r="H60">
        <v>40</v>
      </c>
      <c r="K60">
        <v>33</v>
      </c>
      <c r="L60">
        <v>48</v>
      </c>
      <c r="M60">
        <v>7449549.5495495498</v>
      </c>
      <c r="N60">
        <v>5684684.6846846836</v>
      </c>
      <c r="O60">
        <v>29508594.594594598</v>
      </c>
      <c r="P60">
        <v>26909454.954954952</v>
      </c>
      <c r="Q60">
        <v>5993783.7837837869</v>
      </c>
      <c r="R60">
        <v>8571351.3513513505</v>
      </c>
      <c r="S60">
        <v>6207</v>
      </c>
      <c r="T60">
        <v>7100</v>
      </c>
    </row>
    <row r="61" spans="1:20" x14ac:dyDescent="0.35">
      <c r="A61" s="7" t="s">
        <v>133</v>
      </c>
      <c r="B61" s="12" t="s">
        <v>134</v>
      </c>
      <c r="C61">
        <v>15705056.184378199</v>
      </c>
      <c r="D61">
        <v>5942540.012873427</v>
      </c>
      <c r="O61">
        <v>1954729.7297297299</v>
      </c>
      <c r="P61">
        <v>1150279.2792792791</v>
      </c>
      <c r="S61">
        <v>2228</v>
      </c>
      <c r="T61">
        <v>2134</v>
      </c>
    </row>
    <row r="62" spans="1:20" x14ac:dyDescent="0.35">
      <c r="A62" s="7" t="s">
        <v>135</v>
      </c>
      <c r="B62" s="12" t="s">
        <v>136</v>
      </c>
      <c r="C62">
        <v>80807562.750632256</v>
      </c>
      <c r="D62">
        <v>77699861.053514138</v>
      </c>
      <c r="E62">
        <v>2702.7027027029999</v>
      </c>
      <c r="F62">
        <v>261261.261261262</v>
      </c>
      <c r="G62">
        <v>11</v>
      </c>
      <c r="H62">
        <v>25</v>
      </c>
      <c r="K62">
        <v>15</v>
      </c>
      <c r="L62">
        <v>30</v>
      </c>
      <c r="M62">
        <v>3876576.5765765761</v>
      </c>
      <c r="N62">
        <v>5891891.8918918902</v>
      </c>
      <c r="O62">
        <v>13094144.144144144</v>
      </c>
      <c r="P62">
        <v>13710099.099099098</v>
      </c>
      <c r="Q62">
        <v>6373423.4234234234</v>
      </c>
      <c r="R62">
        <v>5822972.9729729732</v>
      </c>
      <c r="S62">
        <v>3538</v>
      </c>
      <c r="T62">
        <v>3387</v>
      </c>
    </row>
    <row r="63" spans="1:20" x14ac:dyDescent="0.35">
      <c r="A63" s="7" t="s">
        <v>137</v>
      </c>
      <c r="B63" s="12" t="s">
        <v>89</v>
      </c>
      <c r="C63">
        <v>94347822.726542369</v>
      </c>
      <c r="D63">
        <v>81848081.414814398</v>
      </c>
      <c r="E63">
        <v>51801.801801802001</v>
      </c>
      <c r="F63">
        <v>402477.47747747903</v>
      </c>
      <c r="G63">
        <v>8</v>
      </c>
      <c r="H63">
        <v>18</v>
      </c>
      <c r="I63">
        <v>1</v>
      </c>
      <c r="K63">
        <v>9</v>
      </c>
      <c r="L63">
        <v>23</v>
      </c>
      <c r="M63">
        <v>9950540.5405405387</v>
      </c>
      <c r="N63">
        <v>10818738.738738742</v>
      </c>
      <c r="O63">
        <v>29646486.486486487</v>
      </c>
      <c r="P63">
        <v>27574936.936936937</v>
      </c>
      <c r="Q63">
        <v>8336846.8468468441</v>
      </c>
      <c r="R63">
        <v>9425225.2252252288</v>
      </c>
      <c r="S63">
        <v>4943</v>
      </c>
      <c r="T63">
        <v>4690</v>
      </c>
    </row>
    <row r="64" spans="1:20" x14ac:dyDescent="0.35">
      <c r="A64" s="7" t="s">
        <v>138</v>
      </c>
      <c r="B64" s="12" t="s">
        <v>78</v>
      </c>
      <c r="C64">
        <v>63544081.295530342</v>
      </c>
      <c r="D64">
        <v>62693464.567763157</v>
      </c>
      <c r="E64">
        <v>497027.02702702797</v>
      </c>
      <c r="F64">
        <v>1800900.900900902</v>
      </c>
      <c r="G64">
        <v>20</v>
      </c>
      <c r="H64">
        <v>19</v>
      </c>
      <c r="I64">
        <v>1</v>
      </c>
      <c r="K64">
        <v>23</v>
      </c>
      <c r="L64">
        <v>30</v>
      </c>
      <c r="M64">
        <v>7830360.3603603588</v>
      </c>
      <c r="N64">
        <v>8332432.4324324327</v>
      </c>
      <c r="O64">
        <v>24965585.585585587</v>
      </c>
      <c r="P64">
        <v>25850243.243243244</v>
      </c>
      <c r="Q64">
        <v>7917747.7477477472</v>
      </c>
      <c r="R64">
        <v>6729099.0990990987</v>
      </c>
      <c r="S64">
        <v>5344</v>
      </c>
      <c r="T64">
        <v>5129</v>
      </c>
    </row>
    <row r="65" spans="1:20" x14ac:dyDescent="0.35">
      <c r="A65" s="7" t="s">
        <v>139</v>
      </c>
      <c r="B65" s="12" t="s">
        <v>140</v>
      </c>
      <c r="C65">
        <v>84771572.963547587</v>
      </c>
      <c r="D65">
        <v>92917421.729527697</v>
      </c>
      <c r="E65">
        <v>9288288.2882882878</v>
      </c>
      <c r="F65">
        <v>639639.63963963999</v>
      </c>
      <c r="G65">
        <v>7</v>
      </c>
      <c r="H65">
        <v>5</v>
      </c>
      <c r="K65">
        <v>10</v>
      </c>
      <c r="L65">
        <v>5</v>
      </c>
      <c r="M65">
        <v>5888738.7387387389</v>
      </c>
      <c r="N65">
        <v>9431081.0810810793</v>
      </c>
      <c r="O65">
        <v>13524954.954954956</v>
      </c>
      <c r="P65">
        <v>16799198.198198199</v>
      </c>
      <c r="Q65">
        <v>5080540.5405405425</v>
      </c>
      <c r="R65">
        <v>7091351.3513513505</v>
      </c>
      <c r="S65">
        <v>4298</v>
      </c>
      <c r="T65">
        <v>4994</v>
      </c>
    </row>
    <row r="66" spans="1:20" x14ac:dyDescent="0.35">
      <c r="A66" s="7" t="s">
        <v>141</v>
      </c>
      <c r="B66" s="12" t="s">
        <v>62</v>
      </c>
      <c r="C66">
        <v>58432095.426275693</v>
      </c>
      <c r="D66">
        <v>58295962.523260094</v>
      </c>
      <c r="E66">
        <v>1054054.0540540549</v>
      </c>
      <c r="F66">
        <v>234234.23423423499</v>
      </c>
      <c r="G66">
        <v>20</v>
      </c>
      <c r="H66">
        <v>13</v>
      </c>
      <c r="K66">
        <v>25</v>
      </c>
      <c r="L66">
        <v>14</v>
      </c>
      <c r="M66">
        <v>24531081.081081081</v>
      </c>
      <c r="N66">
        <v>33785765.765765771</v>
      </c>
      <c r="O66">
        <v>12523153.153153151</v>
      </c>
      <c r="P66">
        <v>12582261.26126126</v>
      </c>
      <c r="Q66">
        <v>22934504.504504506</v>
      </c>
      <c r="R66">
        <v>34123423.423423424</v>
      </c>
      <c r="S66">
        <v>3952</v>
      </c>
      <c r="T66">
        <v>3823</v>
      </c>
    </row>
    <row r="67" spans="1:20" x14ac:dyDescent="0.35">
      <c r="A67" s="7" t="s">
        <v>142</v>
      </c>
      <c r="B67" s="12" t="s">
        <v>143</v>
      </c>
      <c r="C67">
        <v>752524.30335723795</v>
      </c>
      <c r="D67">
        <v>571508.62286733405</v>
      </c>
      <c r="E67">
        <v>49389492.79279279</v>
      </c>
      <c r="F67">
        <v>67649528.828828827</v>
      </c>
      <c r="H67">
        <v>1</v>
      </c>
      <c r="L67">
        <v>1</v>
      </c>
      <c r="M67">
        <v>4652702.702702703</v>
      </c>
      <c r="N67">
        <v>7207207.2072072066</v>
      </c>
      <c r="O67">
        <v>6081.0810810809999</v>
      </c>
      <c r="P67">
        <v>70270.270270270004</v>
      </c>
      <c r="S67">
        <v>148</v>
      </c>
      <c r="T67">
        <v>160</v>
      </c>
    </row>
    <row r="68" spans="1:20" x14ac:dyDescent="0.35">
      <c r="A68" s="7" t="s">
        <v>144</v>
      </c>
      <c r="B68" s="12" t="s">
        <v>140</v>
      </c>
      <c r="C68">
        <v>125109751.08394271</v>
      </c>
      <c r="D68">
        <v>128836744.12233029</v>
      </c>
      <c r="E68">
        <v>72792.792792794004</v>
      </c>
      <c r="F68">
        <v>712162.16216216504</v>
      </c>
      <c r="G68">
        <v>25</v>
      </c>
      <c r="H68">
        <v>27</v>
      </c>
      <c r="K68">
        <v>31</v>
      </c>
      <c r="L68">
        <v>36</v>
      </c>
      <c r="M68">
        <v>11532702.702702701</v>
      </c>
      <c r="N68">
        <v>13446306.306306304</v>
      </c>
      <c r="O68">
        <v>20327567.567567568</v>
      </c>
      <c r="P68">
        <v>22547828.82882883</v>
      </c>
      <c r="Q68">
        <v>9758018.0180180166</v>
      </c>
      <c r="R68">
        <v>11573873.873873873</v>
      </c>
      <c r="S68">
        <v>7584</v>
      </c>
      <c r="T68">
        <v>7634</v>
      </c>
    </row>
    <row r="69" spans="1:20" x14ac:dyDescent="0.35">
      <c r="A69" s="7" t="s">
        <v>145</v>
      </c>
      <c r="B69" s="12" t="s">
        <v>78</v>
      </c>
      <c r="C69">
        <v>87246030.832014665</v>
      </c>
      <c r="D69">
        <v>86361527.849112004</v>
      </c>
      <c r="E69">
        <v>651171.17117117101</v>
      </c>
      <c r="F69">
        <v>1325225.2252252279</v>
      </c>
      <c r="G69">
        <v>11</v>
      </c>
      <c r="H69">
        <v>30</v>
      </c>
      <c r="K69">
        <v>18</v>
      </c>
      <c r="L69">
        <v>36</v>
      </c>
      <c r="M69">
        <v>11835855.855855854</v>
      </c>
      <c r="N69">
        <v>6919819.8198198201</v>
      </c>
      <c r="O69">
        <v>22447198.198198199</v>
      </c>
      <c r="P69">
        <v>24372855.855855856</v>
      </c>
      <c r="Q69">
        <v>12110360.36036036</v>
      </c>
      <c r="R69">
        <v>9001441.441441441</v>
      </c>
      <c r="S69">
        <v>6424</v>
      </c>
      <c r="T69">
        <v>6333</v>
      </c>
    </row>
    <row r="70" spans="1:20" x14ac:dyDescent="0.35">
      <c r="A70" s="7" t="s">
        <v>146</v>
      </c>
      <c r="B70" s="12" t="s">
        <v>147</v>
      </c>
      <c r="C70">
        <v>60493095.340856992</v>
      </c>
      <c r="D70">
        <v>55068285.825301401</v>
      </c>
      <c r="E70">
        <v>62558008.108108111</v>
      </c>
      <c r="F70">
        <v>117936420.72072072</v>
      </c>
      <c r="G70">
        <v>10</v>
      </c>
      <c r="H70">
        <v>13</v>
      </c>
      <c r="K70">
        <v>11</v>
      </c>
      <c r="L70">
        <v>16</v>
      </c>
      <c r="M70">
        <v>8554234.2342342343</v>
      </c>
      <c r="N70">
        <v>12925225.225225223</v>
      </c>
      <c r="O70">
        <v>16295981.981981982</v>
      </c>
      <c r="P70">
        <v>17836207.207207207</v>
      </c>
      <c r="Q70">
        <v>5387477.4774774779</v>
      </c>
      <c r="R70">
        <v>10241891.891891891</v>
      </c>
      <c r="S70">
        <v>3712</v>
      </c>
      <c r="T70">
        <v>3658</v>
      </c>
    </row>
    <row r="71" spans="1:20" x14ac:dyDescent="0.35">
      <c r="A71" s="7" t="s">
        <v>148</v>
      </c>
      <c r="B71" s="12" t="s">
        <v>94</v>
      </c>
      <c r="D71">
        <v>17.531949365999999</v>
      </c>
    </row>
    <row r="72" spans="1:20" x14ac:dyDescent="0.35">
      <c r="A72" s="7" t="s">
        <v>149</v>
      </c>
      <c r="B72" s="12" t="s">
        <v>50</v>
      </c>
      <c r="C72">
        <v>51210595.879847333</v>
      </c>
      <c r="D72">
        <v>51104196.125515893</v>
      </c>
      <c r="E72">
        <v>31531.531531532</v>
      </c>
      <c r="F72">
        <v>18018.018018018</v>
      </c>
      <c r="G72">
        <v>4</v>
      </c>
      <c r="H72">
        <v>9</v>
      </c>
      <c r="K72">
        <v>5</v>
      </c>
      <c r="L72">
        <v>10</v>
      </c>
      <c r="M72">
        <v>6375225.2252252279</v>
      </c>
      <c r="N72">
        <v>2931081.0810810812</v>
      </c>
      <c r="O72">
        <v>20916531.531531531</v>
      </c>
      <c r="P72">
        <v>22094216.216216218</v>
      </c>
      <c r="Q72">
        <v>6625585.5855855858</v>
      </c>
      <c r="R72">
        <v>2710810.8108108109</v>
      </c>
      <c r="S72">
        <v>3523</v>
      </c>
      <c r="T72">
        <v>3503</v>
      </c>
    </row>
    <row r="73" spans="1:20" x14ac:dyDescent="0.35">
      <c r="A73" s="7" t="s">
        <v>150</v>
      </c>
      <c r="B73" s="12" t="s">
        <v>151</v>
      </c>
      <c r="C73">
        <v>16395461.857180124</v>
      </c>
      <c r="D73">
        <v>16301716.386323404</v>
      </c>
      <c r="E73">
        <v>57557581.081081077</v>
      </c>
      <c r="F73">
        <v>128809812.61261261</v>
      </c>
      <c r="G73">
        <v>2</v>
      </c>
      <c r="H73">
        <v>3</v>
      </c>
      <c r="K73">
        <v>4</v>
      </c>
      <c r="L73">
        <v>4</v>
      </c>
      <c r="M73">
        <v>38184909.909909904</v>
      </c>
      <c r="N73">
        <v>25409909.909909911</v>
      </c>
      <c r="O73">
        <v>3525450.4504504502</v>
      </c>
      <c r="P73">
        <v>4400126.1261261264</v>
      </c>
      <c r="Q73">
        <v>5580900.9009009013</v>
      </c>
      <c r="R73">
        <v>4238828.8288288293</v>
      </c>
      <c r="S73">
        <v>708</v>
      </c>
      <c r="T73">
        <v>681</v>
      </c>
    </row>
    <row r="74" spans="1:20" x14ac:dyDescent="0.35">
      <c r="A74" s="7" t="s">
        <v>152</v>
      </c>
      <c r="B74" s="12" t="s">
        <v>151</v>
      </c>
      <c r="C74">
        <v>152115643.45549527</v>
      </c>
      <c r="D74">
        <v>146449874.263607</v>
      </c>
      <c r="E74">
        <v>305405.40540540603</v>
      </c>
      <c r="F74">
        <v>5822747.7477477519</v>
      </c>
      <c r="G74">
        <v>33</v>
      </c>
      <c r="H74">
        <v>100</v>
      </c>
      <c r="K74">
        <v>39</v>
      </c>
      <c r="L74">
        <v>117</v>
      </c>
      <c r="M74">
        <v>121990090.09009008</v>
      </c>
      <c r="N74">
        <v>89866666.666666657</v>
      </c>
      <c r="O74">
        <v>49213502.702702701</v>
      </c>
      <c r="P74">
        <v>49868441.441441439</v>
      </c>
      <c r="Q74">
        <v>108477924.32432432</v>
      </c>
      <c r="R74">
        <v>74274547.747747749</v>
      </c>
      <c r="S74">
        <v>8079</v>
      </c>
      <c r="T74">
        <v>7920</v>
      </c>
    </row>
    <row r="75" spans="1:20" x14ac:dyDescent="0.35">
      <c r="A75" s="7" t="s">
        <v>153</v>
      </c>
      <c r="B75" s="12" t="s">
        <v>154</v>
      </c>
      <c r="C75">
        <v>134269798.47234392</v>
      </c>
      <c r="D75">
        <v>131948112.75865999</v>
      </c>
      <c r="E75">
        <v>82563681.081081092</v>
      </c>
      <c r="F75">
        <v>23215932.432432435</v>
      </c>
      <c r="G75">
        <v>3</v>
      </c>
      <c r="H75">
        <v>14</v>
      </c>
      <c r="K75">
        <v>4</v>
      </c>
      <c r="L75">
        <v>17</v>
      </c>
      <c r="M75">
        <v>24353513.513513513</v>
      </c>
      <c r="N75">
        <v>21730180.180180185</v>
      </c>
      <c r="O75">
        <v>57077342.342342347</v>
      </c>
      <c r="P75">
        <v>52715891.891891897</v>
      </c>
      <c r="Q75">
        <v>18355765.765765768</v>
      </c>
      <c r="R75">
        <v>17420090.090090092</v>
      </c>
      <c r="S75">
        <v>7138</v>
      </c>
      <c r="T75">
        <v>7339</v>
      </c>
    </row>
    <row r="76" spans="1:20" x14ac:dyDescent="0.35">
      <c r="A76" s="7" t="s">
        <v>155</v>
      </c>
      <c r="B76" s="12" t="s">
        <v>154</v>
      </c>
      <c r="C76">
        <v>16757918.294556323</v>
      </c>
      <c r="D76">
        <v>11109639.590061853</v>
      </c>
      <c r="E76">
        <v>6779279.2792792805</v>
      </c>
      <c r="F76">
        <v>69549549.54954955</v>
      </c>
      <c r="G76">
        <v>4</v>
      </c>
      <c r="H76">
        <v>2</v>
      </c>
      <c r="K76">
        <v>5</v>
      </c>
      <c r="L76">
        <v>2</v>
      </c>
      <c r="M76">
        <v>489414.41441441502</v>
      </c>
      <c r="N76">
        <v>3337837.8378378372</v>
      </c>
      <c r="O76">
        <v>4708243.2432432426</v>
      </c>
      <c r="P76">
        <v>2847261.2612612611</v>
      </c>
      <c r="Q76">
        <v>212162.16216216201</v>
      </c>
      <c r="R76">
        <v>2129729.7297297288</v>
      </c>
      <c r="S76">
        <v>1972</v>
      </c>
      <c r="T76">
        <v>1492</v>
      </c>
    </row>
    <row r="77" spans="1:20" x14ac:dyDescent="0.35">
      <c r="A77" s="7" t="s">
        <v>156</v>
      </c>
      <c r="B77" s="12" t="s">
        <v>154</v>
      </c>
      <c r="C77">
        <v>171153943.67789933</v>
      </c>
      <c r="D77">
        <v>140793157.85852948</v>
      </c>
      <c r="E77">
        <v>1861261.261261262</v>
      </c>
      <c r="F77">
        <v>782207.20720721001</v>
      </c>
      <c r="G77">
        <v>13</v>
      </c>
      <c r="H77">
        <v>5</v>
      </c>
      <c r="K77">
        <v>99</v>
      </c>
      <c r="L77">
        <v>5</v>
      </c>
      <c r="M77">
        <v>34428828.828828827</v>
      </c>
      <c r="N77">
        <v>29372072.072072074</v>
      </c>
      <c r="O77">
        <v>63450540.540540546</v>
      </c>
      <c r="P77">
        <v>54079135.135135137</v>
      </c>
      <c r="Q77">
        <v>31508288.288288292</v>
      </c>
      <c r="R77">
        <v>27278378.37837838</v>
      </c>
      <c r="S77">
        <v>8053</v>
      </c>
      <c r="T77">
        <v>7942</v>
      </c>
    </row>
    <row r="78" spans="1:20" x14ac:dyDescent="0.35">
      <c r="A78" s="7" t="s">
        <v>157</v>
      </c>
      <c r="B78" s="12" t="s">
        <v>134</v>
      </c>
      <c r="C78">
        <v>67545747.762522474</v>
      </c>
      <c r="D78">
        <v>65965723.225894071</v>
      </c>
      <c r="E78">
        <v>292792.79279279301</v>
      </c>
      <c r="F78">
        <v>94594.594594595997</v>
      </c>
      <c r="G78">
        <v>11</v>
      </c>
      <c r="H78">
        <v>10</v>
      </c>
      <c r="K78">
        <v>14</v>
      </c>
      <c r="L78">
        <v>12</v>
      </c>
      <c r="M78">
        <v>7513513.5135135138</v>
      </c>
      <c r="N78">
        <v>7121621.6216216218</v>
      </c>
      <c r="O78">
        <v>6155225.2252252251</v>
      </c>
      <c r="P78">
        <v>6992027.0270270277</v>
      </c>
      <c r="Q78">
        <v>2386576.5765765761</v>
      </c>
      <c r="R78">
        <v>1844414.4144144149</v>
      </c>
      <c r="S78">
        <v>4418</v>
      </c>
      <c r="T78">
        <v>4440</v>
      </c>
    </row>
    <row r="79" spans="1:20" x14ac:dyDescent="0.35">
      <c r="A79" s="7" t="s">
        <v>1</v>
      </c>
      <c r="B79" s="12" t="s">
        <v>158</v>
      </c>
      <c r="C79">
        <v>126273117.95127143</v>
      </c>
      <c r="D79">
        <v>116270126.95450397</v>
      </c>
      <c r="E79">
        <v>237387.387387389</v>
      </c>
      <c r="F79">
        <v>956756.75675675995</v>
      </c>
      <c r="G79">
        <v>18</v>
      </c>
      <c r="H79">
        <v>7</v>
      </c>
      <c r="I79">
        <v>1</v>
      </c>
      <c r="K79">
        <v>54</v>
      </c>
      <c r="L79">
        <v>128</v>
      </c>
      <c r="M79">
        <v>11911441.441441439</v>
      </c>
      <c r="N79">
        <v>20181891.891891893</v>
      </c>
      <c r="O79">
        <v>57329009.009009011</v>
      </c>
      <c r="P79">
        <v>55976720.720720723</v>
      </c>
      <c r="Q79">
        <v>12114954.954954952</v>
      </c>
      <c r="R79">
        <v>15264144.144144148</v>
      </c>
      <c r="S79">
        <v>8358</v>
      </c>
      <c r="T79">
        <v>8714</v>
      </c>
    </row>
    <row r="80" spans="1:20" x14ac:dyDescent="0.35">
      <c r="A80" s="7" t="s">
        <v>159</v>
      </c>
      <c r="B80" s="12" t="s">
        <v>121</v>
      </c>
      <c r="C80">
        <v>5319794.5882153548</v>
      </c>
      <c r="D80">
        <v>4659614.1624480607</v>
      </c>
      <c r="G80">
        <v>1</v>
      </c>
      <c r="H80">
        <v>2</v>
      </c>
      <c r="K80">
        <v>1</v>
      </c>
      <c r="L80">
        <v>3</v>
      </c>
      <c r="M80">
        <v>900900.90090090095</v>
      </c>
      <c r="O80">
        <v>588828.82882882899</v>
      </c>
      <c r="P80">
        <v>519009.00900900899</v>
      </c>
      <c r="Q80">
        <v>133603.60360360399</v>
      </c>
      <c r="S80">
        <v>574</v>
      </c>
      <c r="T80">
        <v>531</v>
      </c>
    </row>
    <row r="81" spans="1:20" x14ac:dyDescent="0.35">
      <c r="A81" s="7" t="s">
        <v>160</v>
      </c>
      <c r="B81" s="12" t="s">
        <v>161</v>
      </c>
      <c r="C81">
        <v>60603547.336876869</v>
      </c>
      <c r="D81">
        <v>63686278.840979598</v>
      </c>
      <c r="E81">
        <v>265585.58558558801</v>
      </c>
      <c r="F81">
        <v>801801.80180180399</v>
      </c>
      <c r="G81">
        <v>16</v>
      </c>
      <c r="H81">
        <v>15</v>
      </c>
      <c r="K81">
        <v>22</v>
      </c>
      <c r="L81">
        <v>121</v>
      </c>
      <c r="M81">
        <v>14785585.585585589</v>
      </c>
      <c r="N81">
        <v>10614774.774774788</v>
      </c>
      <c r="O81">
        <v>25401657.657657657</v>
      </c>
      <c r="P81">
        <v>26390720.72072072</v>
      </c>
      <c r="Q81">
        <v>22337567.567567568</v>
      </c>
      <c r="R81">
        <v>9247207.2072072159</v>
      </c>
      <c r="S81">
        <v>6005</v>
      </c>
      <c r="T81">
        <v>6117</v>
      </c>
    </row>
    <row r="82" spans="1:20" x14ac:dyDescent="0.35">
      <c r="A82" s="7" t="s">
        <v>162</v>
      </c>
      <c r="B82" s="12" t="s">
        <v>76</v>
      </c>
      <c r="C82">
        <v>28076207.555907961</v>
      </c>
      <c r="D82">
        <v>29298290.663307428</v>
      </c>
      <c r="E82">
        <v>21804504.504504506</v>
      </c>
      <c r="F82">
        <v>180180.18018018</v>
      </c>
      <c r="G82">
        <v>7</v>
      </c>
      <c r="H82">
        <v>7</v>
      </c>
      <c r="K82">
        <v>8</v>
      </c>
      <c r="L82">
        <v>9</v>
      </c>
      <c r="M82">
        <v>453153.15315315302</v>
      </c>
      <c r="N82">
        <v>495495.49549549498</v>
      </c>
      <c r="O82">
        <v>1624234.234234235</v>
      </c>
      <c r="P82">
        <v>1427207.2072072071</v>
      </c>
      <c r="Q82">
        <v>375315.31531531498</v>
      </c>
      <c r="R82">
        <v>366846.84684684698</v>
      </c>
      <c r="S82">
        <v>987</v>
      </c>
      <c r="T82">
        <v>1551</v>
      </c>
    </row>
    <row r="83" spans="1:20" x14ac:dyDescent="0.35">
      <c r="A83" s="7" t="s">
        <v>163</v>
      </c>
      <c r="B83" s="12" t="s">
        <v>52</v>
      </c>
      <c r="C83">
        <v>22402978.050138336</v>
      </c>
      <c r="D83">
        <v>21600685.483019039</v>
      </c>
      <c r="E83">
        <v>29327027.02702703</v>
      </c>
      <c r="F83">
        <v>117434234.23423424</v>
      </c>
      <c r="G83">
        <v>3</v>
      </c>
      <c r="H83">
        <v>8</v>
      </c>
      <c r="K83">
        <v>4</v>
      </c>
      <c r="L83">
        <v>8</v>
      </c>
      <c r="M83">
        <v>591441.44144144095</v>
      </c>
      <c r="N83">
        <v>609909.90990991006</v>
      </c>
      <c r="O83">
        <v>10249144.144144144</v>
      </c>
      <c r="P83">
        <v>10385666.666666666</v>
      </c>
      <c r="Q83">
        <v>608918.918918918</v>
      </c>
      <c r="R83">
        <v>402432.43243243301</v>
      </c>
      <c r="S83">
        <v>1405</v>
      </c>
      <c r="T83">
        <v>1211</v>
      </c>
    </row>
    <row r="84" spans="1:20" x14ac:dyDescent="0.35">
      <c r="A84" s="7" t="s">
        <v>164</v>
      </c>
      <c r="B84" s="12" t="s">
        <v>87</v>
      </c>
      <c r="C84">
        <v>19651784.222559743</v>
      </c>
      <c r="D84">
        <v>14413828.331433589</v>
      </c>
      <c r="E84">
        <v>23423.423423422999</v>
      </c>
      <c r="F84">
        <v>27027.027027027001</v>
      </c>
      <c r="G84">
        <v>5</v>
      </c>
      <c r="H84">
        <v>5</v>
      </c>
      <c r="K84">
        <v>7</v>
      </c>
      <c r="L84">
        <v>6</v>
      </c>
      <c r="M84">
        <v>572972.97297297302</v>
      </c>
      <c r="N84">
        <v>237837.837837837</v>
      </c>
      <c r="O84">
        <v>1860675.675675676</v>
      </c>
      <c r="P84">
        <v>1148738.7387387389</v>
      </c>
      <c r="Q84">
        <v>526486.48648648604</v>
      </c>
      <c r="R84">
        <v>235135.13513513401</v>
      </c>
      <c r="S84">
        <v>1185</v>
      </c>
      <c r="T84">
        <v>1086</v>
      </c>
    </row>
    <row r="85" spans="1:20" x14ac:dyDescent="0.35">
      <c r="A85" s="7" t="s">
        <v>165</v>
      </c>
      <c r="B85" s="12" t="s">
        <v>143</v>
      </c>
      <c r="C85">
        <v>4025294.8160022949</v>
      </c>
      <c r="D85">
        <v>4176499.6946403799</v>
      </c>
      <c r="E85">
        <v>1801.801801802</v>
      </c>
      <c r="G85">
        <v>5</v>
      </c>
      <c r="H85">
        <v>2</v>
      </c>
      <c r="K85">
        <v>6</v>
      </c>
      <c r="L85">
        <v>2</v>
      </c>
      <c r="M85">
        <v>1326126.1261261259</v>
      </c>
      <c r="O85">
        <v>484954.95495495503</v>
      </c>
      <c r="P85">
        <v>348063.06306306302</v>
      </c>
      <c r="Q85">
        <v>929729.72972973005</v>
      </c>
      <c r="S85">
        <v>327</v>
      </c>
      <c r="T85">
        <v>335</v>
      </c>
    </row>
    <row r="86" spans="1:20" x14ac:dyDescent="0.35">
      <c r="A86" s="7" t="s">
        <v>166</v>
      </c>
      <c r="B86" s="12" t="s">
        <v>167</v>
      </c>
      <c r="C86">
        <v>13548840.586659145</v>
      </c>
      <c r="D86">
        <v>16969742.968022078</v>
      </c>
      <c r="E86">
        <v>8108.1081081080001</v>
      </c>
      <c r="F86">
        <v>400900.900900901</v>
      </c>
      <c r="G86">
        <v>6</v>
      </c>
      <c r="H86">
        <v>2</v>
      </c>
      <c r="K86">
        <v>9</v>
      </c>
      <c r="L86">
        <v>3</v>
      </c>
      <c r="M86">
        <v>946126.12612612895</v>
      </c>
      <c r="N86">
        <v>1875675.675675675</v>
      </c>
      <c r="O86">
        <v>7883783.7837837841</v>
      </c>
      <c r="P86">
        <v>7760322.5225225221</v>
      </c>
      <c r="Q86">
        <v>1709099.099099102</v>
      </c>
      <c r="R86">
        <v>1645765.765765765</v>
      </c>
      <c r="S86">
        <v>1349</v>
      </c>
      <c r="T86">
        <v>1409</v>
      </c>
    </row>
    <row r="87" spans="1:20" x14ac:dyDescent="0.35">
      <c r="A87" s="7" t="s">
        <v>168</v>
      </c>
      <c r="B87" s="12" t="s">
        <v>169</v>
      </c>
      <c r="C87">
        <v>70058585.30203338</v>
      </c>
      <c r="D87">
        <v>68260977.91863355</v>
      </c>
      <c r="E87">
        <v>321171.17117117101</v>
      </c>
      <c r="F87">
        <v>779279.27927927906</v>
      </c>
      <c r="G87">
        <v>6</v>
      </c>
      <c r="H87">
        <v>11</v>
      </c>
      <c r="I87">
        <v>1</v>
      </c>
      <c r="K87">
        <v>8</v>
      </c>
      <c r="L87">
        <v>23</v>
      </c>
      <c r="M87">
        <v>8888738.738738738</v>
      </c>
      <c r="N87">
        <v>10226126.126126125</v>
      </c>
      <c r="O87">
        <v>18590486.486486487</v>
      </c>
      <c r="P87">
        <v>21595243.243243244</v>
      </c>
      <c r="Q87">
        <v>9883963.9639639631</v>
      </c>
      <c r="R87">
        <v>11941351.351351352</v>
      </c>
      <c r="S87">
        <v>6412</v>
      </c>
      <c r="T87">
        <v>6420</v>
      </c>
    </row>
    <row r="88" spans="1:20" x14ac:dyDescent="0.35">
      <c r="A88" s="7" t="s">
        <v>170</v>
      </c>
      <c r="B88" s="12" t="s">
        <v>54</v>
      </c>
      <c r="C88">
        <v>11144253.060329422</v>
      </c>
      <c r="D88">
        <v>11085926.084651446</v>
      </c>
      <c r="E88">
        <v>3603.603603604</v>
      </c>
      <c r="F88">
        <v>14414.414414415</v>
      </c>
      <c r="K88">
        <v>1</v>
      </c>
      <c r="M88">
        <v>1985585.585585586</v>
      </c>
      <c r="N88">
        <v>464864.86486486503</v>
      </c>
      <c r="O88">
        <v>1536936.936936937</v>
      </c>
      <c r="P88">
        <v>1780045.045045045</v>
      </c>
      <c r="Q88">
        <v>1197747.747747747</v>
      </c>
      <c r="R88">
        <v>1100000</v>
      </c>
      <c r="S88">
        <v>701</v>
      </c>
      <c r="T88">
        <v>666</v>
      </c>
    </row>
    <row r="89" spans="1:20" x14ac:dyDescent="0.35">
      <c r="A89" s="7" t="s">
        <v>171</v>
      </c>
      <c r="B89" s="12" t="s">
        <v>60</v>
      </c>
      <c r="C89">
        <v>240289332.1288397</v>
      </c>
      <c r="D89">
        <v>225736362.0946942</v>
      </c>
      <c r="E89">
        <v>1220720.7207207221</v>
      </c>
      <c r="F89">
        <v>2252252.2522522542</v>
      </c>
      <c r="G89">
        <v>46</v>
      </c>
      <c r="H89">
        <v>43</v>
      </c>
      <c r="K89">
        <v>53</v>
      </c>
      <c r="L89">
        <v>51</v>
      </c>
      <c r="M89">
        <v>10677477.477477476</v>
      </c>
      <c r="N89">
        <v>10158558.558558561</v>
      </c>
      <c r="O89">
        <v>78565247.747747749</v>
      </c>
      <c r="P89">
        <v>83887792.792792797</v>
      </c>
      <c r="Q89">
        <v>9834774.7747747712</v>
      </c>
      <c r="R89">
        <v>11032792.792792792</v>
      </c>
      <c r="S89">
        <v>12073</v>
      </c>
      <c r="T89">
        <v>11901</v>
      </c>
    </row>
    <row r="90" spans="1:20" x14ac:dyDescent="0.35">
      <c r="A90" s="7" t="s">
        <v>172</v>
      </c>
      <c r="B90" s="12" t="s">
        <v>121</v>
      </c>
      <c r="C90">
        <v>99766696.767693028</v>
      </c>
      <c r="D90">
        <v>97907702.543235242</v>
      </c>
      <c r="E90">
        <v>1618849.5495495531</v>
      </c>
      <c r="F90">
        <v>37380836.936936937</v>
      </c>
      <c r="G90">
        <v>45</v>
      </c>
      <c r="H90">
        <v>31</v>
      </c>
      <c r="K90">
        <v>54</v>
      </c>
      <c r="L90">
        <v>37</v>
      </c>
      <c r="M90">
        <v>6203603.6036036052</v>
      </c>
      <c r="N90">
        <v>6066852.2522522518</v>
      </c>
      <c r="O90">
        <v>13467792.792792792</v>
      </c>
      <c r="P90">
        <v>11877720.72072072</v>
      </c>
      <c r="Q90">
        <v>4148378.3783783782</v>
      </c>
      <c r="R90">
        <v>2910450.4504504502</v>
      </c>
      <c r="S90">
        <v>5881</v>
      </c>
      <c r="T90">
        <v>5656</v>
      </c>
    </row>
    <row r="91" spans="1:20" x14ac:dyDescent="0.35">
      <c r="A91" s="7" t="s">
        <v>173</v>
      </c>
      <c r="B91" s="12" t="s">
        <v>174</v>
      </c>
      <c r="C91">
        <v>71519754.518509939</v>
      </c>
      <c r="D91">
        <v>67472265.492514849</v>
      </c>
      <c r="E91">
        <v>21567022.522522524</v>
      </c>
      <c r="F91">
        <v>57228609.909909911</v>
      </c>
      <c r="G91">
        <v>11</v>
      </c>
      <c r="H91">
        <v>8</v>
      </c>
      <c r="K91">
        <v>18</v>
      </c>
      <c r="L91">
        <v>13</v>
      </c>
      <c r="M91">
        <v>8952702.702702703</v>
      </c>
      <c r="N91">
        <v>8919819.8198198173</v>
      </c>
      <c r="O91">
        <v>7621432.4324324317</v>
      </c>
      <c r="P91">
        <v>7068144.1441441448</v>
      </c>
      <c r="Q91">
        <v>5188918.9189189216</v>
      </c>
      <c r="R91">
        <v>5412972.9729729742</v>
      </c>
      <c r="S91">
        <v>4613</v>
      </c>
      <c r="T91">
        <v>4494</v>
      </c>
    </row>
    <row r="92" spans="1:20" x14ac:dyDescent="0.35">
      <c r="A92" s="7" t="s">
        <v>175</v>
      </c>
      <c r="B92" s="12" t="s">
        <v>174</v>
      </c>
      <c r="C92">
        <v>106935602.9095743</v>
      </c>
      <c r="D92">
        <v>106915758.89089717</v>
      </c>
      <c r="E92">
        <v>366666.66666666901</v>
      </c>
      <c r="F92">
        <v>441216.21621621901</v>
      </c>
      <c r="G92">
        <v>35</v>
      </c>
      <c r="H92">
        <v>35</v>
      </c>
      <c r="I92">
        <v>1</v>
      </c>
      <c r="K92">
        <v>44</v>
      </c>
      <c r="L92">
        <v>54</v>
      </c>
      <c r="M92">
        <v>15696396.396396397</v>
      </c>
      <c r="N92">
        <v>10336936.936936935</v>
      </c>
      <c r="O92">
        <v>20343007.207207207</v>
      </c>
      <c r="P92">
        <v>18537837.837837841</v>
      </c>
      <c r="Q92">
        <v>12096800.000000007</v>
      </c>
      <c r="R92">
        <v>6903783.7837837832</v>
      </c>
      <c r="S92">
        <v>8466</v>
      </c>
      <c r="T92">
        <v>8526</v>
      </c>
    </row>
    <row r="93" spans="1:20" x14ac:dyDescent="0.35">
      <c r="A93" s="7" t="s">
        <v>176</v>
      </c>
      <c r="B93" s="12" t="s">
        <v>174</v>
      </c>
      <c r="C93">
        <v>148057962.63288879</v>
      </c>
      <c r="D93">
        <v>143537472.86088645</v>
      </c>
      <c r="E93">
        <v>181081.081081084</v>
      </c>
      <c r="F93">
        <v>487612.61261261703</v>
      </c>
      <c r="G93">
        <v>53</v>
      </c>
      <c r="H93">
        <v>35</v>
      </c>
      <c r="I93">
        <v>1</v>
      </c>
      <c r="K93">
        <v>70</v>
      </c>
      <c r="L93">
        <v>49</v>
      </c>
      <c r="M93">
        <v>17167567.567567568</v>
      </c>
      <c r="N93">
        <v>14207207.207207208</v>
      </c>
      <c r="O93">
        <v>22611094.59459459</v>
      </c>
      <c r="P93">
        <v>21463180.180180181</v>
      </c>
      <c r="Q93">
        <v>11601801.801801806</v>
      </c>
      <c r="R93">
        <v>9813873.8738738764</v>
      </c>
      <c r="S93">
        <v>11779</v>
      </c>
      <c r="T93">
        <v>12070</v>
      </c>
    </row>
    <row r="94" spans="1:20" x14ac:dyDescent="0.35">
      <c r="A94" s="7" t="s">
        <v>177</v>
      </c>
      <c r="B94" s="12" t="s">
        <v>178</v>
      </c>
      <c r="C94">
        <v>48489516.790688142</v>
      </c>
      <c r="D94">
        <v>45137352.007255256</v>
      </c>
      <c r="E94">
        <v>270270.27027027</v>
      </c>
      <c r="G94">
        <v>5</v>
      </c>
      <c r="H94">
        <v>2</v>
      </c>
      <c r="K94">
        <v>5</v>
      </c>
      <c r="L94">
        <v>3</v>
      </c>
      <c r="M94">
        <v>1580900.900900902</v>
      </c>
      <c r="N94">
        <v>7740090.0900900876</v>
      </c>
      <c r="O94">
        <v>15892117.117117116</v>
      </c>
      <c r="P94">
        <v>17410295.495495494</v>
      </c>
      <c r="Q94">
        <v>1252612.612612613</v>
      </c>
      <c r="R94">
        <v>7944594.5945945932</v>
      </c>
      <c r="S94">
        <v>3658</v>
      </c>
      <c r="T94">
        <v>3493</v>
      </c>
    </row>
    <row r="95" spans="1:20" x14ac:dyDescent="0.35">
      <c r="A95" s="7" t="s">
        <v>179</v>
      </c>
      <c r="B95" s="12" t="s">
        <v>167</v>
      </c>
      <c r="C95">
        <v>64043046.041073039</v>
      </c>
      <c r="D95">
        <v>51171641.897833452</v>
      </c>
      <c r="E95">
        <v>316216.21621621703</v>
      </c>
      <c r="F95">
        <v>544819.81981982</v>
      </c>
      <c r="G95">
        <v>29</v>
      </c>
      <c r="H95">
        <v>3</v>
      </c>
      <c r="K95">
        <v>33</v>
      </c>
      <c r="L95">
        <v>20</v>
      </c>
      <c r="M95">
        <v>2831531.5315315309</v>
      </c>
      <c r="N95">
        <v>590090.09009009099</v>
      </c>
      <c r="O95">
        <v>16010639.63963964</v>
      </c>
      <c r="P95">
        <v>14396297.297297299</v>
      </c>
      <c r="Q95">
        <v>2613063.0630630632</v>
      </c>
      <c r="R95">
        <v>472972.97297297302</v>
      </c>
      <c r="S95">
        <v>4757</v>
      </c>
      <c r="T95">
        <v>4438</v>
      </c>
    </row>
    <row r="96" spans="1:20" x14ac:dyDescent="0.35">
      <c r="A96" s="7" t="s">
        <v>180</v>
      </c>
      <c r="B96" s="12" t="s">
        <v>181</v>
      </c>
      <c r="C96">
        <v>46264498.072459102</v>
      </c>
      <c r="D96">
        <v>43616539.577171654</v>
      </c>
      <c r="E96">
        <v>1801.801801802</v>
      </c>
      <c r="F96">
        <v>38738.738738738997</v>
      </c>
      <c r="G96">
        <v>7</v>
      </c>
      <c r="H96">
        <v>11</v>
      </c>
      <c r="K96">
        <v>9</v>
      </c>
      <c r="L96">
        <v>14</v>
      </c>
      <c r="M96">
        <v>3187387.3873873842</v>
      </c>
      <c r="N96">
        <v>3750450.4504504502</v>
      </c>
      <c r="O96">
        <v>10418378.37837838</v>
      </c>
      <c r="P96">
        <v>11298846.846846847</v>
      </c>
      <c r="Q96">
        <v>4191441.4414414391</v>
      </c>
      <c r="R96">
        <v>3596936.9369369359</v>
      </c>
      <c r="S96">
        <v>2992</v>
      </c>
      <c r="T96">
        <v>3018</v>
      </c>
    </row>
    <row r="97" spans="1:20" x14ac:dyDescent="0.35">
      <c r="A97" s="7" t="s">
        <v>182</v>
      </c>
      <c r="B97" s="12" t="s">
        <v>94</v>
      </c>
      <c r="C97">
        <v>37218272.536382921</v>
      </c>
      <c r="D97">
        <v>50773290.250204355</v>
      </c>
      <c r="E97">
        <v>135135.135135135</v>
      </c>
      <c r="G97">
        <v>2</v>
      </c>
      <c r="H97">
        <v>12</v>
      </c>
      <c r="K97">
        <v>4</v>
      </c>
      <c r="L97">
        <v>15</v>
      </c>
      <c r="M97">
        <v>135135.135135135</v>
      </c>
      <c r="N97">
        <v>4423423.4234234234</v>
      </c>
      <c r="O97">
        <v>2905495.4954954949</v>
      </c>
      <c r="P97">
        <v>5053702.702702702</v>
      </c>
      <c r="Q97">
        <v>303873.87387387402</v>
      </c>
      <c r="R97">
        <v>794594.59459459397</v>
      </c>
      <c r="S97">
        <v>3727</v>
      </c>
      <c r="T97">
        <v>3657</v>
      </c>
    </row>
    <row r="98" spans="1:20" x14ac:dyDescent="0.35">
      <c r="A98" s="7" t="s">
        <v>183</v>
      </c>
      <c r="B98" s="12" t="s">
        <v>94</v>
      </c>
      <c r="C98">
        <v>285116962.78322822</v>
      </c>
      <c r="D98">
        <v>270336137.29017043</v>
      </c>
      <c r="E98">
        <v>331584391.8918919</v>
      </c>
      <c r="F98">
        <v>593714067.56756759</v>
      </c>
      <c r="G98">
        <v>47</v>
      </c>
      <c r="H98">
        <v>50</v>
      </c>
      <c r="K98">
        <v>67</v>
      </c>
      <c r="L98">
        <v>77</v>
      </c>
      <c r="M98">
        <v>13419369.369369367</v>
      </c>
      <c r="N98">
        <v>18672522.522522528</v>
      </c>
      <c r="O98">
        <v>34005518.018018015</v>
      </c>
      <c r="P98">
        <v>33532621.621621624</v>
      </c>
      <c r="Q98">
        <v>13941261.261261264</v>
      </c>
      <c r="R98">
        <v>20187117.117117114</v>
      </c>
      <c r="S98">
        <v>16454</v>
      </c>
      <c r="T98">
        <v>16406</v>
      </c>
    </row>
    <row r="99" spans="1:20" x14ac:dyDescent="0.35">
      <c r="A99" s="7" t="s">
        <v>184</v>
      </c>
      <c r="B99" s="12" t="s">
        <v>89</v>
      </c>
      <c r="C99">
        <v>26006813.555075545</v>
      </c>
      <c r="D99">
        <v>24152690.353100337</v>
      </c>
      <c r="E99">
        <v>137387.38738738699</v>
      </c>
      <c r="F99">
        <v>207882.88288288401</v>
      </c>
      <c r="G99">
        <v>3</v>
      </c>
      <c r="H99">
        <v>7</v>
      </c>
      <c r="K99">
        <v>3</v>
      </c>
      <c r="L99">
        <v>7</v>
      </c>
      <c r="M99">
        <v>317567.56756756699</v>
      </c>
      <c r="N99">
        <v>1056756.756756756</v>
      </c>
      <c r="O99">
        <v>7475945.9459459456</v>
      </c>
      <c r="P99">
        <v>8392693.6936936937</v>
      </c>
      <c r="Q99">
        <v>346126.12612612703</v>
      </c>
      <c r="R99">
        <v>947207.20720720699</v>
      </c>
      <c r="S99">
        <v>1480</v>
      </c>
      <c r="T99">
        <v>1305</v>
      </c>
    </row>
    <row r="100" spans="1:20" x14ac:dyDescent="0.35">
      <c r="A100" s="7" t="s">
        <v>185</v>
      </c>
      <c r="B100" s="12" t="s">
        <v>60</v>
      </c>
      <c r="C100">
        <v>16225396.387525726</v>
      </c>
      <c r="D100">
        <v>14636084.536249353</v>
      </c>
      <c r="E100">
        <v>270270.27027027</v>
      </c>
      <c r="F100">
        <v>221621.621621623</v>
      </c>
      <c r="G100">
        <v>2</v>
      </c>
      <c r="H100">
        <v>6</v>
      </c>
      <c r="K100">
        <v>2</v>
      </c>
      <c r="L100">
        <v>6</v>
      </c>
      <c r="M100">
        <v>630630.63063062995</v>
      </c>
      <c r="N100">
        <v>221621.621621623</v>
      </c>
      <c r="O100">
        <v>5236351.3513513505</v>
      </c>
      <c r="P100">
        <v>5057047.297297297</v>
      </c>
      <c r="Q100">
        <v>237387.38738738699</v>
      </c>
      <c r="R100">
        <v>423423.42342342401</v>
      </c>
      <c r="S100">
        <v>856</v>
      </c>
      <c r="T100">
        <v>540</v>
      </c>
    </row>
    <row r="101" spans="1:20" x14ac:dyDescent="0.35">
      <c r="A101" s="7" t="s">
        <v>186</v>
      </c>
      <c r="B101" s="12" t="s">
        <v>167</v>
      </c>
      <c r="C101">
        <v>27614127.994614433</v>
      </c>
      <c r="D101">
        <v>35705868.266888686</v>
      </c>
      <c r="E101">
        <v>1801.801801802</v>
      </c>
      <c r="F101">
        <v>98873.873873874007</v>
      </c>
      <c r="G101">
        <v>3</v>
      </c>
      <c r="H101">
        <v>1</v>
      </c>
      <c r="K101">
        <v>5</v>
      </c>
      <c r="L101">
        <v>2</v>
      </c>
      <c r="M101">
        <v>1801.801801802</v>
      </c>
      <c r="N101">
        <v>99099.0990991</v>
      </c>
      <c r="O101">
        <v>6665855.8558558552</v>
      </c>
      <c r="P101">
        <v>9216855.8558558561</v>
      </c>
      <c r="S101">
        <v>2711</v>
      </c>
      <c r="T101">
        <v>2875</v>
      </c>
    </row>
    <row r="102" spans="1:20" x14ac:dyDescent="0.35">
      <c r="A102" s="7" t="s">
        <v>187</v>
      </c>
      <c r="B102" s="12" t="s">
        <v>167</v>
      </c>
      <c r="C102">
        <v>100499400.74178483</v>
      </c>
      <c r="D102">
        <v>100975726.33563517</v>
      </c>
      <c r="E102">
        <v>9009.0090090100002</v>
      </c>
      <c r="F102">
        <v>13513.513513514001</v>
      </c>
      <c r="G102">
        <v>20</v>
      </c>
      <c r="H102">
        <v>5</v>
      </c>
      <c r="K102">
        <v>21</v>
      </c>
      <c r="L102">
        <v>6</v>
      </c>
      <c r="M102">
        <v>2171171.1711711721</v>
      </c>
      <c r="N102">
        <v>5071171.1711711753</v>
      </c>
      <c r="O102">
        <v>18754558.558558561</v>
      </c>
      <c r="P102">
        <v>19777927.927927926</v>
      </c>
      <c r="Q102">
        <v>1440630.630630631</v>
      </c>
      <c r="R102">
        <v>2751351.3513513552</v>
      </c>
      <c r="S102">
        <v>6049</v>
      </c>
      <c r="T102">
        <v>5340</v>
      </c>
    </row>
    <row r="103" spans="1:20" x14ac:dyDescent="0.35">
      <c r="A103" s="7" t="s">
        <v>188</v>
      </c>
      <c r="B103" s="12" t="s">
        <v>189</v>
      </c>
      <c r="C103">
        <v>45079392.946295239</v>
      </c>
      <c r="D103">
        <v>42908277.197204955</v>
      </c>
      <c r="E103">
        <v>270270.27027027</v>
      </c>
      <c r="F103">
        <v>270270.27027027</v>
      </c>
      <c r="G103">
        <v>7</v>
      </c>
      <c r="H103">
        <v>11</v>
      </c>
      <c r="K103">
        <v>8</v>
      </c>
      <c r="L103">
        <v>15</v>
      </c>
      <c r="M103">
        <v>1171171.1711711709</v>
      </c>
      <c r="N103">
        <v>720720.72072072094</v>
      </c>
      <c r="O103">
        <v>4347072.072072072</v>
      </c>
      <c r="P103">
        <v>3502342.3423423418</v>
      </c>
      <c r="Q103">
        <v>1107657.657657658</v>
      </c>
      <c r="R103">
        <v>647297.29729729705</v>
      </c>
      <c r="S103">
        <v>1706</v>
      </c>
      <c r="T103">
        <v>1612</v>
      </c>
    </row>
    <row r="104" spans="1:20" x14ac:dyDescent="0.35">
      <c r="A104" s="7" t="s">
        <v>190</v>
      </c>
      <c r="B104" s="12" t="s">
        <v>134</v>
      </c>
      <c r="C104">
        <v>9687690.1482304838</v>
      </c>
      <c r="D104">
        <v>10275121.931020312</v>
      </c>
      <c r="G104">
        <v>4</v>
      </c>
      <c r="H104">
        <v>2</v>
      </c>
      <c r="K104">
        <v>4</v>
      </c>
      <c r="L104">
        <v>2</v>
      </c>
      <c r="O104">
        <v>510225.22522522602</v>
      </c>
      <c r="P104">
        <v>979459.45945945999</v>
      </c>
      <c r="S104">
        <v>1049</v>
      </c>
      <c r="T104">
        <v>992</v>
      </c>
    </row>
    <row r="105" spans="1:20" x14ac:dyDescent="0.35">
      <c r="A105" s="7" t="s">
        <v>191</v>
      </c>
      <c r="B105" s="12" t="s">
        <v>60</v>
      </c>
      <c r="C105">
        <v>66342008.792026177</v>
      </c>
      <c r="D105">
        <v>63914850.793906897</v>
      </c>
      <c r="E105">
        <v>425225.22522522497</v>
      </c>
      <c r="F105">
        <v>277252.25225225498</v>
      </c>
      <c r="G105">
        <v>9</v>
      </c>
      <c r="H105">
        <v>2</v>
      </c>
      <c r="K105">
        <v>14</v>
      </c>
      <c r="L105">
        <v>3</v>
      </c>
      <c r="M105">
        <v>4947747.7477477463</v>
      </c>
      <c r="N105">
        <v>5403603.6036036061</v>
      </c>
      <c r="O105">
        <v>20515675.675675675</v>
      </c>
      <c r="P105">
        <v>18646234.234234232</v>
      </c>
      <c r="Q105">
        <v>5427747.7477477454</v>
      </c>
      <c r="R105">
        <v>5430270.2702702722</v>
      </c>
      <c r="S105">
        <v>4008</v>
      </c>
      <c r="T105">
        <v>3969</v>
      </c>
    </row>
    <row r="106" spans="1:20" x14ac:dyDescent="0.35">
      <c r="A106" s="7" t="s">
        <v>192</v>
      </c>
      <c r="B106" s="12" t="s">
        <v>60</v>
      </c>
      <c r="C106">
        <v>112889577.79617803</v>
      </c>
      <c r="D106">
        <v>109306531.80219333</v>
      </c>
      <c r="E106">
        <v>874774.77477477503</v>
      </c>
      <c r="F106">
        <v>456756.75675675803</v>
      </c>
      <c r="G106">
        <v>8</v>
      </c>
      <c r="H106">
        <v>4</v>
      </c>
      <c r="K106">
        <v>9</v>
      </c>
      <c r="L106">
        <v>7</v>
      </c>
      <c r="M106">
        <v>5072972.9729729742</v>
      </c>
      <c r="N106">
        <v>7447747.7477477482</v>
      </c>
      <c r="O106">
        <v>26352477.477477476</v>
      </c>
      <c r="P106">
        <v>25856756.756756756</v>
      </c>
      <c r="Q106">
        <v>4935855.8558558552</v>
      </c>
      <c r="R106">
        <v>5235675.6756756771</v>
      </c>
      <c r="S106">
        <v>6587</v>
      </c>
      <c r="T106">
        <v>6553</v>
      </c>
    </row>
    <row r="107" spans="1:20" x14ac:dyDescent="0.35">
      <c r="A107" s="7" t="s">
        <v>2</v>
      </c>
      <c r="B107" s="12" t="s">
        <v>193</v>
      </c>
      <c r="C107">
        <v>14950801.397865189</v>
      </c>
      <c r="D107">
        <v>7511605.4967705691</v>
      </c>
      <c r="E107">
        <v>8108.1081081089997</v>
      </c>
      <c r="G107">
        <v>1</v>
      </c>
      <c r="H107">
        <v>2</v>
      </c>
      <c r="K107">
        <v>1</v>
      </c>
      <c r="L107">
        <v>2</v>
      </c>
      <c r="M107">
        <v>8108.1081081089997</v>
      </c>
      <c r="O107">
        <v>7044504.5045045046</v>
      </c>
      <c r="P107">
        <v>4061855.8558558561</v>
      </c>
      <c r="R107">
        <v>157657.65765765801</v>
      </c>
      <c r="S107">
        <v>1246</v>
      </c>
      <c r="T107">
        <v>890</v>
      </c>
    </row>
    <row r="108" spans="1:20" x14ac:dyDescent="0.35">
      <c r="A108" s="7" t="s">
        <v>194</v>
      </c>
      <c r="B108" s="12" t="s">
        <v>195</v>
      </c>
      <c r="C108">
        <v>381869791.07846171</v>
      </c>
      <c r="D108">
        <v>375740565.66688049</v>
      </c>
      <c r="E108">
        <v>878828.82882882899</v>
      </c>
      <c r="F108">
        <v>1135810.8108108121</v>
      </c>
      <c r="G108">
        <v>76</v>
      </c>
      <c r="H108">
        <v>70</v>
      </c>
      <c r="K108">
        <v>88</v>
      </c>
      <c r="L108">
        <v>74</v>
      </c>
      <c r="M108">
        <v>10454684.684684685</v>
      </c>
      <c r="N108">
        <v>16633153.153153151</v>
      </c>
      <c r="O108">
        <v>68917603.603603601</v>
      </c>
      <c r="P108">
        <v>72570864.864864871</v>
      </c>
      <c r="Q108">
        <v>15970360.36036036</v>
      </c>
      <c r="R108">
        <v>13017657.657657659</v>
      </c>
      <c r="S108">
        <v>18199</v>
      </c>
      <c r="T108">
        <v>18179</v>
      </c>
    </row>
    <row r="109" spans="1:20" x14ac:dyDescent="0.35">
      <c r="A109" s="7" t="s">
        <v>196</v>
      </c>
      <c r="B109" s="12" t="s">
        <v>80</v>
      </c>
      <c r="C109">
        <v>120600422.6477941</v>
      </c>
      <c r="D109">
        <v>113621720.40091516</v>
      </c>
      <c r="E109">
        <v>38738.738738740001</v>
      </c>
      <c r="F109">
        <v>493693.69369369402</v>
      </c>
      <c r="G109">
        <v>22</v>
      </c>
      <c r="H109">
        <v>12</v>
      </c>
      <c r="K109">
        <v>25</v>
      </c>
      <c r="L109">
        <v>16</v>
      </c>
      <c r="M109">
        <v>13483783.78378378</v>
      </c>
      <c r="N109">
        <v>16876576.576576576</v>
      </c>
      <c r="O109">
        <v>30727378.37837838</v>
      </c>
      <c r="P109">
        <v>31833972.97297297</v>
      </c>
      <c r="Q109">
        <v>12420450.450450452</v>
      </c>
      <c r="R109">
        <v>16092072.072072072</v>
      </c>
      <c r="S109">
        <v>6660</v>
      </c>
      <c r="T109">
        <v>6906</v>
      </c>
    </row>
    <row r="110" spans="1:20" x14ac:dyDescent="0.35">
      <c r="A110" s="7" t="s">
        <v>197</v>
      </c>
      <c r="B110" s="12" t="s">
        <v>108</v>
      </c>
      <c r="C110">
        <v>90402282.953106299</v>
      </c>
      <c r="D110">
        <v>95028397.555606246</v>
      </c>
      <c r="E110">
        <v>174594.594594597</v>
      </c>
      <c r="F110">
        <v>325225.22522522701</v>
      </c>
      <c r="G110">
        <v>15</v>
      </c>
      <c r="H110">
        <v>27</v>
      </c>
      <c r="K110">
        <v>18</v>
      </c>
      <c r="L110">
        <v>35</v>
      </c>
      <c r="M110">
        <v>4786306.3063063053</v>
      </c>
      <c r="N110">
        <v>4686486.4864864871</v>
      </c>
      <c r="O110">
        <v>25078108.108108107</v>
      </c>
      <c r="P110">
        <v>27588954.954954956</v>
      </c>
      <c r="Q110">
        <v>4337657.6576576568</v>
      </c>
      <c r="R110">
        <v>3797657.6576576568</v>
      </c>
      <c r="S110">
        <v>7138</v>
      </c>
      <c r="T110">
        <v>7256</v>
      </c>
    </row>
    <row r="111" spans="1:20" x14ac:dyDescent="0.35">
      <c r="A111" s="7" t="s">
        <v>198</v>
      </c>
      <c r="B111" s="12" t="s">
        <v>92</v>
      </c>
      <c r="C111">
        <v>51457190.042108081</v>
      </c>
      <c r="D111">
        <v>50592631.854844473</v>
      </c>
      <c r="E111">
        <v>1129909.9099099101</v>
      </c>
      <c r="F111">
        <v>2300900.9009009022</v>
      </c>
      <c r="G111">
        <v>7</v>
      </c>
      <c r="H111">
        <v>34</v>
      </c>
      <c r="K111">
        <v>7</v>
      </c>
      <c r="L111">
        <v>70</v>
      </c>
      <c r="M111">
        <v>11741081.081081081</v>
      </c>
      <c r="N111">
        <v>13760360.36036036</v>
      </c>
      <c r="O111">
        <v>11799639.63963964</v>
      </c>
      <c r="P111">
        <v>13304531.531531531</v>
      </c>
      <c r="Q111">
        <v>12483333.333333334</v>
      </c>
      <c r="R111">
        <v>11926306.306306306</v>
      </c>
      <c r="S111">
        <v>2829</v>
      </c>
      <c r="T111">
        <v>2744</v>
      </c>
    </row>
    <row r="112" spans="1:20" x14ac:dyDescent="0.35">
      <c r="A112" s="7" t="s">
        <v>199</v>
      </c>
      <c r="B112" s="12" t="s">
        <v>123</v>
      </c>
      <c r="C112">
        <v>54629904.503363833</v>
      </c>
      <c r="D112">
        <v>43460708.437472001</v>
      </c>
      <c r="E112">
        <v>486486.48648648697</v>
      </c>
      <c r="F112">
        <v>31531.531531532</v>
      </c>
      <c r="G112">
        <v>29</v>
      </c>
      <c r="H112">
        <v>3</v>
      </c>
      <c r="K112">
        <v>31</v>
      </c>
      <c r="L112">
        <v>4</v>
      </c>
      <c r="M112">
        <v>3909909.9099099101</v>
      </c>
      <c r="N112">
        <v>934234.23423423397</v>
      </c>
      <c r="O112">
        <v>11224234.234234236</v>
      </c>
      <c r="P112">
        <v>6863747.7477477482</v>
      </c>
      <c r="Q112">
        <v>2003333.333333333</v>
      </c>
      <c r="R112">
        <v>1452162.1621621619</v>
      </c>
      <c r="S112">
        <v>2606</v>
      </c>
      <c r="T112">
        <v>2460</v>
      </c>
    </row>
    <row r="113" spans="1:20" x14ac:dyDescent="0.35">
      <c r="A113" s="7" t="s">
        <v>200</v>
      </c>
      <c r="B113" s="12" t="s">
        <v>60</v>
      </c>
      <c r="C113">
        <v>33560190.022129267</v>
      </c>
      <c r="D113">
        <v>31128541.649005629</v>
      </c>
      <c r="E113">
        <v>25225.225225225</v>
      </c>
      <c r="F113">
        <v>394594.59459459502</v>
      </c>
      <c r="G113">
        <v>5</v>
      </c>
      <c r="H113">
        <v>8</v>
      </c>
      <c r="K113">
        <v>8</v>
      </c>
      <c r="L113">
        <v>9</v>
      </c>
      <c r="M113">
        <v>2286486.4864864852</v>
      </c>
      <c r="N113">
        <v>5628828.8288288284</v>
      </c>
      <c r="O113">
        <v>4739990.9909909898</v>
      </c>
      <c r="P113">
        <v>5556108.108108107</v>
      </c>
      <c r="Q113">
        <v>2223243.2432432431</v>
      </c>
      <c r="R113">
        <v>2826036.036036036</v>
      </c>
      <c r="S113">
        <v>3466</v>
      </c>
      <c r="T113">
        <v>3099</v>
      </c>
    </row>
    <row r="114" spans="1:20" x14ac:dyDescent="0.35">
      <c r="A114" s="7" t="s">
        <v>201</v>
      </c>
      <c r="B114" s="12" t="s">
        <v>60</v>
      </c>
      <c r="C114">
        <v>11648946.634575492</v>
      </c>
      <c r="D114">
        <v>11092251.044863658</v>
      </c>
      <c r="E114">
        <v>33513.513513514001</v>
      </c>
      <c r="G114">
        <v>3</v>
      </c>
      <c r="H114">
        <v>3</v>
      </c>
      <c r="K114">
        <v>4</v>
      </c>
      <c r="L114">
        <v>3</v>
      </c>
      <c r="M114">
        <v>249729.72972973</v>
      </c>
      <c r="N114">
        <v>1216216.2162162161</v>
      </c>
      <c r="O114">
        <v>2694054.054054054</v>
      </c>
      <c r="P114">
        <v>2668540.5405405411</v>
      </c>
      <c r="Q114">
        <v>374324.32432432403</v>
      </c>
      <c r="R114">
        <v>310810.810810811</v>
      </c>
      <c r="S114">
        <v>1094</v>
      </c>
      <c r="T114">
        <v>1513</v>
      </c>
    </row>
    <row r="115" spans="1:20" x14ac:dyDescent="0.35">
      <c r="A115" s="7" t="s">
        <v>202</v>
      </c>
      <c r="B115" s="12" t="s">
        <v>121</v>
      </c>
      <c r="C115">
        <v>24469917.481513757</v>
      </c>
      <c r="D115">
        <v>20881831.407934669</v>
      </c>
      <c r="E115">
        <v>41441.441441442003</v>
      </c>
      <c r="F115">
        <v>126126.12612612599</v>
      </c>
      <c r="G115">
        <v>18</v>
      </c>
      <c r="H115">
        <v>12</v>
      </c>
      <c r="K115">
        <v>22</v>
      </c>
      <c r="L115">
        <v>14</v>
      </c>
      <c r="M115">
        <v>41441.441441442003</v>
      </c>
      <c r="N115">
        <v>130630.630630631</v>
      </c>
      <c r="O115">
        <v>2508288.2882882878</v>
      </c>
      <c r="P115">
        <v>1670972.972972973</v>
      </c>
      <c r="S115">
        <v>1487</v>
      </c>
      <c r="T115">
        <v>1407</v>
      </c>
    </row>
    <row r="116" spans="1:20" x14ac:dyDescent="0.35">
      <c r="A116" s="7" t="s">
        <v>203</v>
      </c>
      <c r="B116" s="12" t="s">
        <v>54</v>
      </c>
      <c r="C116">
        <v>35711085.873417787</v>
      </c>
      <c r="D116">
        <v>33634726.326460883</v>
      </c>
      <c r="E116">
        <v>1801.801801802</v>
      </c>
      <c r="F116">
        <v>93693.693693694004</v>
      </c>
      <c r="G116">
        <v>7</v>
      </c>
      <c r="H116">
        <v>5</v>
      </c>
      <c r="K116">
        <v>8</v>
      </c>
      <c r="L116">
        <v>6</v>
      </c>
      <c r="M116">
        <v>1227027.0270270261</v>
      </c>
      <c r="N116">
        <v>1314414.414414414</v>
      </c>
      <c r="O116">
        <v>9709279.2792792805</v>
      </c>
      <c r="P116">
        <v>8404063.0630630627</v>
      </c>
      <c r="Q116">
        <v>1850180.1801801799</v>
      </c>
      <c r="R116">
        <v>1580540.5405405411</v>
      </c>
      <c r="S116">
        <v>3840</v>
      </c>
      <c r="T116">
        <v>3870</v>
      </c>
    </row>
    <row r="117" spans="1:20" x14ac:dyDescent="0.35">
      <c r="A117" s="7" t="s">
        <v>204</v>
      </c>
      <c r="B117" s="12" t="s">
        <v>136</v>
      </c>
      <c r="C117">
        <v>138495796.48959365</v>
      </c>
      <c r="D117">
        <v>117140295.98144075</v>
      </c>
      <c r="E117">
        <v>217567.56756756699</v>
      </c>
      <c r="F117">
        <v>112612.612612614</v>
      </c>
      <c r="G117">
        <v>32</v>
      </c>
      <c r="H117">
        <v>14</v>
      </c>
      <c r="K117">
        <v>35</v>
      </c>
      <c r="L117">
        <v>15</v>
      </c>
      <c r="M117">
        <v>11649999.999999998</v>
      </c>
      <c r="N117">
        <v>10382882.88288288</v>
      </c>
      <c r="O117">
        <v>23163873.873873871</v>
      </c>
      <c r="P117">
        <v>23163990.990990993</v>
      </c>
      <c r="Q117">
        <v>9325765.7657657675</v>
      </c>
      <c r="R117">
        <v>9727927.927927928</v>
      </c>
      <c r="S117">
        <v>5862</v>
      </c>
      <c r="T117">
        <v>5567</v>
      </c>
    </row>
    <row r="118" spans="1:20" x14ac:dyDescent="0.35">
      <c r="A118" s="7" t="s">
        <v>205</v>
      </c>
      <c r="B118" s="12" t="s">
        <v>136</v>
      </c>
      <c r="C118">
        <v>67897560.007273108</v>
      </c>
      <c r="D118">
        <v>63198246.90928968</v>
      </c>
      <c r="E118">
        <v>4504.5045045050001</v>
      </c>
      <c r="F118">
        <v>298198.19819819799</v>
      </c>
      <c r="G118">
        <v>19</v>
      </c>
      <c r="H118">
        <v>8</v>
      </c>
      <c r="K118">
        <v>23</v>
      </c>
      <c r="L118">
        <v>11</v>
      </c>
      <c r="M118">
        <v>905405.40540540603</v>
      </c>
      <c r="N118">
        <v>1316216.2162162149</v>
      </c>
      <c r="O118">
        <v>11777837.837837838</v>
      </c>
      <c r="P118">
        <v>12423691.891891891</v>
      </c>
      <c r="Q118">
        <v>736846.84684684605</v>
      </c>
      <c r="R118">
        <v>1314594.5945945941</v>
      </c>
      <c r="S118">
        <v>3275</v>
      </c>
      <c r="T118">
        <v>3156</v>
      </c>
    </row>
    <row r="119" spans="1:20" x14ac:dyDescent="0.35">
      <c r="A119" s="7" t="s">
        <v>206</v>
      </c>
      <c r="B119" s="12" t="s">
        <v>169</v>
      </c>
      <c r="C119">
        <v>141277935.83488432</v>
      </c>
      <c r="D119">
        <v>143224626.77464882</v>
      </c>
      <c r="E119">
        <v>312612.61261261301</v>
      </c>
      <c r="F119">
        <v>340540.540540541</v>
      </c>
      <c r="G119">
        <v>7</v>
      </c>
      <c r="H119">
        <v>6</v>
      </c>
      <c r="K119">
        <v>7</v>
      </c>
      <c r="L119">
        <v>7</v>
      </c>
      <c r="M119">
        <v>431672972.97297299</v>
      </c>
      <c r="N119">
        <v>6475675.6756756753</v>
      </c>
      <c r="O119">
        <v>67847198.198198199</v>
      </c>
      <c r="P119">
        <v>66354792.79279279</v>
      </c>
      <c r="Q119">
        <v>436065160.36036038</v>
      </c>
      <c r="R119">
        <v>6539549.5495495498</v>
      </c>
      <c r="S119">
        <v>7668</v>
      </c>
      <c r="T119">
        <v>7678</v>
      </c>
    </row>
    <row r="120" spans="1:20" x14ac:dyDescent="0.35">
      <c r="A120" s="7" t="s">
        <v>207</v>
      </c>
      <c r="B120" s="12" t="s">
        <v>161</v>
      </c>
      <c r="C120">
        <v>155198279.10000911</v>
      </c>
      <c r="D120">
        <v>163877783.39666799</v>
      </c>
      <c r="E120">
        <v>38978927.027027026</v>
      </c>
      <c r="F120">
        <v>21543111.711711712</v>
      </c>
      <c r="G120">
        <v>32</v>
      </c>
      <c r="H120">
        <v>40</v>
      </c>
      <c r="K120">
        <v>45</v>
      </c>
      <c r="L120">
        <v>139</v>
      </c>
      <c r="M120">
        <v>19664594.594594583</v>
      </c>
      <c r="N120">
        <v>23011252.252252255</v>
      </c>
      <c r="O120">
        <v>44222828.828828834</v>
      </c>
      <c r="P120">
        <v>46156666.666666672</v>
      </c>
      <c r="Q120">
        <v>17584774.774774767</v>
      </c>
      <c r="R120">
        <v>14668918.918918919</v>
      </c>
      <c r="S120">
        <v>12154</v>
      </c>
      <c r="T120">
        <v>12052</v>
      </c>
    </row>
    <row r="121" spans="1:20" x14ac:dyDescent="0.35">
      <c r="A121" s="7" t="s">
        <v>208</v>
      </c>
      <c r="B121" s="12" t="s">
        <v>76</v>
      </c>
      <c r="C121">
        <v>5858823.9336895114</v>
      </c>
      <c r="D121">
        <v>4959943.5050289268</v>
      </c>
      <c r="G121">
        <v>1</v>
      </c>
      <c r="K121">
        <v>1</v>
      </c>
      <c r="O121">
        <v>380405.40540540603</v>
      </c>
      <c r="P121">
        <v>365405.40540540603</v>
      </c>
      <c r="S121">
        <v>506</v>
      </c>
      <c r="T121">
        <v>482</v>
      </c>
    </row>
    <row r="122" spans="1:20" x14ac:dyDescent="0.35">
      <c r="A122" s="7" t="s">
        <v>209</v>
      </c>
      <c r="B122" s="12" t="s">
        <v>76</v>
      </c>
      <c r="C122">
        <v>74613428.62731266</v>
      </c>
      <c r="D122">
        <v>70416683.996936575</v>
      </c>
      <c r="E122">
        <v>1182148.648648649</v>
      </c>
      <c r="F122">
        <v>1429401.8018018049</v>
      </c>
      <c r="G122">
        <v>20</v>
      </c>
      <c r="H122">
        <v>25</v>
      </c>
      <c r="I122">
        <v>1</v>
      </c>
      <c r="K122">
        <v>27</v>
      </c>
      <c r="L122">
        <v>36</v>
      </c>
      <c r="M122">
        <v>6241531.5315315342</v>
      </c>
      <c r="N122">
        <v>9837117.1171171162</v>
      </c>
      <c r="O122">
        <v>9259909.9099099077</v>
      </c>
      <c r="P122">
        <v>10403252.252252255</v>
      </c>
      <c r="Q122">
        <v>5448918.9189189225</v>
      </c>
      <c r="R122">
        <v>9195945.9459459446</v>
      </c>
      <c r="S122">
        <v>4441</v>
      </c>
      <c r="T122">
        <v>4460</v>
      </c>
    </row>
    <row r="123" spans="1:20" x14ac:dyDescent="0.35">
      <c r="A123" s="7" t="s">
        <v>210</v>
      </c>
      <c r="B123" s="12" t="s">
        <v>76</v>
      </c>
      <c r="C123">
        <v>94041991.716708735</v>
      </c>
      <c r="D123">
        <v>90708019.325443596</v>
      </c>
      <c r="E123">
        <v>644144.144144146</v>
      </c>
      <c r="F123">
        <v>992792.79279279697</v>
      </c>
      <c r="G123">
        <v>43</v>
      </c>
      <c r="H123">
        <v>41</v>
      </c>
      <c r="I123">
        <v>2</v>
      </c>
      <c r="K123">
        <v>58</v>
      </c>
      <c r="L123">
        <v>48</v>
      </c>
      <c r="M123">
        <v>19879279.279279277</v>
      </c>
      <c r="N123">
        <v>27701441.441441439</v>
      </c>
      <c r="O123">
        <v>27963090.090090089</v>
      </c>
      <c r="P123">
        <v>27632891.891891893</v>
      </c>
      <c r="Q123">
        <v>17810720.720720723</v>
      </c>
      <c r="R123">
        <v>23790810.810810812</v>
      </c>
      <c r="S123">
        <v>6848</v>
      </c>
      <c r="T123">
        <v>7498</v>
      </c>
    </row>
    <row r="124" spans="1:20" x14ac:dyDescent="0.35">
      <c r="A124" s="7" t="s">
        <v>211</v>
      </c>
      <c r="B124" s="12" t="s">
        <v>76</v>
      </c>
      <c r="C124">
        <v>60628817.195128202</v>
      </c>
      <c r="D124">
        <v>64200830.096671425</v>
      </c>
      <c r="E124">
        <v>614864.86486486602</v>
      </c>
      <c r="F124">
        <v>806081.08108108595</v>
      </c>
      <c r="G124">
        <v>22</v>
      </c>
      <c r="H124">
        <v>29</v>
      </c>
      <c r="K124">
        <v>28</v>
      </c>
      <c r="L124">
        <v>32</v>
      </c>
      <c r="M124">
        <v>4948198.1981981955</v>
      </c>
      <c r="N124">
        <v>5789909.9099099124</v>
      </c>
      <c r="O124">
        <v>9068090.0900900904</v>
      </c>
      <c r="P124">
        <v>9004585.5855855849</v>
      </c>
      <c r="Q124">
        <v>5272522.5225225193</v>
      </c>
      <c r="R124">
        <v>4499189.18918919</v>
      </c>
      <c r="S124">
        <v>4136</v>
      </c>
      <c r="T124">
        <v>4054</v>
      </c>
    </row>
    <row r="125" spans="1:20" x14ac:dyDescent="0.35">
      <c r="A125" s="7" t="s">
        <v>212</v>
      </c>
      <c r="B125" s="12" t="s">
        <v>76</v>
      </c>
      <c r="C125">
        <v>25108586.181751359</v>
      </c>
      <c r="D125">
        <v>24057440.944532525</v>
      </c>
      <c r="E125">
        <v>5855.8558558559998</v>
      </c>
      <c r="G125">
        <v>5</v>
      </c>
      <c r="H125">
        <v>1</v>
      </c>
      <c r="K125">
        <v>5</v>
      </c>
      <c r="L125">
        <v>1</v>
      </c>
      <c r="M125">
        <v>546396.39639639703</v>
      </c>
      <c r="N125">
        <v>270270.27027027</v>
      </c>
      <c r="O125">
        <v>3360990.9909909908</v>
      </c>
      <c r="P125">
        <v>3662864.8648648649</v>
      </c>
      <c r="Q125">
        <v>391891.89189189201</v>
      </c>
      <c r="R125">
        <v>136036.03603603601</v>
      </c>
      <c r="S125">
        <v>1775</v>
      </c>
      <c r="T125">
        <v>2496</v>
      </c>
    </row>
    <row r="126" spans="1:20" x14ac:dyDescent="0.35">
      <c r="A126" s="7" t="s">
        <v>213</v>
      </c>
      <c r="B126" s="12" t="s">
        <v>214</v>
      </c>
      <c r="C126">
        <v>28162895.02717315</v>
      </c>
      <c r="D126">
        <v>34155624.893135279</v>
      </c>
      <c r="E126">
        <v>74324.324324325004</v>
      </c>
      <c r="F126">
        <v>218018.01801801799</v>
      </c>
      <c r="G126">
        <v>5</v>
      </c>
      <c r="H126">
        <v>18</v>
      </c>
      <c r="K126">
        <v>5</v>
      </c>
      <c r="L126">
        <v>19</v>
      </c>
      <c r="M126">
        <v>4623153.153153155</v>
      </c>
      <c r="N126">
        <v>8072522.5225225231</v>
      </c>
      <c r="O126">
        <v>13296036.036036037</v>
      </c>
      <c r="P126">
        <v>15704468.468468469</v>
      </c>
      <c r="Q126">
        <v>3640630.6306306319</v>
      </c>
      <c r="R126">
        <v>5183963.963963964</v>
      </c>
      <c r="S126">
        <v>2341</v>
      </c>
      <c r="T126">
        <v>2314</v>
      </c>
    </row>
    <row r="127" spans="1:20" x14ac:dyDescent="0.35">
      <c r="A127" s="7" t="s">
        <v>215</v>
      </c>
      <c r="B127" s="12" t="s">
        <v>167</v>
      </c>
      <c r="C127">
        <v>24608431.199257415</v>
      </c>
      <c r="D127">
        <v>36147607.54109212</v>
      </c>
      <c r="E127">
        <v>2027927.927927928</v>
      </c>
      <c r="G127">
        <v>2</v>
      </c>
      <c r="H127">
        <v>1</v>
      </c>
      <c r="K127">
        <v>2</v>
      </c>
      <c r="L127">
        <v>2</v>
      </c>
      <c r="M127">
        <v>27927.927927928002</v>
      </c>
      <c r="N127">
        <v>477477.47747747699</v>
      </c>
      <c r="O127">
        <v>4540540.5405405397</v>
      </c>
      <c r="P127">
        <v>6709738.7387387389</v>
      </c>
      <c r="S127">
        <v>1817</v>
      </c>
      <c r="T127">
        <v>1800</v>
      </c>
    </row>
    <row r="128" spans="1:20" x14ac:dyDescent="0.35">
      <c r="A128" s="7" t="s">
        <v>216</v>
      </c>
      <c r="B128" s="12" t="s">
        <v>85</v>
      </c>
      <c r="C128">
        <v>6311417.1720317034</v>
      </c>
      <c r="D128">
        <v>8481420.1306424867</v>
      </c>
      <c r="E128">
        <v>9909.9099099110008</v>
      </c>
      <c r="H128">
        <v>4</v>
      </c>
      <c r="L128">
        <v>5</v>
      </c>
      <c r="M128">
        <v>11109009.009009009</v>
      </c>
      <c r="N128">
        <v>19639639.639639638</v>
      </c>
      <c r="O128">
        <v>1604720.7207207209</v>
      </c>
      <c r="P128">
        <v>2403522.5225225221</v>
      </c>
      <c r="Q128">
        <v>8673153.1531531531</v>
      </c>
      <c r="R128">
        <v>7090450.4504504511</v>
      </c>
      <c r="S128">
        <v>623</v>
      </c>
      <c r="T128">
        <v>694</v>
      </c>
    </row>
    <row r="129" spans="1:20" x14ac:dyDescent="0.35">
      <c r="A129" s="7" t="s">
        <v>217</v>
      </c>
      <c r="B129" s="12" t="s">
        <v>85</v>
      </c>
      <c r="C129">
        <v>35100124.680600114</v>
      </c>
      <c r="D129">
        <v>33027235.159790672</v>
      </c>
      <c r="E129">
        <v>5405.4054054059998</v>
      </c>
      <c r="F129">
        <v>121621.62162162201</v>
      </c>
      <c r="G129">
        <v>14</v>
      </c>
      <c r="H129">
        <v>10</v>
      </c>
      <c r="K129">
        <v>16</v>
      </c>
      <c r="L129">
        <v>12</v>
      </c>
      <c r="M129">
        <v>5987387.3873873884</v>
      </c>
      <c r="N129">
        <v>9819819.8198198192</v>
      </c>
      <c r="O129">
        <v>6462387.3873873875</v>
      </c>
      <c r="P129">
        <v>6607027.0270270268</v>
      </c>
      <c r="Q129">
        <v>4567027.0270270258</v>
      </c>
      <c r="R129">
        <v>9863963.9639639631</v>
      </c>
      <c r="S129">
        <v>2545</v>
      </c>
      <c r="T129">
        <v>2433</v>
      </c>
    </row>
    <row r="130" spans="1:20" x14ac:dyDescent="0.35">
      <c r="A130" s="7" t="s">
        <v>218</v>
      </c>
      <c r="B130" s="12" t="s">
        <v>147</v>
      </c>
      <c r="C130">
        <v>33273342.662749827</v>
      </c>
      <c r="D130">
        <v>31303193.295637239</v>
      </c>
      <c r="E130">
        <v>1801.801801802</v>
      </c>
      <c r="F130">
        <v>2300900.9009009032</v>
      </c>
      <c r="G130">
        <v>7</v>
      </c>
      <c r="H130">
        <v>16</v>
      </c>
      <c r="K130">
        <v>7</v>
      </c>
      <c r="L130">
        <v>64</v>
      </c>
      <c r="M130">
        <v>452252.25225225202</v>
      </c>
      <c r="N130">
        <v>11564864.864864862</v>
      </c>
      <c r="O130">
        <v>8492639.6396396384</v>
      </c>
      <c r="P130">
        <v>11582855.855855856</v>
      </c>
      <c r="Q130">
        <v>1068288.288288289</v>
      </c>
      <c r="R130">
        <v>12570720.720720718</v>
      </c>
      <c r="S130">
        <v>2531</v>
      </c>
      <c r="T130">
        <v>2531</v>
      </c>
    </row>
    <row r="131" spans="1:20" x14ac:dyDescent="0.35">
      <c r="A131" s="7" t="s">
        <v>219</v>
      </c>
      <c r="B131" s="12" t="s">
        <v>220</v>
      </c>
      <c r="C131">
        <v>67462208.468025312</v>
      </c>
      <c r="D131">
        <v>62512195.301671624</v>
      </c>
      <c r="E131">
        <v>221334942.34234235</v>
      </c>
      <c r="F131">
        <v>263234720.72072074</v>
      </c>
      <c r="G131">
        <v>18</v>
      </c>
      <c r="H131">
        <v>11</v>
      </c>
      <c r="K131">
        <v>20</v>
      </c>
      <c r="L131">
        <v>16</v>
      </c>
      <c r="M131">
        <v>103313603.6036036</v>
      </c>
      <c r="N131">
        <v>45291531.531531535</v>
      </c>
      <c r="O131">
        <v>16403198.198198197</v>
      </c>
      <c r="P131">
        <v>15491027.027027026</v>
      </c>
      <c r="Q131">
        <v>119782342.34234233</v>
      </c>
      <c r="R131">
        <v>70133783.783783793</v>
      </c>
      <c r="S131">
        <v>6361</v>
      </c>
      <c r="T131">
        <v>6231</v>
      </c>
    </row>
    <row r="132" spans="1:20" x14ac:dyDescent="0.35">
      <c r="A132" s="7" t="s">
        <v>221</v>
      </c>
      <c r="B132" s="12" t="s">
        <v>52</v>
      </c>
      <c r="C132">
        <v>157205217.52280906</v>
      </c>
      <c r="D132">
        <v>152374832.95906666</v>
      </c>
      <c r="E132">
        <v>895495.49549549702</v>
      </c>
      <c r="F132">
        <v>1100900.900900902</v>
      </c>
      <c r="G132">
        <v>34</v>
      </c>
      <c r="H132">
        <v>43</v>
      </c>
      <c r="K132">
        <v>40</v>
      </c>
      <c r="L132">
        <v>53</v>
      </c>
      <c r="M132">
        <v>4566936.9369369354</v>
      </c>
      <c r="N132">
        <v>5564864.8648648662</v>
      </c>
      <c r="O132">
        <v>49483648.648648649</v>
      </c>
      <c r="P132">
        <v>50220729.729729727</v>
      </c>
      <c r="Q132">
        <v>5830630.630630631</v>
      </c>
      <c r="R132">
        <v>15348108.108108111</v>
      </c>
      <c r="S132">
        <v>11003</v>
      </c>
      <c r="T132">
        <v>10383</v>
      </c>
    </row>
    <row r="133" spans="1:20" x14ac:dyDescent="0.35">
      <c r="A133" s="7" t="s">
        <v>222</v>
      </c>
      <c r="B133" s="12" t="s">
        <v>76</v>
      </c>
      <c r="C133">
        <v>120331021.24455532</v>
      </c>
      <c r="D133">
        <v>115455130.92631169</v>
      </c>
      <c r="E133">
        <v>47387.387387388</v>
      </c>
      <c r="F133">
        <v>257657.65765765999</v>
      </c>
      <c r="G133">
        <v>31</v>
      </c>
      <c r="H133">
        <v>21</v>
      </c>
      <c r="K133">
        <v>34</v>
      </c>
      <c r="L133">
        <v>24</v>
      </c>
      <c r="M133">
        <v>8105945.9459459437</v>
      </c>
      <c r="N133">
        <v>7990810.81081081</v>
      </c>
      <c r="O133">
        <v>21082962.162162159</v>
      </c>
      <c r="P133">
        <v>22258409.909909911</v>
      </c>
      <c r="Q133">
        <v>7917297.2972972989</v>
      </c>
      <c r="R133">
        <v>6981261.2612612629</v>
      </c>
      <c r="S133">
        <v>7160</v>
      </c>
      <c r="T133">
        <v>7076</v>
      </c>
    </row>
    <row r="134" spans="1:20" x14ac:dyDescent="0.35">
      <c r="A134" s="7" t="s">
        <v>223</v>
      </c>
      <c r="B134" s="12" t="s">
        <v>224</v>
      </c>
      <c r="C134">
        <v>11186912.159800773</v>
      </c>
      <c r="D134">
        <v>10199651.581799338</v>
      </c>
      <c r="G134">
        <v>2</v>
      </c>
      <c r="K134">
        <v>2</v>
      </c>
      <c r="O134">
        <v>2141216.2162162159</v>
      </c>
      <c r="P134">
        <v>2379540.5405405411</v>
      </c>
      <c r="Q134">
        <v>180180.18018018</v>
      </c>
      <c r="R134">
        <v>170990.99099099101</v>
      </c>
      <c r="S134">
        <v>840</v>
      </c>
      <c r="T134">
        <v>829</v>
      </c>
    </row>
    <row r="135" spans="1:20" x14ac:dyDescent="0.35">
      <c r="A135" s="7" t="s">
        <v>225</v>
      </c>
      <c r="B135" s="12" t="s">
        <v>143</v>
      </c>
      <c r="C135">
        <v>106778717.24819824</v>
      </c>
      <c r="D135">
        <v>93517464.438865408</v>
      </c>
      <c r="E135">
        <v>34234.234234235999</v>
      </c>
      <c r="F135">
        <v>1991891.891891897</v>
      </c>
      <c r="G135">
        <v>17</v>
      </c>
      <c r="H135">
        <v>29</v>
      </c>
      <c r="K135">
        <v>29</v>
      </c>
      <c r="L135">
        <v>34</v>
      </c>
      <c r="M135">
        <v>5223423.4234234234</v>
      </c>
      <c r="N135">
        <v>6779279.2792792823</v>
      </c>
      <c r="O135">
        <v>11144531.53153153</v>
      </c>
      <c r="P135">
        <v>12567576.576576576</v>
      </c>
      <c r="Q135">
        <v>3123873.8738738722</v>
      </c>
      <c r="R135">
        <v>3350630.6306306301</v>
      </c>
      <c r="S135">
        <v>6061</v>
      </c>
      <c r="T135">
        <v>5968</v>
      </c>
    </row>
    <row r="136" spans="1:20" x14ac:dyDescent="0.35">
      <c r="A136" s="7" t="s">
        <v>226</v>
      </c>
      <c r="B136" s="12" t="s">
        <v>224</v>
      </c>
      <c r="C136">
        <v>11503592.210997973</v>
      </c>
      <c r="D136">
        <v>10275413.42700143</v>
      </c>
      <c r="E136">
        <v>900.900900901</v>
      </c>
      <c r="F136">
        <v>40540.540540542002</v>
      </c>
      <c r="G136">
        <v>2</v>
      </c>
      <c r="H136">
        <v>4</v>
      </c>
      <c r="K136">
        <v>3</v>
      </c>
      <c r="L136">
        <v>4</v>
      </c>
      <c r="M136">
        <v>889909.90990990901</v>
      </c>
      <c r="N136">
        <v>1035135.135135135</v>
      </c>
      <c r="O136">
        <v>2355450.4504504502</v>
      </c>
      <c r="P136">
        <v>2804000</v>
      </c>
      <c r="Q136">
        <v>892432.43243243103</v>
      </c>
      <c r="R136">
        <v>1130270.2702702701</v>
      </c>
      <c r="S136">
        <v>788</v>
      </c>
      <c r="T136">
        <v>830</v>
      </c>
    </row>
    <row r="137" spans="1:20" x14ac:dyDescent="0.35">
      <c r="A137" s="7" t="s">
        <v>227</v>
      </c>
      <c r="B137" s="12" t="s">
        <v>78</v>
      </c>
      <c r="C137">
        <v>95767354.775138706</v>
      </c>
      <c r="D137">
        <v>88963360.458873615</v>
      </c>
      <c r="E137">
        <v>330630.63063063298</v>
      </c>
      <c r="F137">
        <v>1212612.6126126139</v>
      </c>
      <c r="G137">
        <v>14</v>
      </c>
      <c r="H137">
        <v>13</v>
      </c>
      <c r="K137">
        <v>18</v>
      </c>
      <c r="L137">
        <v>15</v>
      </c>
      <c r="M137">
        <v>5763063.0630630627</v>
      </c>
      <c r="N137">
        <v>10581981.98198198</v>
      </c>
      <c r="O137">
        <v>36529052.252252258</v>
      </c>
      <c r="P137">
        <v>34308090.090090089</v>
      </c>
      <c r="Q137">
        <v>5076259.4594594566</v>
      </c>
      <c r="R137">
        <v>9628558.5585585553</v>
      </c>
      <c r="S137">
        <v>5199</v>
      </c>
      <c r="T137">
        <v>4936</v>
      </c>
    </row>
    <row r="138" spans="1:20" x14ac:dyDescent="0.35">
      <c r="A138" s="7" t="s">
        <v>228</v>
      </c>
      <c r="B138" s="12" t="s">
        <v>136</v>
      </c>
      <c r="C138">
        <v>130378385.0417401</v>
      </c>
      <c r="D138">
        <v>120128135.7509256</v>
      </c>
      <c r="E138">
        <v>378828.82882882998</v>
      </c>
      <c r="F138">
        <v>371621.62162162602</v>
      </c>
      <c r="G138">
        <v>19</v>
      </c>
      <c r="H138">
        <v>18</v>
      </c>
      <c r="K138">
        <v>26</v>
      </c>
      <c r="L138">
        <v>26</v>
      </c>
      <c r="M138">
        <v>20631081.081081081</v>
      </c>
      <c r="N138">
        <v>14084684.684684681</v>
      </c>
      <c r="O138">
        <v>24476295.495495494</v>
      </c>
      <c r="P138">
        <v>27703009.009009007</v>
      </c>
      <c r="Q138">
        <v>18027927.927927922</v>
      </c>
      <c r="R138">
        <v>8795855.8558558561</v>
      </c>
      <c r="S138">
        <v>7639</v>
      </c>
      <c r="T138">
        <v>7752</v>
      </c>
    </row>
    <row r="139" spans="1:20" x14ac:dyDescent="0.35">
      <c r="A139" s="7" t="s">
        <v>229</v>
      </c>
      <c r="B139" s="12" t="s">
        <v>78</v>
      </c>
      <c r="C139">
        <v>33303645.538872439</v>
      </c>
      <c r="D139">
        <v>34898491.344577886</v>
      </c>
      <c r="E139">
        <v>439189.189189189</v>
      </c>
      <c r="F139">
        <v>586486.48648648802</v>
      </c>
      <c r="G139">
        <v>3</v>
      </c>
      <c r="H139">
        <v>11</v>
      </c>
      <c r="K139">
        <v>3</v>
      </c>
      <c r="L139">
        <v>13</v>
      </c>
      <c r="M139">
        <v>5934684.6846846836</v>
      </c>
      <c r="N139">
        <v>7202252.2522522509</v>
      </c>
      <c r="O139">
        <v>14644774.774774777</v>
      </c>
      <c r="P139">
        <v>15719000</v>
      </c>
      <c r="Q139">
        <v>5469369.369369369</v>
      </c>
      <c r="R139">
        <v>5167297.297297298</v>
      </c>
      <c r="S139">
        <v>2491</v>
      </c>
      <c r="T139">
        <v>2618</v>
      </c>
    </row>
    <row r="140" spans="1:20" x14ac:dyDescent="0.35">
      <c r="A140" s="7" t="s">
        <v>230</v>
      </c>
      <c r="B140" s="12" t="s">
        <v>54</v>
      </c>
      <c r="C140">
        <v>101776150.80559158</v>
      </c>
      <c r="D140">
        <v>96208288.250399694</v>
      </c>
      <c r="E140">
        <v>900.900900901</v>
      </c>
      <c r="F140">
        <v>95495.495495495998</v>
      </c>
      <c r="G140">
        <v>4</v>
      </c>
      <c r="H140">
        <v>9</v>
      </c>
      <c r="K140">
        <v>7</v>
      </c>
      <c r="L140">
        <v>9</v>
      </c>
      <c r="M140">
        <v>1718918.9189189179</v>
      </c>
      <c r="N140">
        <v>14784684.684684686</v>
      </c>
      <c r="O140">
        <v>22928063.063063063</v>
      </c>
      <c r="P140">
        <v>24192981.981981985</v>
      </c>
      <c r="Q140">
        <v>2924594.5945945941</v>
      </c>
      <c r="R140">
        <v>18487477.47747748</v>
      </c>
      <c r="S140">
        <v>6780</v>
      </c>
      <c r="T140">
        <v>6764</v>
      </c>
    </row>
    <row r="141" spans="1:20" x14ac:dyDescent="0.35">
      <c r="A141" s="7" t="s">
        <v>231</v>
      </c>
      <c r="B141" s="12" t="s">
        <v>78</v>
      </c>
      <c r="C141">
        <v>39138569.155323096</v>
      </c>
      <c r="D141">
        <v>35479918.003691219</v>
      </c>
      <c r="E141">
        <v>92792.792792793</v>
      </c>
      <c r="F141">
        <v>812612.61261261604</v>
      </c>
      <c r="G141">
        <v>14</v>
      </c>
      <c r="H141">
        <v>12</v>
      </c>
      <c r="K141">
        <v>16</v>
      </c>
      <c r="L141">
        <v>25</v>
      </c>
      <c r="M141">
        <v>9732432.4324324317</v>
      </c>
      <c r="N141">
        <v>8200000.0000000009</v>
      </c>
      <c r="O141">
        <v>16424234.234234236</v>
      </c>
      <c r="P141">
        <v>16877738.738738738</v>
      </c>
      <c r="Q141">
        <v>10160810.810810808</v>
      </c>
      <c r="R141">
        <v>7872702.702702702</v>
      </c>
      <c r="S141">
        <v>4066</v>
      </c>
      <c r="T141">
        <v>3819</v>
      </c>
    </row>
    <row r="142" spans="1:20" x14ac:dyDescent="0.35">
      <c r="A142" s="7" t="s">
        <v>232</v>
      </c>
      <c r="B142" s="12" t="s">
        <v>60</v>
      </c>
      <c r="C142">
        <v>34734407.504755773</v>
      </c>
      <c r="D142">
        <v>34502206.656006955</v>
      </c>
      <c r="G142">
        <v>7</v>
      </c>
      <c r="H142">
        <v>7</v>
      </c>
      <c r="K142">
        <v>8</v>
      </c>
      <c r="L142">
        <v>7</v>
      </c>
      <c r="O142">
        <v>13292027.027027026</v>
      </c>
      <c r="P142">
        <v>13956396.396396397</v>
      </c>
      <c r="S142">
        <v>1984</v>
      </c>
      <c r="T142">
        <v>1876</v>
      </c>
    </row>
    <row r="143" spans="1:20" x14ac:dyDescent="0.35">
      <c r="A143" s="7" t="s">
        <v>233</v>
      </c>
      <c r="B143" s="12" t="s">
        <v>54</v>
      </c>
      <c r="C143">
        <v>17116351.290507223</v>
      </c>
      <c r="D143">
        <v>16024988.193882506</v>
      </c>
      <c r="E143">
        <v>9909.9099099100004</v>
      </c>
      <c r="F143">
        <v>15315.315315316</v>
      </c>
      <c r="G143">
        <v>2</v>
      </c>
      <c r="H143">
        <v>4</v>
      </c>
      <c r="K143">
        <v>14</v>
      </c>
      <c r="L143">
        <v>4</v>
      </c>
      <c r="M143">
        <v>145045.045045045</v>
      </c>
      <c r="N143">
        <v>831171.17117117101</v>
      </c>
      <c r="O143">
        <v>3090450.4504504511</v>
      </c>
      <c r="P143">
        <v>3044234.2342342339</v>
      </c>
      <c r="Q143">
        <v>1216936.936936937</v>
      </c>
      <c r="R143">
        <v>680540.54054054106</v>
      </c>
      <c r="S143">
        <v>1118</v>
      </c>
      <c r="T143">
        <v>1029</v>
      </c>
    </row>
    <row r="144" spans="1:20" x14ac:dyDescent="0.35">
      <c r="A144" s="7" t="s">
        <v>234</v>
      </c>
      <c r="B144" s="12" t="s">
        <v>167</v>
      </c>
      <c r="C144">
        <v>77748842.292168796</v>
      </c>
      <c r="D144">
        <v>72615310.352865234</v>
      </c>
      <c r="E144">
        <v>3603.603603604</v>
      </c>
      <c r="F144">
        <v>283783.78378378402</v>
      </c>
      <c r="G144">
        <v>4</v>
      </c>
      <c r="H144">
        <v>3</v>
      </c>
      <c r="K144">
        <v>5</v>
      </c>
      <c r="L144">
        <v>8</v>
      </c>
      <c r="M144">
        <v>4526486.486486489</v>
      </c>
      <c r="N144">
        <v>5743243.2432432454</v>
      </c>
      <c r="O144">
        <v>20793198.198198199</v>
      </c>
      <c r="P144">
        <v>19902900.9009009</v>
      </c>
      <c r="Q144">
        <v>3810133.3333333349</v>
      </c>
      <c r="R144">
        <v>3348288.2882882878</v>
      </c>
      <c r="S144">
        <v>4776</v>
      </c>
      <c r="T144">
        <v>5178</v>
      </c>
    </row>
    <row r="145" spans="1:20" x14ac:dyDescent="0.35">
      <c r="A145" s="7" t="s">
        <v>235</v>
      </c>
      <c r="B145" s="12" t="s">
        <v>236</v>
      </c>
      <c r="C145">
        <v>6185.0602862180003</v>
      </c>
      <c r="D145">
        <v>41.071011327000001</v>
      </c>
      <c r="S145">
        <v>46</v>
      </c>
      <c r="T145">
        <v>51</v>
      </c>
    </row>
    <row r="146" spans="1:20" x14ac:dyDescent="0.35">
      <c r="A146" s="7" t="s">
        <v>237</v>
      </c>
      <c r="B146" s="12" t="s">
        <v>105</v>
      </c>
      <c r="C146">
        <v>44147288.757616505</v>
      </c>
      <c r="D146">
        <v>42029119.845137402</v>
      </c>
      <c r="E146">
        <v>5647657.6576576577</v>
      </c>
      <c r="F146">
        <v>54054.054054054002</v>
      </c>
      <c r="G146">
        <v>7</v>
      </c>
      <c r="H146">
        <v>7</v>
      </c>
      <c r="K146">
        <v>7</v>
      </c>
      <c r="L146">
        <v>7</v>
      </c>
      <c r="M146">
        <v>4413243.2432432426</v>
      </c>
      <c r="N146">
        <v>4648648.6486486495</v>
      </c>
      <c r="O146">
        <v>12187603.603603603</v>
      </c>
      <c r="P146">
        <v>11177450.450450452</v>
      </c>
      <c r="Q146">
        <v>3734054.054054054</v>
      </c>
      <c r="R146">
        <v>3161081.0810810812</v>
      </c>
      <c r="S146">
        <v>2020</v>
      </c>
      <c r="T146">
        <v>1881</v>
      </c>
    </row>
    <row r="147" spans="1:20" x14ac:dyDescent="0.35">
      <c r="A147" s="7" t="s">
        <v>3</v>
      </c>
      <c r="B147" s="12" t="s">
        <v>158</v>
      </c>
      <c r="C147">
        <v>92020027.257378921</v>
      </c>
      <c r="D147">
        <v>86250070.809255853</v>
      </c>
      <c r="E147">
        <v>906756.75675675704</v>
      </c>
      <c r="F147">
        <v>1017117.117117118</v>
      </c>
      <c r="G147">
        <v>13</v>
      </c>
      <c r="H147">
        <v>4</v>
      </c>
      <c r="K147">
        <v>16</v>
      </c>
      <c r="L147">
        <v>8</v>
      </c>
      <c r="M147">
        <v>18897747.747747753</v>
      </c>
      <c r="N147">
        <v>15818018.018018018</v>
      </c>
      <c r="O147">
        <v>23400495.495495494</v>
      </c>
      <c r="P147">
        <v>24632684.684684683</v>
      </c>
      <c r="Q147">
        <v>19999729.729729731</v>
      </c>
      <c r="R147">
        <v>13959999.999999998</v>
      </c>
      <c r="S147">
        <v>3920</v>
      </c>
      <c r="T147">
        <v>3633</v>
      </c>
    </row>
    <row r="148" spans="1:20" x14ac:dyDescent="0.35">
      <c r="A148" s="7" t="s">
        <v>238</v>
      </c>
      <c r="B148" s="12" t="s">
        <v>178</v>
      </c>
      <c r="C148">
        <v>71529812.769833639</v>
      </c>
      <c r="D148">
        <v>70676477.81668441</v>
      </c>
      <c r="E148">
        <v>22522.522522521998</v>
      </c>
      <c r="F148">
        <v>233333.333333335</v>
      </c>
      <c r="G148">
        <v>13</v>
      </c>
      <c r="H148">
        <v>18</v>
      </c>
      <c r="K148">
        <v>19</v>
      </c>
      <c r="L148">
        <v>22</v>
      </c>
      <c r="M148">
        <v>6981981.9819819806</v>
      </c>
      <c r="N148">
        <v>8656756.7567567583</v>
      </c>
      <c r="O148">
        <v>23458378.378378376</v>
      </c>
      <c r="P148">
        <v>21131936.936936937</v>
      </c>
      <c r="Q148">
        <v>5713693.6936936937</v>
      </c>
      <c r="R148">
        <v>6853153.1531531541</v>
      </c>
      <c r="S148">
        <v>5488</v>
      </c>
      <c r="T148">
        <v>5003</v>
      </c>
    </row>
    <row r="149" spans="1:20" x14ac:dyDescent="0.35">
      <c r="A149" s="7" t="s">
        <v>239</v>
      </c>
      <c r="B149" s="12" t="s">
        <v>54</v>
      </c>
      <c r="C149">
        <v>53087828.316247135</v>
      </c>
      <c r="D149">
        <v>48730757.303489335</v>
      </c>
      <c r="E149">
        <v>657297.29729729705</v>
      </c>
      <c r="F149">
        <v>1022522.522522524</v>
      </c>
      <c r="G149">
        <v>5</v>
      </c>
      <c r="H149">
        <v>5</v>
      </c>
      <c r="K149">
        <v>8</v>
      </c>
      <c r="L149">
        <v>5</v>
      </c>
      <c r="M149">
        <v>4126666.666666666</v>
      </c>
      <c r="N149">
        <v>7266126.1261261273</v>
      </c>
      <c r="O149">
        <v>13891664.864864863</v>
      </c>
      <c r="P149">
        <v>12607538.73873874</v>
      </c>
      <c r="Q149">
        <v>5330133.3333333349</v>
      </c>
      <c r="R149">
        <v>6092205.405405405</v>
      </c>
      <c r="S149">
        <v>3607</v>
      </c>
      <c r="T149">
        <v>3498</v>
      </c>
    </row>
    <row r="150" spans="1:20" x14ac:dyDescent="0.35">
      <c r="A150" s="7" t="s">
        <v>240</v>
      </c>
      <c r="B150" s="12" t="s">
        <v>241</v>
      </c>
      <c r="C150">
        <v>44820800.693991005</v>
      </c>
      <c r="D150">
        <v>41966115.378217973</v>
      </c>
      <c r="E150">
        <v>92792.792792793</v>
      </c>
      <c r="F150">
        <v>259459.45945946101</v>
      </c>
      <c r="G150">
        <v>24</v>
      </c>
      <c r="H150">
        <v>16</v>
      </c>
      <c r="K150">
        <v>28</v>
      </c>
      <c r="L150">
        <v>19</v>
      </c>
      <c r="M150">
        <v>37140180.180180185</v>
      </c>
      <c r="N150">
        <v>3930810.8108108118</v>
      </c>
      <c r="O150">
        <v>10712522.522522522</v>
      </c>
      <c r="P150">
        <v>9903205.405405404</v>
      </c>
      <c r="Q150">
        <v>50058648.648648649</v>
      </c>
      <c r="R150">
        <v>2730900.9009009022</v>
      </c>
      <c r="S150">
        <v>2752</v>
      </c>
      <c r="T150">
        <v>2746</v>
      </c>
    </row>
    <row r="151" spans="1:20" x14ac:dyDescent="0.35">
      <c r="A151" s="7" t="s">
        <v>242</v>
      </c>
      <c r="B151" s="12" t="s">
        <v>241</v>
      </c>
      <c r="C151">
        <v>116194464.11274648</v>
      </c>
      <c r="D151">
        <v>110811487.83905768</v>
      </c>
      <c r="E151">
        <v>117117.117117117</v>
      </c>
      <c r="F151">
        <v>727927.92792793002</v>
      </c>
      <c r="G151">
        <v>44</v>
      </c>
      <c r="H151">
        <v>40</v>
      </c>
      <c r="K151">
        <v>52</v>
      </c>
      <c r="L151">
        <v>49</v>
      </c>
      <c r="M151">
        <v>16721441.441441437</v>
      </c>
      <c r="N151">
        <v>17986036.036036041</v>
      </c>
      <c r="O151">
        <v>34012405.405405402</v>
      </c>
      <c r="P151">
        <v>32783414.414414417</v>
      </c>
      <c r="Q151">
        <v>16958918.918918919</v>
      </c>
      <c r="R151">
        <v>15771081.081081081</v>
      </c>
      <c r="S151">
        <v>6865</v>
      </c>
      <c r="T151">
        <v>8167</v>
      </c>
    </row>
    <row r="152" spans="1:20" x14ac:dyDescent="0.35">
      <c r="A152" s="7" t="s">
        <v>243</v>
      </c>
      <c r="B152" s="12" t="s">
        <v>50</v>
      </c>
      <c r="C152">
        <v>22740135.764058813</v>
      </c>
      <c r="D152">
        <v>19413093.909094334</v>
      </c>
      <c r="E152">
        <v>968018.01801801904</v>
      </c>
      <c r="F152">
        <v>307207.20720720798</v>
      </c>
      <c r="G152">
        <v>4</v>
      </c>
      <c r="H152">
        <v>2</v>
      </c>
      <c r="K152">
        <v>4</v>
      </c>
      <c r="L152">
        <v>2</v>
      </c>
      <c r="M152">
        <v>2031081.0810810809</v>
      </c>
      <c r="N152">
        <v>1063963.963963964</v>
      </c>
      <c r="O152">
        <v>7182882.8828828828</v>
      </c>
      <c r="P152">
        <v>5625531.5315315323</v>
      </c>
      <c r="Q152">
        <v>2025405.405405405</v>
      </c>
      <c r="R152">
        <v>1165135.135135134</v>
      </c>
      <c r="S152">
        <v>1206</v>
      </c>
      <c r="T152">
        <v>1171</v>
      </c>
    </row>
    <row r="153" spans="1:20" x14ac:dyDescent="0.35">
      <c r="A153" s="7" t="s">
        <v>244</v>
      </c>
      <c r="B153" s="12" t="s">
        <v>181</v>
      </c>
      <c r="C153">
        <v>631713731.25607336</v>
      </c>
      <c r="D153">
        <v>574626920.45542634</v>
      </c>
      <c r="E153">
        <v>99054870.270270273</v>
      </c>
      <c r="F153">
        <v>76227590.090090111</v>
      </c>
      <c r="G153">
        <v>201</v>
      </c>
      <c r="H153">
        <v>171</v>
      </c>
      <c r="I153">
        <v>5</v>
      </c>
      <c r="K153">
        <v>259</v>
      </c>
      <c r="L153">
        <v>257</v>
      </c>
      <c r="M153">
        <v>60143963.963963941</v>
      </c>
      <c r="N153">
        <v>63984054.054054052</v>
      </c>
      <c r="O153">
        <v>123100981.98198198</v>
      </c>
      <c r="P153">
        <v>131373504.95495494</v>
      </c>
      <c r="Q153">
        <v>59419459.459459446</v>
      </c>
      <c r="R153">
        <v>61422522.522522517</v>
      </c>
      <c r="S153">
        <v>43258</v>
      </c>
      <c r="T153">
        <v>42473</v>
      </c>
    </row>
    <row r="154" spans="1:20" x14ac:dyDescent="0.35">
      <c r="A154" s="7" t="s">
        <v>245</v>
      </c>
      <c r="B154" s="12" t="s">
        <v>48</v>
      </c>
      <c r="C154">
        <v>29501008.302364264</v>
      </c>
      <c r="D154">
        <v>27028968.870440178</v>
      </c>
      <c r="F154">
        <v>18243.243243243</v>
      </c>
      <c r="G154">
        <v>3</v>
      </c>
      <c r="K154">
        <v>3</v>
      </c>
      <c r="L154">
        <v>1</v>
      </c>
      <c r="M154">
        <v>3602882.8828828838</v>
      </c>
      <c r="N154">
        <v>726126.12612612499</v>
      </c>
      <c r="O154">
        <v>7134414.4144144142</v>
      </c>
      <c r="P154">
        <v>6101054.0540540544</v>
      </c>
      <c r="Q154">
        <v>3737387.3873873898</v>
      </c>
      <c r="R154">
        <v>1666216.2162162149</v>
      </c>
      <c r="S154">
        <v>1821</v>
      </c>
      <c r="T154">
        <v>1826</v>
      </c>
    </row>
    <row r="155" spans="1:20" x14ac:dyDescent="0.35">
      <c r="A155" s="7" t="s">
        <v>246</v>
      </c>
      <c r="B155" s="12" t="s">
        <v>94</v>
      </c>
      <c r="C155">
        <v>11653866.182838961</v>
      </c>
      <c r="D155">
        <v>6686563.5858285213</v>
      </c>
      <c r="G155">
        <v>1</v>
      </c>
      <c r="K155">
        <v>1</v>
      </c>
      <c r="O155">
        <v>1831945.945945946</v>
      </c>
      <c r="P155">
        <v>1146567.567567568</v>
      </c>
      <c r="S155">
        <v>690</v>
      </c>
      <c r="T155">
        <v>635</v>
      </c>
    </row>
    <row r="156" spans="1:20" x14ac:dyDescent="0.35">
      <c r="A156" s="7" t="s">
        <v>247</v>
      </c>
      <c r="B156" s="12" t="s">
        <v>117</v>
      </c>
      <c r="C156">
        <v>23922471.37331323</v>
      </c>
      <c r="D156">
        <v>23573134.856819484</v>
      </c>
      <c r="E156">
        <v>296390.99099099298</v>
      </c>
      <c r="F156">
        <v>451619.81981982099</v>
      </c>
      <c r="G156">
        <v>3</v>
      </c>
      <c r="H156">
        <v>2</v>
      </c>
      <c r="K156">
        <v>12</v>
      </c>
      <c r="L156">
        <v>3</v>
      </c>
      <c r="M156">
        <v>3714414.4144144109</v>
      </c>
      <c r="N156">
        <v>887048.64864864899</v>
      </c>
      <c r="O156">
        <v>11127657.657657659</v>
      </c>
      <c r="P156">
        <v>12148630.630630633</v>
      </c>
      <c r="Q156">
        <v>4813603.6036036015</v>
      </c>
      <c r="R156">
        <v>2899279.2792792781</v>
      </c>
      <c r="S156">
        <v>1705</v>
      </c>
      <c r="T156">
        <v>1765</v>
      </c>
    </row>
    <row r="157" spans="1:20" x14ac:dyDescent="0.35">
      <c r="A157" s="7" t="s">
        <v>248</v>
      </c>
      <c r="B157" s="12" t="s">
        <v>121</v>
      </c>
      <c r="C157">
        <v>43369992.960710779</v>
      </c>
      <c r="D157">
        <v>42714332.076882064</v>
      </c>
      <c r="E157">
        <v>16216.216216217001</v>
      </c>
      <c r="F157">
        <v>557657.65765765798</v>
      </c>
      <c r="G157">
        <v>18</v>
      </c>
      <c r="H157">
        <v>31</v>
      </c>
      <c r="K157">
        <v>21</v>
      </c>
      <c r="L157">
        <v>37</v>
      </c>
      <c r="M157">
        <v>16216.216216217001</v>
      </c>
      <c r="N157">
        <v>3306306.3063063072</v>
      </c>
      <c r="O157">
        <v>4083099.0990990992</v>
      </c>
      <c r="P157">
        <v>4906171.1711711707</v>
      </c>
      <c r="Q157">
        <v>986126.12612612604</v>
      </c>
      <c r="R157">
        <v>1095135.1351351349</v>
      </c>
      <c r="S157">
        <v>2364</v>
      </c>
      <c r="T157">
        <v>2356</v>
      </c>
    </row>
    <row r="158" spans="1:20" x14ac:dyDescent="0.35">
      <c r="A158" s="7" t="s">
        <v>249</v>
      </c>
      <c r="B158" s="12" t="s">
        <v>76</v>
      </c>
      <c r="C158">
        <v>18402383.217357021</v>
      </c>
      <c r="D158">
        <v>17506882.206445571</v>
      </c>
      <c r="G158">
        <v>2</v>
      </c>
      <c r="H158">
        <v>3</v>
      </c>
      <c r="K158">
        <v>2</v>
      </c>
      <c r="L158">
        <v>3</v>
      </c>
      <c r="O158">
        <v>2069891.8918918921</v>
      </c>
      <c r="P158">
        <v>1697567.5675675671</v>
      </c>
      <c r="S158">
        <v>1666</v>
      </c>
      <c r="T158">
        <v>1633</v>
      </c>
    </row>
    <row r="159" spans="1:20" x14ac:dyDescent="0.35">
      <c r="A159" s="7" t="s">
        <v>250</v>
      </c>
      <c r="B159" s="12" t="s">
        <v>167</v>
      </c>
      <c r="C159">
        <v>57699289.683392391</v>
      </c>
      <c r="D159">
        <v>56439221.951412104</v>
      </c>
      <c r="G159">
        <v>1</v>
      </c>
      <c r="H159">
        <v>5</v>
      </c>
      <c r="K159">
        <v>1</v>
      </c>
      <c r="L159">
        <v>34</v>
      </c>
      <c r="M159">
        <v>688288.28828829003</v>
      </c>
      <c r="N159">
        <v>27027.027027028002</v>
      </c>
      <c r="O159">
        <v>9357522.522522524</v>
      </c>
      <c r="P159">
        <v>12237576.576576576</v>
      </c>
      <c r="Q159">
        <v>511531.53153153299</v>
      </c>
      <c r="R159">
        <v>452342.34234234301</v>
      </c>
      <c r="S159">
        <v>3757</v>
      </c>
      <c r="T159">
        <v>3617</v>
      </c>
    </row>
    <row r="160" spans="1:20" x14ac:dyDescent="0.35">
      <c r="A160" s="7" t="s">
        <v>251</v>
      </c>
      <c r="B160" s="12" t="s">
        <v>89</v>
      </c>
      <c r="C160">
        <v>177449917.21164799</v>
      </c>
      <c r="D160">
        <v>177299735.22829577</v>
      </c>
      <c r="E160">
        <v>2477387.3873873879</v>
      </c>
      <c r="F160">
        <v>781081.08108108304</v>
      </c>
      <c r="G160">
        <v>25</v>
      </c>
      <c r="H160">
        <v>23</v>
      </c>
      <c r="K160">
        <v>28</v>
      </c>
      <c r="L160">
        <v>30</v>
      </c>
      <c r="M160">
        <v>13251171.17117117</v>
      </c>
      <c r="N160">
        <v>14813693.693693694</v>
      </c>
      <c r="O160">
        <v>40574904.504504502</v>
      </c>
      <c r="P160">
        <v>42507990.990990989</v>
      </c>
      <c r="Q160">
        <v>14935495.495495496</v>
      </c>
      <c r="R160">
        <v>13418288.28828829</v>
      </c>
      <c r="S160">
        <v>10341</v>
      </c>
      <c r="T160">
        <v>10573</v>
      </c>
    </row>
    <row r="161" spans="1:20" x14ac:dyDescent="0.35">
      <c r="A161" s="7" t="s">
        <v>252</v>
      </c>
      <c r="B161" s="12" t="s">
        <v>78</v>
      </c>
      <c r="C161">
        <v>50979815.571845777</v>
      </c>
      <c r="D161">
        <v>49858044.214550853</v>
      </c>
      <c r="E161">
        <v>15124324.324324325</v>
      </c>
      <c r="F161">
        <v>34202702.702702701</v>
      </c>
      <c r="G161">
        <v>9</v>
      </c>
      <c r="H161">
        <v>5</v>
      </c>
      <c r="K161">
        <v>10</v>
      </c>
      <c r="L161">
        <v>5</v>
      </c>
      <c r="M161">
        <v>8520720.7207207195</v>
      </c>
      <c r="N161">
        <v>8121621.6216216208</v>
      </c>
      <c r="O161">
        <v>13872657.657657659</v>
      </c>
      <c r="P161">
        <v>14570306.306306308</v>
      </c>
      <c r="Q161">
        <v>6978378.3783783792</v>
      </c>
      <c r="R161">
        <v>8436126.1261261255</v>
      </c>
      <c r="S161">
        <v>2638</v>
      </c>
      <c r="T161">
        <v>2878</v>
      </c>
    </row>
    <row r="162" spans="1:20" x14ac:dyDescent="0.35">
      <c r="A162" s="7" t="s">
        <v>253</v>
      </c>
      <c r="B162" s="12" t="s">
        <v>105</v>
      </c>
      <c r="C162">
        <v>97197730.359901339</v>
      </c>
      <c r="D162">
        <v>96480621.146120071</v>
      </c>
      <c r="E162">
        <v>823598.19819819997</v>
      </c>
      <c r="F162">
        <v>1094821.621621625</v>
      </c>
      <c r="G162">
        <v>23</v>
      </c>
      <c r="H162">
        <v>20</v>
      </c>
      <c r="I162">
        <v>1</v>
      </c>
      <c r="K162">
        <v>28</v>
      </c>
      <c r="L162">
        <v>23</v>
      </c>
      <c r="M162">
        <v>14112612.612612613</v>
      </c>
      <c r="N162">
        <v>12775855.855855852</v>
      </c>
      <c r="O162">
        <v>28811378.378378376</v>
      </c>
      <c r="P162">
        <v>27249567.567567568</v>
      </c>
      <c r="Q162">
        <v>12054504.504504504</v>
      </c>
      <c r="R162">
        <v>11616486.486486483</v>
      </c>
      <c r="S162">
        <v>5469</v>
      </c>
      <c r="T162">
        <v>5236</v>
      </c>
    </row>
    <row r="163" spans="1:20" x14ac:dyDescent="0.35">
      <c r="A163" s="7" t="s">
        <v>254</v>
      </c>
      <c r="B163" s="12" t="s">
        <v>105</v>
      </c>
      <c r="C163">
        <v>62950854.906100005</v>
      </c>
      <c r="D163">
        <v>57605047.892928936</v>
      </c>
      <c r="E163">
        <v>518018.01801801799</v>
      </c>
      <c r="F163">
        <v>650450.450450451</v>
      </c>
      <c r="G163">
        <v>6</v>
      </c>
      <c r="H163">
        <v>6</v>
      </c>
      <c r="K163">
        <v>7</v>
      </c>
      <c r="L163">
        <v>7</v>
      </c>
      <c r="M163">
        <v>3423423.423423422</v>
      </c>
      <c r="N163">
        <v>4547747.7477477472</v>
      </c>
      <c r="O163">
        <v>19407522.52252252</v>
      </c>
      <c r="P163">
        <v>16832783.783783782</v>
      </c>
      <c r="Q163">
        <v>4094954.9549549539</v>
      </c>
      <c r="R163">
        <v>2853603.603603601</v>
      </c>
      <c r="S163">
        <v>3816</v>
      </c>
      <c r="T163">
        <v>3809</v>
      </c>
    </row>
    <row r="164" spans="1:20" x14ac:dyDescent="0.35">
      <c r="A164" s="7" t="s">
        <v>255</v>
      </c>
      <c r="B164" s="12" t="s">
        <v>105</v>
      </c>
      <c r="C164">
        <v>52482796.111561619</v>
      </c>
      <c r="D164">
        <v>52321102.075413942</v>
      </c>
      <c r="E164">
        <v>57657.657657657997</v>
      </c>
      <c r="G164">
        <v>4</v>
      </c>
      <c r="H164">
        <v>5</v>
      </c>
      <c r="K164">
        <v>4</v>
      </c>
      <c r="L164">
        <v>6</v>
      </c>
      <c r="M164">
        <v>57657.657657657997</v>
      </c>
      <c r="N164">
        <v>900900.90090090095</v>
      </c>
      <c r="O164">
        <v>10821891.891891891</v>
      </c>
      <c r="P164">
        <v>12678405.405405406</v>
      </c>
      <c r="Q164">
        <v>742162.16216216201</v>
      </c>
      <c r="R164">
        <v>671171.17117117101</v>
      </c>
      <c r="S164">
        <v>2146</v>
      </c>
      <c r="T164">
        <v>2154</v>
      </c>
    </row>
    <row r="165" spans="1:20" x14ac:dyDescent="0.35">
      <c r="A165" s="7" t="s">
        <v>256</v>
      </c>
      <c r="B165" s="12" t="s">
        <v>134</v>
      </c>
      <c r="C165">
        <v>92103659.388706863</v>
      </c>
      <c r="D165">
        <v>82849748.322015092</v>
      </c>
      <c r="F165">
        <v>360360.360360361</v>
      </c>
      <c r="G165">
        <v>14</v>
      </c>
      <c r="H165">
        <v>7</v>
      </c>
      <c r="K165">
        <v>14</v>
      </c>
      <c r="L165">
        <v>9</v>
      </c>
      <c r="M165">
        <v>1801801.8018018019</v>
      </c>
      <c r="N165">
        <v>360360.360360361</v>
      </c>
      <c r="O165">
        <v>6397612.6126126116</v>
      </c>
      <c r="P165">
        <v>5816900.9009009004</v>
      </c>
      <c r="Q165">
        <v>249099.099099099</v>
      </c>
      <c r="R165">
        <v>520270.27027027</v>
      </c>
      <c r="S165">
        <v>4098</v>
      </c>
      <c r="T165">
        <v>4973</v>
      </c>
    </row>
    <row r="166" spans="1:20" x14ac:dyDescent="0.35">
      <c r="A166" s="7" t="s">
        <v>257</v>
      </c>
      <c r="B166" s="12" t="s">
        <v>167</v>
      </c>
      <c r="C166">
        <v>30168993.387119263</v>
      </c>
      <c r="D166">
        <v>25718329.914159145</v>
      </c>
      <c r="F166">
        <v>900900.90090090095</v>
      </c>
      <c r="G166">
        <v>13</v>
      </c>
      <c r="H166">
        <v>3</v>
      </c>
      <c r="K166">
        <v>15</v>
      </c>
      <c r="L166">
        <v>5</v>
      </c>
      <c r="M166">
        <v>1376576.5765765789</v>
      </c>
      <c r="N166">
        <v>1801801.8018018019</v>
      </c>
      <c r="O166">
        <v>11064189.189189188</v>
      </c>
      <c r="P166">
        <v>8479720.7207207214</v>
      </c>
      <c r="Q166">
        <v>2208558.5585585618</v>
      </c>
      <c r="R166">
        <v>811891.89189189195</v>
      </c>
      <c r="S166">
        <v>2524</v>
      </c>
      <c r="T166">
        <v>2402</v>
      </c>
    </row>
    <row r="167" spans="1:20" x14ac:dyDescent="0.35">
      <c r="A167" s="7" t="s">
        <v>258</v>
      </c>
      <c r="B167" s="12" t="s">
        <v>60</v>
      </c>
      <c r="C167">
        <v>13211519.290540909</v>
      </c>
      <c r="D167">
        <v>11274280.457409175</v>
      </c>
      <c r="E167">
        <v>4954.9549549550002</v>
      </c>
      <c r="F167">
        <v>6306.3063063059999</v>
      </c>
      <c r="G167">
        <v>4</v>
      </c>
      <c r="H167">
        <v>6</v>
      </c>
      <c r="I167">
        <v>1</v>
      </c>
      <c r="K167">
        <v>5</v>
      </c>
      <c r="L167">
        <v>6</v>
      </c>
      <c r="M167">
        <v>2392342.3423423409</v>
      </c>
      <c r="N167">
        <v>2465765.7657657652</v>
      </c>
      <c r="O167">
        <v>4724189.1891891891</v>
      </c>
      <c r="P167">
        <v>3782918.9189189188</v>
      </c>
      <c r="Q167">
        <v>2284144.1441441439</v>
      </c>
      <c r="R167">
        <v>2376666.666666666</v>
      </c>
      <c r="S167">
        <v>653</v>
      </c>
      <c r="T167">
        <v>606</v>
      </c>
    </row>
    <row r="168" spans="1:20" x14ac:dyDescent="0.35">
      <c r="A168" s="7" t="s">
        <v>259</v>
      </c>
      <c r="B168" s="12" t="s">
        <v>260</v>
      </c>
      <c r="C168">
        <v>5657574.475697903</v>
      </c>
      <c r="D168">
        <v>6706472.9437771169</v>
      </c>
      <c r="E168">
        <v>153154350.45045045</v>
      </c>
      <c r="F168">
        <v>108997097.2972973</v>
      </c>
      <c r="G168">
        <v>2</v>
      </c>
      <c r="K168">
        <v>2</v>
      </c>
      <c r="L168">
        <v>1</v>
      </c>
      <c r="M168">
        <v>4577927.927927928</v>
      </c>
      <c r="N168">
        <v>19373423.423423424</v>
      </c>
      <c r="O168">
        <v>1271846.8468468471</v>
      </c>
      <c r="P168">
        <v>1053594.594594595</v>
      </c>
      <c r="Q168">
        <v>2259369.369369369</v>
      </c>
      <c r="R168">
        <v>384144.14414414403</v>
      </c>
      <c r="S168">
        <v>584</v>
      </c>
      <c r="T168">
        <v>540</v>
      </c>
    </row>
    <row r="169" spans="1:20" x14ac:dyDescent="0.35">
      <c r="A169" s="7" t="s">
        <v>261</v>
      </c>
      <c r="B169" s="12" t="s">
        <v>60</v>
      </c>
      <c r="C169">
        <v>108924422.42286715</v>
      </c>
      <c r="D169">
        <v>109423043.39204177</v>
      </c>
      <c r="E169">
        <v>119018938.73873873</v>
      </c>
      <c r="F169">
        <v>229441800.9009009</v>
      </c>
      <c r="G169">
        <v>33</v>
      </c>
      <c r="H169">
        <v>85</v>
      </c>
      <c r="I169">
        <v>6</v>
      </c>
      <c r="K169">
        <v>49</v>
      </c>
      <c r="L169">
        <v>197</v>
      </c>
      <c r="M169">
        <v>19315405.405405402</v>
      </c>
      <c r="N169">
        <v>32211711.711711716</v>
      </c>
      <c r="O169">
        <v>36309936.936936937</v>
      </c>
      <c r="P169">
        <v>39865261.261261262</v>
      </c>
      <c r="Q169">
        <v>17580180.180180181</v>
      </c>
      <c r="R169">
        <v>38580180.180180177</v>
      </c>
      <c r="S169">
        <v>6264</v>
      </c>
      <c r="T169">
        <v>6166</v>
      </c>
    </row>
    <row r="170" spans="1:20" x14ac:dyDescent="0.35">
      <c r="A170" s="7" t="s">
        <v>262</v>
      </c>
      <c r="B170" s="12" t="s">
        <v>123</v>
      </c>
      <c r="C170">
        <v>88574279.321613342</v>
      </c>
      <c r="D170">
        <v>80247817.3171065</v>
      </c>
      <c r="E170">
        <v>284234.23423423502</v>
      </c>
      <c r="F170">
        <v>153153.15315315401</v>
      </c>
      <c r="G170">
        <v>13</v>
      </c>
      <c r="H170">
        <v>12</v>
      </c>
      <c r="I170">
        <v>1</v>
      </c>
      <c r="K170">
        <v>19</v>
      </c>
      <c r="L170">
        <v>15</v>
      </c>
      <c r="M170">
        <v>6015045.0450450471</v>
      </c>
      <c r="N170">
        <v>6094594.594594595</v>
      </c>
      <c r="O170">
        <v>33852468.468468465</v>
      </c>
      <c r="P170">
        <v>32074414.414414417</v>
      </c>
      <c r="Q170">
        <v>4918108.1081081089</v>
      </c>
      <c r="R170">
        <v>4190360.3603603598</v>
      </c>
      <c r="S170">
        <v>5763</v>
      </c>
      <c r="T170">
        <v>5564</v>
      </c>
    </row>
    <row r="171" spans="1:20" x14ac:dyDescent="0.35">
      <c r="A171" s="7" t="s">
        <v>263</v>
      </c>
      <c r="B171" s="12" t="s">
        <v>123</v>
      </c>
      <c r="C171">
        <v>36454219.073957913</v>
      </c>
      <c r="D171">
        <v>34808948.557845071</v>
      </c>
      <c r="E171">
        <v>155855.855855856</v>
      </c>
      <c r="F171">
        <v>295720.72072072199</v>
      </c>
      <c r="G171">
        <v>11</v>
      </c>
      <c r="H171">
        <v>15</v>
      </c>
      <c r="K171">
        <v>15</v>
      </c>
      <c r="L171">
        <v>15</v>
      </c>
      <c r="M171">
        <v>6938828.8288288303</v>
      </c>
      <c r="N171">
        <v>10567657.657657659</v>
      </c>
      <c r="O171">
        <v>14851342.342342341</v>
      </c>
      <c r="P171">
        <v>14653108.108108109</v>
      </c>
      <c r="Q171">
        <v>7342792.7927927952</v>
      </c>
      <c r="R171">
        <v>8731531.5315315332</v>
      </c>
      <c r="S171">
        <v>2342</v>
      </c>
      <c r="T171">
        <v>2404</v>
      </c>
    </row>
    <row r="172" spans="1:20" x14ac:dyDescent="0.35">
      <c r="A172" s="7" t="s">
        <v>665</v>
      </c>
      <c r="B172" s="12" t="s">
        <v>123</v>
      </c>
      <c r="E172">
        <v>21621621.621621624</v>
      </c>
      <c r="M172">
        <v>222747.74774774801</v>
      </c>
      <c r="N172">
        <v>170720.720720721</v>
      </c>
    </row>
    <row r="173" spans="1:20" x14ac:dyDescent="0.35">
      <c r="A173" s="7" t="s">
        <v>264</v>
      </c>
      <c r="B173" s="12" t="s">
        <v>125</v>
      </c>
      <c r="C173">
        <v>90593432.790913433</v>
      </c>
      <c r="D173">
        <v>86031899.921429545</v>
      </c>
      <c r="E173">
        <v>8558.5585585589997</v>
      </c>
      <c r="F173">
        <v>504504.50450450502</v>
      </c>
      <c r="G173">
        <v>7</v>
      </c>
      <c r="H173">
        <v>19</v>
      </c>
      <c r="K173">
        <v>7</v>
      </c>
      <c r="L173">
        <v>21</v>
      </c>
      <c r="M173">
        <v>11927477.47747748</v>
      </c>
      <c r="N173">
        <v>7886486.4864864852</v>
      </c>
      <c r="O173">
        <v>28140540.540540539</v>
      </c>
      <c r="P173">
        <v>29084511.711711712</v>
      </c>
      <c r="Q173">
        <v>10552432.432432432</v>
      </c>
      <c r="R173">
        <v>5783783.7837837869</v>
      </c>
      <c r="S173">
        <v>4255</v>
      </c>
      <c r="T173">
        <v>4411</v>
      </c>
    </row>
    <row r="174" spans="1:20" x14ac:dyDescent="0.35">
      <c r="A174" s="7" t="s">
        <v>265</v>
      </c>
      <c r="B174" s="12" t="s">
        <v>123</v>
      </c>
      <c r="C174">
        <v>89635068.689632103</v>
      </c>
      <c r="D174">
        <v>82371926.279134676</v>
      </c>
      <c r="E174">
        <v>20720.720720722002</v>
      </c>
      <c r="F174">
        <v>332432.432432434</v>
      </c>
      <c r="G174">
        <v>19</v>
      </c>
      <c r="H174">
        <v>7</v>
      </c>
      <c r="K174">
        <v>23</v>
      </c>
      <c r="L174">
        <v>8</v>
      </c>
      <c r="M174">
        <v>9323243.2432432435</v>
      </c>
      <c r="N174">
        <v>10920540.540540541</v>
      </c>
      <c r="O174">
        <v>30487162.162162159</v>
      </c>
      <c r="P174">
        <v>29144198.198198199</v>
      </c>
      <c r="Q174">
        <v>7112072.072072072</v>
      </c>
      <c r="R174">
        <v>8029909.9099099096</v>
      </c>
      <c r="S174">
        <v>4851</v>
      </c>
      <c r="T174">
        <v>4635</v>
      </c>
    </row>
    <row r="175" spans="1:20" x14ac:dyDescent="0.35">
      <c r="A175" s="7" t="s">
        <v>266</v>
      </c>
      <c r="B175" s="12" t="s">
        <v>123</v>
      </c>
      <c r="C175">
        <v>86276613.579500422</v>
      </c>
      <c r="D175">
        <v>88171818.064037204</v>
      </c>
      <c r="E175">
        <v>702702.70270270295</v>
      </c>
      <c r="F175">
        <v>1282432.4324324329</v>
      </c>
      <c r="G175">
        <v>7</v>
      </c>
      <c r="H175">
        <v>17</v>
      </c>
      <c r="K175">
        <v>12</v>
      </c>
      <c r="L175">
        <v>19</v>
      </c>
      <c r="M175">
        <v>10278738.738738738</v>
      </c>
      <c r="N175">
        <v>11207567.56756757</v>
      </c>
      <c r="O175">
        <v>35086846.846846849</v>
      </c>
      <c r="P175">
        <v>35906738.738738738</v>
      </c>
      <c r="Q175">
        <v>9817117.11711712</v>
      </c>
      <c r="R175">
        <v>10414144.144144144</v>
      </c>
      <c r="S175">
        <v>5442</v>
      </c>
      <c r="T175">
        <v>5415</v>
      </c>
    </row>
    <row r="176" spans="1:20" x14ac:dyDescent="0.35">
      <c r="A176" s="7" t="s">
        <v>267</v>
      </c>
      <c r="B176" s="12" t="s">
        <v>178</v>
      </c>
      <c r="C176">
        <v>458645373.30890113</v>
      </c>
      <c r="D176">
        <v>436224844.57792473</v>
      </c>
      <c r="E176">
        <v>30448523.423423428</v>
      </c>
      <c r="F176">
        <v>383946588.2882883</v>
      </c>
      <c r="G176">
        <v>175</v>
      </c>
      <c r="H176">
        <v>110</v>
      </c>
      <c r="K176">
        <v>362</v>
      </c>
      <c r="L176">
        <v>358</v>
      </c>
      <c r="M176">
        <v>65762972.972972974</v>
      </c>
      <c r="N176">
        <v>61326780.180180185</v>
      </c>
      <c r="O176">
        <v>134105126.12612613</v>
      </c>
      <c r="P176">
        <v>130285711.7117117</v>
      </c>
      <c r="Q176">
        <v>63341891.891891897</v>
      </c>
      <c r="R176">
        <v>53676846.846846849</v>
      </c>
      <c r="S176">
        <v>32685</v>
      </c>
      <c r="T176">
        <v>31708</v>
      </c>
    </row>
    <row r="177" spans="1:20" x14ac:dyDescent="0.35">
      <c r="A177" s="7" t="s">
        <v>268</v>
      </c>
      <c r="B177" s="12" t="s">
        <v>62</v>
      </c>
      <c r="C177">
        <v>71985906.530296206</v>
      </c>
      <c r="D177">
        <v>76541770.715579674</v>
      </c>
      <c r="E177">
        <v>773963.96396396495</v>
      </c>
      <c r="F177">
        <v>1190990.990990994</v>
      </c>
      <c r="G177">
        <v>12</v>
      </c>
      <c r="H177">
        <v>27</v>
      </c>
      <c r="K177">
        <v>13</v>
      </c>
      <c r="L177">
        <v>31</v>
      </c>
      <c r="M177">
        <v>4740810.810810809</v>
      </c>
      <c r="N177">
        <v>7175945.9459459474</v>
      </c>
      <c r="O177">
        <v>22402972.97297297</v>
      </c>
      <c r="P177">
        <v>22951207.207207207</v>
      </c>
      <c r="Q177">
        <v>6011531.5315315342</v>
      </c>
      <c r="R177">
        <v>13352612.612612613</v>
      </c>
      <c r="S177">
        <v>4697</v>
      </c>
      <c r="T177">
        <v>4731</v>
      </c>
    </row>
    <row r="178" spans="1:20" x14ac:dyDescent="0.35">
      <c r="A178" s="7" t="s">
        <v>269</v>
      </c>
      <c r="B178" s="12" t="s">
        <v>70</v>
      </c>
      <c r="C178">
        <v>96815127.980532467</v>
      </c>
      <c r="D178">
        <v>97294115.009539738</v>
      </c>
      <c r="E178">
        <v>1882882.882882884</v>
      </c>
      <c r="F178">
        <v>386486.48648649</v>
      </c>
      <c r="G178">
        <v>21</v>
      </c>
      <c r="H178">
        <v>27</v>
      </c>
      <c r="K178">
        <v>25</v>
      </c>
      <c r="L178">
        <v>35</v>
      </c>
      <c r="M178">
        <v>12091216.216216212</v>
      </c>
      <c r="N178">
        <v>8153153.1531531587</v>
      </c>
      <c r="O178">
        <v>41171432.432432435</v>
      </c>
      <c r="P178">
        <v>42338036.036036037</v>
      </c>
      <c r="Q178">
        <v>9553738.7387387324</v>
      </c>
      <c r="R178">
        <v>7160360.3603603672</v>
      </c>
      <c r="S178">
        <v>6876</v>
      </c>
      <c r="T178">
        <v>6987</v>
      </c>
    </row>
    <row r="179" spans="1:20" x14ac:dyDescent="0.35">
      <c r="A179" s="7" t="s">
        <v>270</v>
      </c>
      <c r="B179" s="12" t="s">
        <v>134</v>
      </c>
      <c r="C179">
        <v>753267.10599500895</v>
      </c>
      <c r="D179">
        <v>864363.39839830599</v>
      </c>
      <c r="O179">
        <v>89189.189189188997</v>
      </c>
      <c r="P179">
        <v>86126.126126125993</v>
      </c>
      <c r="S179">
        <v>188</v>
      </c>
      <c r="T179">
        <v>244</v>
      </c>
    </row>
    <row r="180" spans="1:20" x14ac:dyDescent="0.35">
      <c r="A180" s="7" t="s">
        <v>271</v>
      </c>
      <c r="B180" s="12" t="s">
        <v>76</v>
      </c>
      <c r="C180">
        <v>43646284.663662627</v>
      </c>
      <c r="D180">
        <v>44928994.099036194</v>
      </c>
      <c r="F180">
        <v>27027.027027027001</v>
      </c>
      <c r="G180">
        <v>15</v>
      </c>
      <c r="H180">
        <v>9</v>
      </c>
      <c r="K180">
        <v>18</v>
      </c>
      <c r="L180">
        <v>9</v>
      </c>
      <c r="N180">
        <v>27027.027027027001</v>
      </c>
      <c r="O180">
        <v>2928558.5585585581</v>
      </c>
      <c r="P180">
        <v>3639378.3783783782</v>
      </c>
      <c r="Q180">
        <v>69369.369369369</v>
      </c>
      <c r="R180">
        <v>128828.82882882901</v>
      </c>
      <c r="S180">
        <v>2433</v>
      </c>
      <c r="T180">
        <v>2434</v>
      </c>
    </row>
    <row r="181" spans="1:20" x14ac:dyDescent="0.35">
      <c r="A181" s="7" t="s">
        <v>272</v>
      </c>
      <c r="B181" s="12" t="s">
        <v>76</v>
      </c>
      <c r="C181">
        <v>16178363.890914025</v>
      </c>
      <c r="D181">
        <v>15274488.62181388</v>
      </c>
      <c r="E181">
        <v>53603.603603604002</v>
      </c>
      <c r="F181">
        <v>36036.036036035999</v>
      </c>
      <c r="G181">
        <v>11</v>
      </c>
      <c r="H181">
        <v>1</v>
      </c>
      <c r="K181">
        <v>13</v>
      </c>
      <c r="L181">
        <v>2</v>
      </c>
      <c r="M181">
        <v>3112162.1621621619</v>
      </c>
      <c r="N181">
        <v>4648648.6486486476</v>
      </c>
      <c r="O181">
        <v>6312747.7477477482</v>
      </c>
      <c r="P181">
        <v>5173702.702702703</v>
      </c>
      <c r="Q181">
        <v>3818918.9189189202</v>
      </c>
      <c r="R181">
        <v>4115225.225225226</v>
      </c>
      <c r="S181">
        <v>808</v>
      </c>
      <c r="T181">
        <v>814</v>
      </c>
    </row>
    <row r="182" spans="1:20" x14ac:dyDescent="0.35">
      <c r="A182" s="7" t="s">
        <v>273</v>
      </c>
      <c r="B182" s="12" t="s">
        <v>260</v>
      </c>
      <c r="C182">
        <v>344494093.08637136</v>
      </c>
      <c r="D182">
        <v>311418543.3576532</v>
      </c>
      <c r="E182">
        <v>2654504.5045045088</v>
      </c>
      <c r="F182">
        <v>4332432.4324324317</v>
      </c>
      <c r="G182">
        <v>56</v>
      </c>
      <c r="H182">
        <v>82</v>
      </c>
      <c r="K182">
        <v>72</v>
      </c>
      <c r="L182">
        <v>110</v>
      </c>
      <c r="M182">
        <v>68978828.828828827</v>
      </c>
      <c r="N182">
        <v>66952252.252252251</v>
      </c>
      <c r="O182">
        <v>92169216.216216221</v>
      </c>
      <c r="P182">
        <v>96022252.252252251</v>
      </c>
      <c r="Q182">
        <v>62832342.342342347</v>
      </c>
      <c r="R182">
        <v>47707567.567567565</v>
      </c>
      <c r="S182">
        <v>19025</v>
      </c>
      <c r="T182">
        <v>18697</v>
      </c>
    </row>
    <row r="183" spans="1:20" x14ac:dyDescent="0.35">
      <c r="A183" s="7" t="s">
        <v>274</v>
      </c>
      <c r="B183" s="12" t="s">
        <v>260</v>
      </c>
      <c r="C183">
        <v>79618072.233865961</v>
      </c>
      <c r="D183">
        <v>68175002.119919077</v>
      </c>
      <c r="E183">
        <v>418018.01801801799</v>
      </c>
      <c r="F183">
        <v>1059009.0090090099</v>
      </c>
      <c r="G183">
        <v>5</v>
      </c>
      <c r="H183">
        <v>5</v>
      </c>
      <c r="K183">
        <v>5</v>
      </c>
      <c r="L183">
        <v>6</v>
      </c>
      <c r="M183">
        <v>4111711.7117117108</v>
      </c>
      <c r="N183">
        <v>5490990.9909909917</v>
      </c>
      <c r="O183">
        <v>13680198.198198196</v>
      </c>
      <c r="P183">
        <v>13555432.432432432</v>
      </c>
      <c r="Q183">
        <v>3977027.0270270272</v>
      </c>
      <c r="R183">
        <v>4732882.8828828828</v>
      </c>
      <c r="S183">
        <v>3785</v>
      </c>
      <c r="T183">
        <v>3503</v>
      </c>
    </row>
    <row r="184" spans="1:20" x14ac:dyDescent="0.35">
      <c r="A184" s="7" t="s">
        <v>275</v>
      </c>
      <c r="B184" s="12" t="s">
        <v>260</v>
      </c>
      <c r="C184">
        <v>84269110.336050346</v>
      </c>
      <c r="D184">
        <v>70478179.967416689</v>
      </c>
      <c r="E184">
        <v>4628828.8288288303</v>
      </c>
      <c r="F184">
        <v>1486036.036036036</v>
      </c>
      <c r="G184">
        <v>9</v>
      </c>
      <c r="H184">
        <v>6</v>
      </c>
      <c r="K184">
        <v>11</v>
      </c>
      <c r="L184">
        <v>6</v>
      </c>
      <c r="M184">
        <v>18753153.153153151</v>
      </c>
      <c r="N184">
        <v>13899099.0990991</v>
      </c>
      <c r="O184">
        <v>18685585.585585583</v>
      </c>
      <c r="P184">
        <v>15657954.954954952</v>
      </c>
      <c r="Q184">
        <v>19743963.963963963</v>
      </c>
      <c r="R184">
        <v>12841261.26126126</v>
      </c>
      <c r="S184">
        <v>5933</v>
      </c>
      <c r="T184">
        <v>5885</v>
      </c>
    </row>
    <row r="185" spans="1:20" x14ac:dyDescent="0.35">
      <c r="A185" s="7" t="s">
        <v>276</v>
      </c>
      <c r="B185" s="12" t="s">
        <v>134</v>
      </c>
      <c r="C185">
        <v>103520193.5021469</v>
      </c>
      <c r="D185">
        <v>100183836.44424723</v>
      </c>
      <c r="E185">
        <v>10810.810810812</v>
      </c>
      <c r="F185">
        <v>144144.14414414499</v>
      </c>
      <c r="G185">
        <v>17</v>
      </c>
      <c r="H185">
        <v>19</v>
      </c>
      <c r="K185">
        <v>18</v>
      </c>
      <c r="L185">
        <v>21</v>
      </c>
      <c r="M185">
        <v>3163963.963963964</v>
      </c>
      <c r="N185">
        <v>5099099.0990990978</v>
      </c>
      <c r="O185">
        <v>8605630.630630631</v>
      </c>
      <c r="P185">
        <v>8076265.7657657666</v>
      </c>
      <c r="Q185">
        <v>2487117.1171171172</v>
      </c>
      <c r="R185">
        <v>2192792.792792792</v>
      </c>
      <c r="S185">
        <v>6164</v>
      </c>
      <c r="T185">
        <v>5328</v>
      </c>
    </row>
    <row r="186" spans="1:20" x14ac:dyDescent="0.35">
      <c r="A186" s="7" t="s">
        <v>277</v>
      </c>
      <c r="B186" s="12" t="s">
        <v>169</v>
      </c>
      <c r="C186">
        <v>72204742.124016836</v>
      </c>
      <c r="D186">
        <v>56139946.161667578</v>
      </c>
      <c r="E186">
        <v>36036.036036035999</v>
      </c>
      <c r="F186">
        <v>56756.756756757</v>
      </c>
      <c r="G186">
        <v>10</v>
      </c>
      <c r="H186">
        <v>6</v>
      </c>
      <c r="K186">
        <v>10</v>
      </c>
      <c r="L186">
        <v>7</v>
      </c>
      <c r="M186">
        <v>5441441.4414414419</v>
      </c>
      <c r="N186">
        <v>3678378.3783783792</v>
      </c>
      <c r="O186">
        <v>28144486.486486487</v>
      </c>
      <c r="P186">
        <v>25879360.360360362</v>
      </c>
      <c r="Q186">
        <v>4082972.9729729719</v>
      </c>
      <c r="R186">
        <v>2744324.3243243238</v>
      </c>
      <c r="S186">
        <v>3332</v>
      </c>
      <c r="T186">
        <v>3252</v>
      </c>
    </row>
    <row r="187" spans="1:20" x14ac:dyDescent="0.35">
      <c r="A187" s="7" t="s">
        <v>278</v>
      </c>
      <c r="B187" s="12" t="s">
        <v>169</v>
      </c>
      <c r="C187">
        <v>31690685.217189897</v>
      </c>
      <c r="D187">
        <v>28598071.06649588</v>
      </c>
      <c r="E187">
        <v>900.900900901</v>
      </c>
      <c r="F187">
        <v>2702.7027027029999</v>
      </c>
      <c r="G187">
        <v>1</v>
      </c>
      <c r="H187">
        <v>5</v>
      </c>
      <c r="K187">
        <v>1</v>
      </c>
      <c r="L187">
        <v>5</v>
      </c>
      <c r="M187">
        <v>901801.80180180201</v>
      </c>
      <c r="N187">
        <v>1804504.5045045051</v>
      </c>
      <c r="O187">
        <v>11639855.855855856</v>
      </c>
      <c r="P187">
        <v>12944527.027027028</v>
      </c>
      <c r="Q187">
        <v>1444594.594594595</v>
      </c>
      <c r="R187">
        <v>1324864.8648648639</v>
      </c>
      <c r="S187">
        <v>2004</v>
      </c>
      <c r="T187">
        <v>1889</v>
      </c>
    </row>
    <row r="188" spans="1:20" x14ac:dyDescent="0.35">
      <c r="A188" s="7" t="s">
        <v>279</v>
      </c>
      <c r="B188" s="12" t="s">
        <v>87</v>
      </c>
      <c r="C188">
        <v>915581.80013026204</v>
      </c>
      <c r="D188">
        <v>891618.70907302795</v>
      </c>
      <c r="G188">
        <v>1</v>
      </c>
      <c r="H188">
        <v>1</v>
      </c>
      <c r="K188">
        <v>1</v>
      </c>
      <c r="L188">
        <v>1</v>
      </c>
      <c r="O188">
        <v>522745.94594594598</v>
      </c>
      <c r="P188">
        <v>370189.189189189</v>
      </c>
      <c r="S188">
        <v>190</v>
      </c>
      <c r="T188">
        <v>182</v>
      </c>
    </row>
    <row r="189" spans="1:20" x14ac:dyDescent="0.35">
      <c r="A189" s="7" t="s">
        <v>280</v>
      </c>
      <c r="B189" s="12" t="s">
        <v>169</v>
      </c>
      <c r="C189">
        <v>55198044.032459579</v>
      </c>
      <c r="D189">
        <v>58982287.689360186</v>
      </c>
      <c r="E189">
        <v>694144.14414414403</v>
      </c>
      <c r="F189">
        <v>272072.07207207201</v>
      </c>
      <c r="G189">
        <v>4</v>
      </c>
      <c r="H189">
        <v>11</v>
      </c>
      <c r="K189">
        <v>5</v>
      </c>
      <c r="L189">
        <v>14</v>
      </c>
      <c r="M189">
        <v>4340090.0900900885</v>
      </c>
      <c r="N189">
        <v>11570810.810810808</v>
      </c>
      <c r="O189">
        <v>19736351.351351351</v>
      </c>
      <c r="P189">
        <v>25373531.531531531</v>
      </c>
      <c r="Q189">
        <v>6168648.6486486476</v>
      </c>
      <c r="R189">
        <v>11533423.423423424</v>
      </c>
      <c r="S189">
        <v>4057</v>
      </c>
      <c r="T189">
        <v>4281</v>
      </c>
    </row>
    <row r="190" spans="1:20" x14ac:dyDescent="0.35">
      <c r="A190" s="7" t="s">
        <v>281</v>
      </c>
      <c r="B190" s="12" t="s">
        <v>54</v>
      </c>
      <c r="C190">
        <v>44959765.338272087</v>
      </c>
      <c r="D190">
        <v>44015613.491570018</v>
      </c>
      <c r="E190">
        <v>30180.180180181</v>
      </c>
      <c r="F190">
        <v>252252.25225225399</v>
      </c>
      <c r="G190">
        <v>12</v>
      </c>
      <c r="H190">
        <v>12</v>
      </c>
      <c r="K190">
        <v>18</v>
      </c>
      <c r="L190">
        <v>16</v>
      </c>
      <c r="M190">
        <v>3419369.3693693681</v>
      </c>
      <c r="N190">
        <v>4263963.9639639631</v>
      </c>
      <c r="O190">
        <v>9477693.6936936919</v>
      </c>
      <c r="P190">
        <v>9583225.2252252232</v>
      </c>
      <c r="Q190">
        <v>3733243.2432432431</v>
      </c>
      <c r="R190">
        <v>4345855.8558558561</v>
      </c>
      <c r="S190">
        <v>3720</v>
      </c>
      <c r="T190">
        <v>3694</v>
      </c>
    </row>
    <row r="191" spans="1:20" x14ac:dyDescent="0.35">
      <c r="A191" s="7" t="s">
        <v>282</v>
      </c>
      <c r="B191" s="12" t="s">
        <v>283</v>
      </c>
      <c r="C191">
        <v>72608283.01322782</v>
      </c>
      <c r="D191">
        <v>55828332.082426488</v>
      </c>
      <c r="E191">
        <v>6756.7567567570004</v>
      </c>
      <c r="F191">
        <v>83783.783783784005</v>
      </c>
      <c r="G191">
        <v>25</v>
      </c>
      <c r="H191">
        <v>5</v>
      </c>
      <c r="K191">
        <v>25</v>
      </c>
      <c r="L191">
        <v>13</v>
      </c>
      <c r="M191">
        <v>772522.52252252295</v>
      </c>
      <c r="N191">
        <v>1074774.7747747749</v>
      </c>
      <c r="O191">
        <v>8690495.4954954945</v>
      </c>
      <c r="P191">
        <v>9910720.7207207214</v>
      </c>
      <c r="Q191">
        <v>1440000.0000000009</v>
      </c>
      <c r="R191">
        <v>1885855.8558558549</v>
      </c>
      <c r="S191">
        <v>3259</v>
      </c>
      <c r="T191">
        <v>2926</v>
      </c>
    </row>
    <row r="192" spans="1:20" x14ac:dyDescent="0.35">
      <c r="A192" s="7" t="s">
        <v>284</v>
      </c>
      <c r="B192" s="12" t="s">
        <v>283</v>
      </c>
      <c r="C192">
        <v>122803330.14793172</v>
      </c>
      <c r="D192">
        <v>126004306.30824414</v>
      </c>
      <c r="E192">
        <v>477927.92792792799</v>
      </c>
      <c r="F192">
        <v>705855.85585585702</v>
      </c>
      <c r="G192">
        <v>17</v>
      </c>
      <c r="H192">
        <v>13</v>
      </c>
      <c r="K192">
        <v>23</v>
      </c>
      <c r="L192">
        <v>19</v>
      </c>
      <c r="M192">
        <v>13791441.441441439</v>
      </c>
      <c r="N192">
        <v>11843243.243243242</v>
      </c>
      <c r="O192">
        <v>25305720.72072072</v>
      </c>
      <c r="P192">
        <v>25335887.387387387</v>
      </c>
      <c r="Q192">
        <v>11569009.009009009</v>
      </c>
      <c r="R192">
        <v>11618738.73873874</v>
      </c>
      <c r="S192">
        <v>8161</v>
      </c>
      <c r="T192">
        <v>8085</v>
      </c>
    </row>
    <row r="193" spans="1:20" x14ac:dyDescent="0.35">
      <c r="A193" s="7" t="s">
        <v>285</v>
      </c>
      <c r="B193" s="12" t="s">
        <v>283</v>
      </c>
      <c r="C193">
        <v>66513547.539949216</v>
      </c>
      <c r="D193">
        <v>67145735.776336044</v>
      </c>
      <c r="E193">
        <v>40577771.171171166</v>
      </c>
      <c r="F193">
        <v>155610093.6936937</v>
      </c>
      <c r="G193">
        <v>25</v>
      </c>
      <c r="H193">
        <v>6</v>
      </c>
      <c r="K193">
        <v>25</v>
      </c>
      <c r="L193">
        <v>17</v>
      </c>
      <c r="M193">
        <v>18922522.522522524</v>
      </c>
      <c r="N193">
        <v>21167256.75675676</v>
      </c>
      <c r="O193">
        <v>21381153.153153151</v>
      </c>
      <c r="P193">
        <v>20779855.855855856</v>
      </c>
      <c r="Q193">
        <v>13604504.504504504</v>
      </c>
      <c r="R193">
        <v>13716576.576576576</v>
      </c>
      <c r="S193">
        <v>5385</v>
      </c>
      <c r="T193">
        <v>4768</v>
      </c>
    </row>
    <row r="194" spans="1:20" x14ac:dyDescent="0.35">
      <c r="A194" s="7" t="s">
        <v>286</v>
      </c>
      <c r="B194" s="12" t="s">
        <v>283</v>
      </c>
      <c r="C194">
        <v>50292094.680140801</v>
      </c>
      <c r="D194">
        <v>49358689.42530527</v>
      </c>
      <c r="E194">
        <v>9909.9099099110008</v>
      </c>
      <c r="F194">
        <v>14414.414414415</v>
      </c>
      <c r="G194">
        <v>5</v>
      </c>
      <c r="H194">
        <v>2</v>
      </c>
      <c r="K194">
        <v>7</v>
      </c>
      <c r="L194">
        <v>2</v>
      </c>
      <c r="M194">
        <v>9909.9099099110008</v>
      </c>
      <c r="N194">
        <v>4996396.3963963958</v>
      </c>
      <c r="O194">
        <v>7645540.5405405397</v>
      </c>
      <c r="P194">
        <v>9756432.4324324317</v>
      </c>
      <c r="Q194">
        <v>1137477.4774774781</v>
      </c>
      <c r="R194">
        <v>5561801.8018018007</v>
      </c>
      <c r="S194">
        <v>2505</v>
      </c>
      <c r="T194">
        <v>2668</v>
      </c>
    </row>
    <row r="195" spans="1:20" x14ac:dyDescent="0.35">
      <c r="A195" s="7" t="s">
        <v>287</v>
      </c>
      <c r="B195" s="12" t="s">
        <v>283</v>
      </c>
      <c r="C195">
        <v>23147769.037059039</v>
      </c>
      <c r="D195">
        <v>24998758.165701531</v>
      </c>
      <c r="E195">
        <v>1801.801801802</v>
      </c>
      <c r="F195">
        <v>41441.441441442003</v>
      </c>
      <c r="G195">
        <v>3</v>
      </c>
      <c r="K195">
        <v>3</v>
      </c>
      <c r="M195">
        <v>1801.801801802</v>
      </c>
      <c r="N195">
        <v>4654054.0540540554</v>
      </c>
      <c r="O195">
        <v>4200765.7657657657</v>
      </c>
      <c r="P195">
        <v>4200306.3063063072</v>
      </c>
      <c r="R195">
        <v>4765765.7657657657</v>
      </c>
      <c r="S195">
        <v>1320</v>
      </c>
      <c r="T195">
        <v>1388</v>
      </c>
    </row>
    <row r="196" spans="1:20" x14ac:dyDescent="0.35">
      <c r="A196" s="7" t="s">
        <v>288</v>
      </c>
      <c r="B196" s="12" t="s">
        <v>283</v>
      </c>
      <c r="C196">
        <v>4328870.1653827308</v>
      </c>
      <c r="D196">
        <v>4129318.4507369278</v>
      </c>
      <c r="G196">
        <v>1</v>
      </c>
      <c r="K196">
        <v>1</v>
      </c>
      <c r="O196">
        <v>473648.64864864899</v>
      </c>
      <c r="P196">
        <v>677576.57657657703</v>
      </c>
      <c r="S196">
        <v>281</v>
      </c>
      <c r="T196">
        <v>297</v>
      </c>
    </row>
    <row r="197" spans="1:20" x14ac:dyDescent="0.35">
      <c r="A197" s="7" t="s">
        <v>289</v>
      </c>
      <c r="B197" s="12" t="s">
        <v>290</v>
      </c>
      <c r="C197">
        <v>52010002.778878585</v>
      </c>
      <c r="D197">
        <v>52303550.355837375</v>
      </c>
      <c r="E197">
        <v>8108.1081081080001</v>
      </c>
      <c r="F197">
        <v>88288.288288288997</v>
      </c>
      <c r="G197">
        <v>20</v>
      </c>
      <c r="H197">
        <v>10</v>
      </c>
      <c r="K197">
        <v>23</v>
      </c>
      <c r="L197">
        <v>11</v>
      </c>
      <c r="M197">
        <v>909009.00900900899</v>
      </c>
      <c r="N197">
        <v>99099.0990991</v>
      </c>
      <c r="O197">
        <v>5576891.8918918911</v>
      </c>
      <c r="P197">
        <v>4272097.297297298</v>
      </c>
      <c r="Q197">
        <v>537207.20720720803</v>
      </c>
      <c r="R197">
        <v>127477.477477477</v>
      </c>
      <c r="S197">
        <v>4090</v>
      </c>
      <c r="T197">
        <v>4419</v>
      </c>
    </row>
    <row r="198" spans="1:20" x14ac:dyDescent="0.35">
      <c r="A198" s="7" t="s">
        <v>291</v>
      </c>
      <c r="B198" s="12" t="s">
        <v>147</v>
      </c>
      <c r="C198">
        <v>114058060.0888288</v>
      </c>
      <c r="D198">
        <v>112153784.1812706</v>
      </c>
      <c r="E198">
        <v>300000.00000000099</v>
      </c>
      <c r="F198">
        <v>1413513.513513515</v>
      </c>
      <c r="G198">
        <v>18</v>
      </c>
      <c r="H198">
        <v>24</v>
      </c>
      <c r="K198">
        <v>21</v>
      </c>
      <c r="L198">
        <v>40</v>
      </c>
      <c r="M198">
        <v>20325945.945945945</v>
      </c>
      <c r="N198">
        <v>44900900.900900893</v>
      </c>
      <c r="O198">
        <v>38997162.162162162</v>
      </c>
      <c r="P198">
        <v>40663396.396396399</v>
      </c>
      <c r="Q198">
        <v>17389369.369369369</v>
      </c>
      <c r="R198">
        <v>42575045.045045048</v>
      </c>
      <c r="S198">
        <v>7532</v>
      </c>
      <c r="T198">
        <v>7743</v>
      </c>
    </row>
    <row r="199" spans="1:20" x14ac:dyDescent="0.35">
      <c r="A199" s="7" t="s">
        <v>292</v>
      </c>
      <c r="B199" s="12" t="s">
        <v>293</v>
      </c>
      <c r="C199">
        <v>59494490.439646736</v>
      </c>
      <c r="D199">
        <v>56737207.155438669</v>
      </c>
      <c r="E199">
        <v>7207.2072072069996</v>
      </c>
      <c r="F199">
        <v>29420000</v>
      </c>
      <c r="G199">
        <v>4</v>
      </c>
      <c r="H199">
        <v>4</v>
      </c>
      <c r="K199">
        <v>5</v>
      </c>
      <c r="L199">
        <v>6</v>
      </c>
      <c r="M199">
        <v>12636486.486486487</v>
      </c>
      <c r="N199">
        <v>7887567.5675675645</v>
      </c>
      <c r="O199">
        <v>7070720.7207207223</v>
      </c>
      <c r="P199">
        <v>8169540.5405405397</v>
      </c>
      <c r="Q199">
        <v>11774684.684684685</v>
      </c>
      <c r="R199">
        <v>8120630.6306306254</v>
      </c>
      <c r="S199">
        <v>3694</v>
      </c>
      <c r="T199">
        <v>3416</v>
      </c>
    </row>
    <row r="200" spans="1:20" x14ac:dyDescent="0.35">
      <c r="A200" s="7" t="s">
        <v>294</v>
      </c>
      <c r="B200" s="12" t="s">
        <v>290</v>
      </c>
      <c r="C200">
        <v>17208728.114516594</v>
      </c>
      <c r="D200">
        <v>13983117.693219895</v>
      </c>
      <c r="E200">
        <v>42726505.40540541</v>
      </c>
      <c r="F200">
        <v>42840670.270270273</v>
      </c>
      <c r="G200">
        <v>4</v>
      </c>
      <c r="H200">
        <v>3</v>
      </c>
      <c r="K200">
        <v>6</v>
      </c>
      <c r="L200">
        <v>3</v>
      </c>
      <c r="M200">
        <v>7337761.2612612611</v>
      </c>
      <c r="N200">
        <v>9416920.7207207195</v>
      </c>
      <c r="O200">
        <v>1983198.1981981969</v>
      </c>
      <c r="P200">
        <v>1960360.36036036</v>
      </c>
      <c r="Q200">
        <v>882972.97297297302</v>
      </c>
      <c r="R200">
        <v>709009.00900900899</v>
      </c>
      <c r="S200">
        <v>1225</v>
      </c>
      <c r="T200">
        <v>1222</v>
      </c>
    </row>
    <row r="201" spans="1:20" x14ac:dyDescent="0.35">
      <c r="A201" s="7" t="s">
        <v>295</v>
      </c>
      <c r="B201" s="12" t="s">
        <v>52</v>
      </c>
      <c r="C201">
        <v>166972590.69912609</v>
      </c>
      <c r="D201">
        <v>164238006.4916482</v>
      </c>
      <c r="E201">
        <v>862162.16216216295</v>
      </c>
      <c r="F201">
        <v>1624324.324324325</v>
      </c>
      <c r="G201">
        <v>33</v>
      </c>
      <c r="H201">
        <v>43</v>
      </c>
      <c r="K201">
        <v>41</v>
      </c>
      <c r="L201">
        <v>57</v>
      </c>
      <c r="M201">
        <v>34354054.054054059</v>
      </c>
      <c r="N201">
        <v>19963783.783783779</v>
      </c>
      <c r="O201">
        <v>42004747.747747742</v>
      </c>
      <c r="P201">
        <v>43075243.24324324</v>
      </c>
      <c r="Q201">
        <v>38026396.396396399</v>
      </c>
      <c r="R201">
        <v>29849549.549549554</v>
      </c>
      <c r="S201">
        <v>11770</v>
      </c>
      <c r="T201">
        <v>11600</v>
      </c>
    </row>
    <row r="202" spans="1:20" x14ac:dyDescent="0.35">
      <c r="A202" s="7" t="s">
        <v>296</v>
      </c>
      <c r="B202" s="12" t="s">
        <v>169</v>
      </c>
      <c r="C202">
        <v>58408818.932274021</v>
      </c>
      <c r="D202">
        <v>44239795.740955763</v>
      </c>
      <c r="E202">
        <v>900.900900901</v>
      </c>
      <c r="G202">
        <v>6</v>
      </c>
      <c r="H202">
        <v>4</v>
      </c>
      <c r="K202">
        <v>6</v>
      </c>
      <c r="L202">
        <v>8</v>
      </c>
      <c r="M202">
        <v>1802702.702702703</v>
      </c>
      <c r="N202">
        <v>900900.90090090095</v>
      </c>
      <c r="O202">
        <v>12446189.189189188</v>
      </c>
      <c r="P202">
        <v>9134909.9099099096</v>
      </c>
      <c r="Q202">
        <v>1540990.9909909901</v>
      </c>
      <c r="R202">
        <v>1472702.702702703</v>
      </c>
      <c r="S202">
        <v>4727</v>
      </c>
      <c r="T202">
        <v>4162</v>
      </c>
    </row>
    <row r="203" spans="1:20" x14ac:dyDescent="0.35">
      <c r="A203" s="7" t="s">
        <v>669</v>
      </c>
      <c r="B203" s="12" t="s">
        <v>169</v>
      </c>
      <c r="E203">
        <v>68581081.081081077</v>
      </c>
      <c r="M203">
        <v>1741891.8918918921</v>
      </c>
      <c r="N203">
        <v>2457027.0270270272</v>
      </c>
    </row>
    <row r="204" spans="1:20" x14ac:dyDescent="0.35">
      <c r="A204" s="7" t="s">
        <v>297</v>
      </c>
      <c r="B204" s="12" t="s">
        <v>169</v>
      </c>
      <c r="C204">
        <v>31578636.837508429</v>
      </c>
      <c r="D204">
        <v>62101070.59554933</v>
      </c>
      <c r="E204">
        <v>900.900900901</v>
      </c>
      <c r="G204">
        <v>2</v>
      </c>
      <c r="H204">
        <v>14</v>
      </c>
      <c r="K204">
        <v>2</v>
      </c>
      <c r="L204">
        <v>14</v>
      </c>
      <c r="M204">
        <v>427937837.83783782</v>
      </c>
      <c r="N204">
        <v>1270279279.2792795</v>
      </c>
      <c r="O204">
        <v>12083558.558558561</v>
      </c>
      <c r="P204">
        <v>22471225.225225225</v>
      </c>
      <c r="Q204">
        <v>434583290.0900901</v>
      </c>
      <c r="R204">
        <v>1102629261.2612612</v>
      </c>
      <c r="S204">
        <v>2680</v>
      </c>
      <c r="T204">
        <v>2806</v>
      </c>
    </row>
    <row r="205" spans="1:20" x14ac:dyDescent="0.35">
      <c r="A205" s="7" t="s">
        <v>298</v>
      </c>
      <c r="B205" s="12" t="s">
        <v>89</v>
      </c>
      <c r="C205">
        <v>199970546.67491883</v>
      </c>
      <c r="D205">
        <v>185250761.02819049</v>
      </c>
      <c r="E205">
        <v>79819.819819823999</v>
      </c>
      <c r="F205">
        <v>291891.89189189801</v>
      </c>
      <c r="G205">
        <v>31</v>
      </c>
      <c r="H205">
        <v>32</v>
      </c>
      <c r="K205">
        <v>34</v>
      </c>
      <c r="L205">
        <v>40</v>
      </c>
      <c r="M205">
        <v>11937297.297297295</v>
      </c>
      <c r="N205">
        <v>8958918.9189189132</v>
      </c>
      <c r="O205">
        <v>35822747.747747749</v>
      </c>
      <c r="P205">
        <v>35603346.846846849</v>
      </c>
      <c r="Q205">
        <v>10701531.53153153</v>
      </c>
      <c r="R205">
        <v>15265405.405405404</v>
      </c>
      <c r="S205">
        <v>10855</v>
      </c>
      <c r="T205">
        <v>11011</v>
      </c>
    </row>
    <row r="206" spans="1:20" x14ac:dyDescent="0.35">
      <c r="A206" s="7" t="s">
        <v>299</v>
      </c>
      <c r="B206" s="12" t="s">
        <v>134</v>
      </c>
      <c r="C206">
        <v>90954990.275579423</v>
      </c>
      <c r="D206">
        <v>100626211.98862472</v>
      </c>
      <c r="E206">
        <v>554954.95495495503</v>
      </c>
      <c r="F206">
        <v>437837.837837842</v>
      </c>
      <c r="G206">
        <v>14</v>
      </c>
      <c r="H206">
        <v>11</v>
      </c>
      <c r="K206">
        <v>15</v>
      </c>
      <c r="L206">
        <v>17</v>
      </c>
      <c r="M206">
        <v>8575675.6756756753</v>
      </c>
      <c r="N206">
        <v>4936036.0360360378</v>
      </c>
      <c r="O206">
        <v>10500673.873873875</v>
      </c>
      <c r="P206">
        <v>12137126.126126124</v>
      </c>
      <c r="Q206">
        <v>7063106.3063063072</v>
      </c>
      <c r="R206">
        <v>5635945.9459459437</v>
      </c>
      <c r="S206">
        <v>6929</v>
      </c>
      <c r="T206">
        <v>6860</v>
      </c>
    </row>
    <row r="207" spans="1:20" x14ac:dyDescent="0.35">
      <c r="A207" s="7" t="s">
        <v>300</v>
      </c>
      <c r="B207" s="12" t="s">
        <v>290</v>
      </c>
      <c r="C207">
        <v>77944565.824706733</v>
      </c>
      <c r="D207">
        <v>70456478.746296078</v>
      </c>
      <c r="E207">
        <v>313063.063063065</v>
      </c>
      <c r="F207">
        <v>1315315.3153153181</v>
      </c>
      <c r="G207">
        <v>42</v>
      </c>
      <c r="H207">
        <v>24</v>
      </c>
      <c r="K207">
        <v>47</v>
      </c>
      <c r="L207">
        <v>29</v>
      </c>
      <c r="M207">
        <v>8889639.6396396384</v>
      </c>
      <c r="N207">
        <v>7001801.8018018026</v>
      </c>
      <c r="O207">
        <v>10367342.342342343</v>
      </c>
      <c r="P207">
        <v>9768662.1621621642</v>
      </c>
      <c r="Q207">
        <v>7103333.3333333377</v>
      </c>
      <c r="R207">
        <v>6084414.4144144133</v>
      </c>
      <c r="S207">
        <v>4352</v>
      </c>
      <c r="T207">
        <v>4261</v>
      </c>
    </row>
    <row r="208" spans="1:20" x14ac:dyDescent="0.35">
      <c r="A208" s="7" t="s">
        <v>301</v>
      </c>
      <c r="B208" s="12" t="s">
        <v>80</v>
      </c>
      <c r="C208">
        <v>109413009.49103092</v>
      </c>
      <c r="D208">
        <v>95468562.756531283</v>
      </c>
      <c r="E208">
        <v>276126.12612612703</v>
      </c>
      <c r="F208">
        <v>853828.82882883004</v>
      </c>
      <c r="G208">
        <v>18</v>
      </c>
      <c r="H208">
        <v>13</v>
      </c>
      <c r="K208">
        <v>23</v>
      </c>
      <c r="L208">
        <v>14</v>
      </c>
      <c r="M208">
        <v>9683513.5135135129</v>
      </c>
      <c r="N208">
        <v>9272072.072072072</v>
      </c>
      <c r="O208">
        <v>23643887.387387387</v>
      </c>
      <c r="P208">
        <v>20837549.54954955</v>
      </c>
      <c r="Q208">
        <v>9324414.4144144133</v>
      </c>
      <c r="R208">
        <v>7527477.4774774769</v>
      </c>
      <c r="S208">
        <v>5746</v>
      </c>
      <c r="T208">
        <v>5459</v>
      </c>
    </row>
    <row r="209" spans="1:20" x14ac:dyDescent="0.35">
      <c r="A209" s="7" t="s">
        <v>302</v>
      </c>
      <c r="B209" s="12" t="s">
        <v>72</v>
      </c>
      <c r="C209">
        <v>163527130.3981421</v>
      </c>
      <c r="D209">
        <v>157625080.02217093</v>
      </c>
      <c r="E209">
        <v>25016216.216216218</v>
      </c>
      <c r="F209">
        <v>17211711.711711716</v>
      </c>
      <c r="G209">
        <v>42</v>
      </c>
      <c r="H209">
        <v>29</v>
      </c>
      <c r="I209">
        <v>2</v>
      </c>
      <c r="K209">
        <v>48</v>
      </c>
      <c r="L209">
        <v>36</v>
      </c>
      <c r="M209">
        <v>13354504.504504502</v>
      </c>
      <c r="N209">
        <v>10835135.135135137</v>
      </c>
      <c r="O209">
        <v>25292693.693693694</v>
      </c>
      <c r="P209">
        <v>23053693.693693694</v>
      </c>
      <c r="Q209">
        <v>11160180.180180181</v>
      </c>
      <c r="R209">
        <v>7328378.3783783792</v>
      </c>
      <c r="S209">
        <v>9135</v>
      </c>
      <c r="T209">
        <v>9001</v>
      </c>
    </row>
    <row r="210" spans="1:20" x14ac:dyDescent="0.35">
      <c r="A210" s="7" t="s">
        <v>303</v>
      </c>
      <c r="B210" s="12" t="s">
        <v>304</v>
      </c>
      <c r="C210">
        <v>552072.17938568199</v>
      </c>
      <c r="D210">
        <v>551383.46349739796</v>
      </c>
      <c r="O210">
        <v>285810.810810811</v>
      </c>
      <c r="P210">
        <v>242882.88288288299</v>
      </c>
      <c r="S210">
        <v>69</v>
      </c>
      <c r="T210">
        <v>67</v>
      </c>
    </row>
    <row r="211" spans="1:20" x14ac:dyDescent="0.35">
      <c r="A211" s="7" t="s">
        <v>670</v>
      </c>
      <c r="B211" s="12" t="s">
        <v>304</v>
      </c>
      <c r="E211">
        <v>3629522.5225225231</v>
      </c>
      <c r="F211">
        <v>47138042.342342347</v>
      </c>
      <c r="M211">
        <v>31485585.585585583</v>
      </c>
      <c r="N211">
        <v>44594.594594595001</v>
      </c>
    </row>
    <row r="212" spans="1:20" x14ac:dyDescent="0.35">
      <c r="A212" s="7" t="s">
        <v>305</v>
      </c>
      <c r="B212" s="12" t="s">
        <v>117</v>
      </c>
      <c r="C212">
        <v>22729045.153549463</v>
      </c>
      <c r="D212">
        <v>20200303.377035804</v>
      </c>
      <c r="E212">
        <v>16216.216216217999</v>
      </c>
      <c r="F212">
        <v>86486.486486487003</v>
      </c>
      <c r="G212">
        <v>1</v>
      </c>
      <c r="K212">
        <v>1</v>
      </c>
      <c r="M212">
        <v>917117.11711711902</v>
      </c>
      <c r="N212">
        <v>1827747.7477477479</v>
      </c>
      <c r="O212">
        <v>9099774.7747747768</v>
      </c>
      <c r="P212">
        <v>9055495.4954954963</v>
      </c>
      <c r="Q212">
        <v>664864.86486486497</v>
      </c>
      <c r="R212">
        <v>1605675.675675675</v>
      </c>
      <c r="S212">
        <v>1849</v>
      </c>
      <c r="T212">
        <v>1777</v>
      </c>
    </row>
    <row r="213" spans="1:20" x14ac:dyDescent="0.35">
      <c r="A213" s="7" t="s">
        <v>306</v>
      </c>
      <c r="B213" s="12" t="s">
        <v>307</v>
      </c>
      <c r="C213">
        <v>26079123.655593716</v>
      </c>
      <c r="D213">
        <v>24103372.625902113</v>
      </c>
      <c r="E213">
        <v>7207.207207208</v>
      </c>
      <c r="G213">
        <v>9</v>
      </c>
      <c r="H213">
        <v>10</v>
      </c>
      <c r="K213">
        <v>11</v>
      </c>
      <c r="L213">
        <v>13</v>
      </c>
      <c r="M213">
        <v>7207.207207208</v>
      </c>
      <c r="N213">
        <v>211711.71171171201</v>
      </c>
      <c r="O213">
        <v>13027612.612612613</v>
      </c>
      <c r="P213">
        <v>13168063.063063065</v>
      </c>
      <c r="Q213">
        <v>97297.297297297002</v>
      </c>
      <c r="R213">
        <v>241441.441441442</v>
      </c>
      <c r="S213">
        <v>4549</v>
      </c>
      <c r="T213">
        <v>4094</v>
      </c>
    </row>
    <row r="214" spans="1:20" x14ac:dyDescent="0.35">
      <c r="A214" s="7" t="s">
        <v>308</v>
      </c>
      <c r="B214" s="12" t="s">
        <v>140</v>
      </c>
      <c r="C214">
        <v>173038649.00701135</v>
      </c>
      <c r="D214">
        <v>174895824.89862812</v>
      </c>
      <c r="E214">
        <v>86621.621621622005</v>
      </c>
      <c r="F214">
        <v>546846.84684685396</v>
      </c>
      <c r="G214">
        <v>14</v>
      </c>
      <c r="H214">
        <v>26</v>
      </c>
      <c r="K214">
        <v>27</v>
      </c>
      <c r="L214">
        <v>33</v>
      </c>
      <c r="M214">
        <v>26370720.72072072</v>
      </c>
      <c r="N214">
        <v>32629369.369369376</v>
      </c>
      <c r="O214">
        <v>34182430.630630635</v>
      </c>
      <c r="P214">
        <v>37593693.693693697</v>
      </c>
      <c r="Q214">
        <v>13330540.540540541</v>
      </c>
      <c r="R214">
        <v>16560000.000000004</v>
      </c>
      <c r="S214">
        <v>8013</v>
      </c>
      <c r="T214">
        <v>8058</v>
      </c>
    </row>
    <row r="215" spans="1:20" x14ac:dyDescent="0.35">
      <c r="A215" s="7" t="s">
        <v>309</v>
      </c>
      <c r="B215" s="12" t="s">
        <v>132</v>
      </c>
      <c r="C215">
        <v>190595783.01578766</v>
      </c>
      <c r="D215">
        <v>149559740.2739388</v>
      </c>
      <c r="E215">
        <v>7802702.7027027039</v>
      </c>
      <c r="F215">
        <v>16266666.666666666</v>
      </c>
      <c r="G215">
        <v>39</v>
      </c>
      <c r="H215">
        <v>36</v>
      </c>
      <c r="K215">
        <v>52</v>
      </c>
      <c r="L215">
        <v>48</v>
      </c>
      <c r="M215">
        <v>9794819.8198198192</v>
      </c>
      <c r="N215">
        <v>4452477.4774774769</v>
      </c>
      <c r="O215">
        <v>48117171.171171166</v>
      </c>
      <c r="P215">
        <v>40311117.117117122</v>
      </c>
      <c r="Q215">
        <v>6504369.3693693727</v>
      </c>
      <c r="R215">
        <v>6462972.9729729732</v>
      </c>
      <c r="S215">
        <v>12032</v>
      </c>
      <c r="T215">
        <v>11788</v>
      </c>
    </row>
    <row r="216" spans="1:20" x14ac:dyDescent="0.35">
      <c r="A216" s="7" t="s">
        <v>310</v>
      </c>
      <c r="B216" s="12" t="s">
        <v>72</v>
      </c>
      <c r="C216">
        <v>290302592.22926146</v>
      </c>
      <c r="D216">
        <v>259290136.7328546</v>
      </c>
      <c r="E216">
        <v>568108.10810811003</v>
      </c>
      <c r="F216">
        <v>1986711.7117117189</v>
      </c>
      <c r="G216">
        <v>62</v>
      </c>
      <c r="H216">
        <v>45</v>
      </c>
      <c r="K216">
        <v>74</v>
      </c>
      <c r="L216">
        <v>56</v>
      </c>
      <c r="M216">
        <v>37875315.315315314</v>
      </c>
      <c r="N216">
        <v>40375675.675675675</v>
      </c>
      <c r="O216">
        <v>68335351.351351351</v>
      </c>
      <c r="P216">
        <v>63339459.459459454</v>
      </c>
      <c r="Q216">
        <v>33764144.144144148</v>
      </c>
      <c r="R216">
        <v>33791891.891891897</v>
      </c>
      <c r="S216">
        <v>16902</v>
      </c>
      <c r="T216">
        <v>16993</v>
      </c>
    </row>
    <row r="217" spans="1:20" x14ac:dyDescent="0.35">
      <c r="A217" s="7" t="s">
        <v>311</v>
      </c>
      <c r="B217" s="12" t="s">
        <v>62</v>
      </c>
      <c r="C217">
        <v>49512603.565715291</v>
      </c>
      <c r="D217">
        <v>46460674.949339464</v>
      </c>
      <c r="E217">
        <v>14414.414414415</v>
      </c>
      <c r="F217">
        <v>209009.00900901001</v>
      </c>
      <c r="G217">
        <v>2</v>
      </c>
      <c r="H217">
        <v>5</v>
      </c>
      <c r="K217">
        <v>2</v>
      </c>
      <c r="L217">
        <v>6</v>
      </c>
      <c r="M217">
        <v>9790270.2702702675</v>
      </c>
      <c r="N217">
        <v>6921081.0810810812</v>
      </c>
      <c r="O217">
        <v>12058864.864864863</v>
      </c>
      <c r="P217">
        <v>12318783.783783784</v>
      </c>
      <c r="Q217">
        <v>5923333.3333333321</v>
      </c>
      <c r="R217">
        <v>7384144.1441441439</v>
      </c>
      <c r="S217">
        <v>2260</v>
      </c>
      <c r="T217">
        <v>2292</v>
      </c>
    </row>
    <row r="218" spans="1:20" x14ac:dyDescent="0.35">
      <c r="A218" s="7" t="s">
        <v>312</v>
      </c>
      <c r="B218" s="12" t="s">
        <v>89</v>
      </c>
      <c r="C218">
        <v>17009372.784769498</v>
      </c>
      <c r="D218">
        <v>16190615.074568598</v>
      </c>
      <c r="E218">
        <v>10810.810810810999</v>
      </c>
      <c r="F218">
        <v>64864.864864864998</v>
      </c>
      <c r="G218">
        <v>2</v>
      </c>
      <c r="H218">
        <v>4</v>
      </c>
      <c r="K218">
        <v>2</v>
      </c>
      <c r="L218">
        <v>4</v>
      </c>
      <c r="M218">
        <v>686486.48648648604</v>
      </c>
      <c r="N218">
        <v>2214594.594594595</v>
      </c>
      <c r="O218">
        <v>4613018.0180180166</v>
      </c>
      <c r="P218">
        <v>5074450.4504504511</v>
      </c>
      <c r="Q218">
        <v>247297.29729729699</v>
      </c>
      <c r="R218">
        <v>2493063.0630630618</v>
      </c>
      <c r="S218">
        <v>1158</v>
      </c>
      <c r="T218">
        <v>1251</v>
      </c>
    </row>
    <row r="219" spans="1:20" x14ac:dyDescent="0.35">
      <c r="A219" s="7" t="s">
        <v>313</v>
      </c>
      <c r="B219" s="12" t="s">
        <v>92</v>
      </c>
      <c r="C219">
        <v>7370212.8349387525</v>
      </c>
      <c r="D219">
        <v>7227419.5733532682</v>
      </c>
      <c r="F219">
        <v>54054.054054054002</v>
      </c>
      <c r="N219">
        <v>54054.054054054002</v>
      </c>
      <c r="O219">
        <v>588963.96396396402</v>
      </c>
      <c r="P219">
        <v>481576.57657657698</v>
      </c>
      <c r="R219">
        <v>145045.045045045</v>
      </c>
      <c r="S219">
        <v>473</v>
      </c>
      <c r="T219">
        <v>837</v>
      </c>
    </row>
    <row r="220" spans="1:20" x14ac:dyDescent="0.35">
      <c r="A220" s="7" t="s">
        <v>314</v>
      </c>
      <c r="B220" s="12" t="s">
        <v>315</v>
      </c>
      <c r="C220">
        <v>56047819.132039569</v>
      </c>
      <c r="D220">
        <v>52547727.267363131</v>
      </c>
      <c r="E220">
        <v>3996669.369369369</v>
      </c>
      <c r="F220">
        <v>40062736.936936937</v>
      </c>
      <c r="G220">
        <v>14</v>
      </c>
      <c r="H220">
        <v>12</v>
      </c>
      <c r="K220">
        <v>18</v>
      </c>
      <c r="L220">
        <v>13</v>
      </c>
      <c r="M220">
        <v>30162162.162162159</v>
      </c>
      <c r="N220">
        <v>5754954.954954952</v>
      </c>
      <c r="O220">
        <v>9317387.3873873875</v>
      </c>
      <c r="P220">
        <v>7895288.2882882887</v>
      </c>
      <c r="Q220">
        <v>3603783.7837837809</v>
      </c>
      <c r="R220">
        <v>3936036.036036035</v>
      </c>
      <c r="S220">
        <v>3527</v>
      </c>
      <c r="T220">
        <v>3510</v>
      </c>
    </row>
    <row r="221" spans="1:20" x14ac:dyDescent="0.35">
      <c r="A221" s="7" t="s">
        <v>316</v>
      </c>
      <c r="B221" s="12" t="s">
        <v>62</v>
      </c>
      <c r="C221">
        <v>91967871.457542017</v>
      </c>
      <c r="D221">
        <v>95369445.966607124</v>
      </c>
      <c r="E221">
        <v>233783.78378378699</v>
      </c>
      <c r="F221">
        <v>1603603.603603611</v>
      </c>
      <c r="G221">
        <v>25</v>
      </c>
      <c r="H221">
        <v>15</v>
      </c>
      <c r="K221">
        <v>36</v>
      </c>
      <c r="L221">
        <v>22</v>
      </c>
      <c r="M221">
        <v>6270270.2702702684</v>
      </c>
      <c r="N221">
        <v>7447567.5675675692</v>
      </c>
      <c r="O221">
        <v>31120045.045045044</v>
      </c>
      <c r="P221">
        <v>32331558.558558561</v>
      </c>
      <c r="Q221">
        <v>5906306.3063063063</v>
      </c>
      <c r="R221">
        <v>7480540.5405405359</v>
      </c>
      <c r="S221">
        <v>8681</v>
      </c>
      <c r="T221">
        <v>8751</v>
      </c>
    </row>
    <row r="222" spans="1:20" x14ac:dyDescent="0.35">
      <c r="A222" s="7" t="s">
        <v>317</v>
      </c>
      <c r="B222" s="12" t="s">
        <v>62</v>
      </c>
      <c r="C222">
        <v>93078966.530061156</v>
      </c>
      <c r="D222">
        <v>87635963.991287932</v>
      </c>
      <c r="E222">
        <v>42342.342342344004</v>
      </c>
      <c r="F222">
        <v>401801.80180180399</v>
      </c>
      <c r="G222">
        <v>34</v>
      </c>
      <c r="H222">
        <v>4</v>
      </c>
      <c r="K222">
        <v>39</v>
      </c>
      <c r="L222">
        <v>6</v>
      </c>
      <c r="M222">
        <v>6516576.5765765747</v>
      </c>
      <c r="N222">
        <v>9987207.2072072066</v>
      </c>
      <c r="O222">
        <v>30202792.792792793</v>
      </c>
      <c r="P222">
        <v>29697567.567567568</v>
      </c>
      <c r="Q222">
        <v>7162522.5225225212</v>
      </c>
      <c r="R222">
        <v>9159099.0990990959</v>
      </c>
      <c r="S222">
        <v>5605</v>
      </c>
      <c r="T222">
        <v>5507</v>
      </c>
    </row>
    <row r="223" spans="1:20" x14ac:dyDescent="0.35">
      <c r="A223" s="7" t="s">
        <v>318</v>
      </c>
      <c r="B223" s="12" t="s">
        <v>78</v>
      </c>
      <c r="C223">
        <v>93955933.826372653</v>
      </c>
      <c r="D223">
        <v>89450511.197873116</v>
      </c>
      <c r="E223">
        <v>892432.43243243499</v>
      </c>
      <c r="F223">
        <v>1025225.225225231</v>
      </c>
      <c r="G223">
        <v>14</v>
      </c>
      <c r="H223">
        <v>26</v>
      </c>
      <c r="K223">
        <v>20</v>
      </c>
      <c r="L223">
        <v>41</v>
      </c>
      <c r="M223">
        <v>15342882.88288288</v>
      </c>
      <c r="N223">
        <v>19669369.369369373</v>
      </c>
      <c r="O223">
        <v>37178018.018018015</v>
      </c>
      <c r="P223">
        <v>37147599.099099107</v>
      </c>
      <c r="Q223">
        <v>18030180.180180181</v>
      </c>
      <c r="R223">
        <v>21750720.720720723</v>
      </c>
      <c r="S223">
        <v>8804</v>
      </c>
      <c r="T223">
        <v>8672</v>
      </c>
    </row>
    <row r="224" spans="1:20" x14ac:dyDescent="0.35">
      <c r="A224" s="7" t="s">
        <v>319</v>
      </c>
      <c r="B224" s="12" t="s">
        <v>78</v>
      </c>
      <c r="C224">
        <v>57083355.549241945</v>
      </c>
      <c r="D224">
        <v>53482813.673849538</v>
      </c>
      <c r="E224">
        <v>458738.73873873899</v>
      </c>
      <c r="F224">
        <v>754954.95495495701</v>
      </c>
      <c r="G224">
        <v>10</v>
      </c>
      <c r="H224">
        <v>18</v>
      </c>
      <c r="I224">
        <v>1</v>
      </c>
      <c r="K224">
        <v>17</v>
      </c>
      <c r="L224">
        <v>27</v>
      </c>
      <c r="M224">
        <v>5647927.9279279262</v>
      </c>
      <c r="N224">
        <v>3953153.1531531531</v>
      </c>
      <c r="O224">
        <v>19803486.486486487</v>
      </c>
      <c r="P224">
        <v>18767504.504504506</v>
      </c>
      <c r="Q224">
        <v>4309729.7297297288</v>
      </c>
      <c r="R224">
        <v>4257747.7477477519</v>
      </c>
      <c r="S224">
        <v>5600</v>
      </c>
      <c r="T224">
        <v>6520</v>
      </c>
    </row>
    <row r="225" spans="1:20" x14ac:dyDescent="0.35">
      <c r="A225" s="7" t="s">
        <v>320</v>
      </c>
      <c r="B225" s="12" t="s">
        <v>121</v>
      </c>
      <c r="C225">
        <v>446842.60190676397</v>
      </c>
      <c r="D225">
        <v>414541.47414556798</v>
      </c>
      <c r="K225">
        <v>2</v>
      </c>
      <c r="O225">
        <v>152252.25225225199</v>
      </c>
      <c r="P225">
        <v>35225.225225224996</v>
      </c>
      <c r="S225">
        <v>68</v>
      </c>
      <c r="T225">
        <v>54</v>
      </c>
    </row>
    <row r="226" spans="1:20" x14ac:dyDescent="0.35">
      <c r="A226" s="7" t="s">
        <v>321</v>
      </c>
      <c r="B226" s="12" t="s">
        <v>224</v>
      </c>
      <c r="C226">
        <v>70708394.273575276</v>
      </c>
      <c r="D226">
        <v>60550865.426304176</v>
      </c>
      <c r="F226">
        <v>18018.018018018</v>
      </c>
      <c r="G226">
        <v>18</v>
      </c>
      <c r="H226">
        <v>17</v>
      </c>
      <c r="K226">
        <v>20</v>
      </c>
      <c r="L226">
        <v>19</v>
      </c>
      <c r="M226">
        <v>1499099.0990990989</v>
      </c>
      <c r="N226">
        <v>1190630.6306306289</v>
      </c>
      <c r="O226">
        <v>26116036.036036037</v>
      </c>
      <c r="P226">
        <v>24752205.40540541</v>
      </c>
      <c r="Q226">
        <v>1598918.91891892</v>
      </c>
      <c r="R226">
        <v>1304594.5945945929</v>
      </c>
      <c r="S226">
        <v>4015</v>
      </c>
      <c r="T226">
        <v>4030</v>
      </c>
    </row>
    <row r="227" spans="1:20" x14ac:dyDescent="0.35">
      <c r="A227" s="7" t="s">
        <v>322</v>
      </c>
      <c r="B227" s="12" t="s">
        <v>224</v>
      </c>
      <c r="C227">
        <v>50458809.688803203</v>
      </c>
      <c r="D227">
        <v>42947759.479573168</v>
      </c>
      <c r="E227">
        <v>16216.216216217001</v>
      </c>
      <c r="F227">
        <v>900.900900901</v>
      </c>
      <c r="G227">
        <v>6</v>
      </c>
      <c r="H227">
        <v>2</v>
      </c>
      <c r="K227">
        <v>7</v>
      </c>
      <c r="L227">
        <v>2</v>
      </c>
      <c r="M227">
        <v>4535855.8558558552</v>
      </c>
      <c r="N227">
        <v>5000900.9009009004</v>
      </c>
      <c r="O227">
        <v>13572207.207207208</v>
      </c>
      <c r="P227">
        <v>12472270.270270269</v>
      </c>
      <c r="Q227">
        <v>3128198.1981981988</v>
      </c>
      <c r="R227">
        <v>3139999.9999999981</v>
      </c>
      <c r="S227">
        <v>2193</v>
      </c>
      <c r="T227">
        <v>2165</v>
      </c>
    </row>
    <row r="228" spans="1:20" x14ac:dyDescent="0.35">
      <c r="A228" s="7" t="s">
        <v>666</v>
      </c>
      <c r="B228" s="12" t="s">
        <v>94</v>
      </c>
      <c r="T228">
        <v>5</v>
      </c>
    </row>
    <row r="229" spans="1:20" x14ac:dyDescent="0.35">
      <c r="A229" s="7" t="s">
        <v>323</v>
      </c>
      <c r="B229" s="12" t="s">
        <v>78</v>
      </c>
      <c r="C229">
        <v>69214271.488916829</v>
      </c>
      <c r="D229">
        <v>67971794.205373317</v>
      </c>
      <c r="E229">
        <v>605855.85585585597</v>
      </c>
      <c r="F229">
        <v>236036.03603603499</v>
      </c>
      <c r="G229">
        <v>14</v>
      </c>
      <c r="H229">
        <v>32</v>
      </c>
      <c r="K229">
        <v>17</v>
      </c>
      <c r="L229">
        <v>57</v>
      </c>
      <c r="M229">
        <v>10222972.972972972</v>
      </c>
      <c r="N229">
        <v>8163963.963963964</v>
      </c>
      <c r="O229">
        <v>19438986.486486487</v>
      </c>
      <c r="P229">
        <v>21111027.02702703</v>
      </c>
      <c r="Q229">
        <v>7460180.1801801799</v>
      </c>
      <c r="R229">
        <v>8278468.4684684658</v>
      </c>
      <c r="S229">
        <v>4566</v>
      </c>
      <c r="T229">
        <v>4919</v>
      </c>
    </row>
    <row r="230" spans="1:20" x14ac:dyDescent="0.35">
      <c r="A230" s="7" t="s">
        <v>324</v>
      </c>
      <c r="B230" s="12" t="s">
        <v>108</v>
      </c>
      <c r="C230">
        <v>321384208.94506341</v>
      </c>
      <c r="D230">
        <v>313882498.43744832</v>
      </c>
      <c r="E230">
        <v>310268719.81981987</v>
      </c>
      <c r="F230">
        <v>18595983.783783793</v>
      </c>
      <c r="G230">
        <v>60</v>
      </c>
      <c r="H230">
        <v>57</v>
      </c>
      <c r="K230">
        <v>115</v>
      </c>
      <c r="L230">
        <v>72</v>
      </c>
      <c r="M230">
        <v>27337027.027027026</v>
      </c>
      <c r="N230">
        <v>24238378.378378376</v>
      </c>
      <c r="O230">
        <v>77827004.504504517</v>
      </c>
      <c r="P230">
        <v>79210333.333333328</v>
      </c>
      <c r="Q230">
        <v>26463063.063063059</v>
      </c>
      <c r="R230">
        <v>27291171.171171162</v>
      </c>
      <c r="S230">
        <v>22151</v>
      </c>
      <c r="T230">
        <v>21774</v>
      </c>
    </row>
    <row r="231" spans="1:20" x14ac:dyDescent="0.35">
      <c r="A231" s="7" t="s">
        <v>325</v>
      </c>
      <c r="B231" s="12" t="s">
        <v>224</v>
      </c>
      <c r="C231">
        <v>77565365.896355569</v>
      </c>
      <c r="D231">
        <v>62770147.121326379</v>
      </c>
      <c r="E231">
        <v>330270.27027027</v>
      </c>
      <c r="F231">
        <v>119819.81981982</v>
      </c>
      <c r="G231">
        <v>24</v>
      </c>
      <c r="H231">
        <v>4</v>
      </c>
      <c r="K231">
        <v>30</v>
      </c>
      <c r="L231">
        <v>5</v>
      </c>
      <c r="M231">
        <v>7537477.4774774779</v>
      </c>
      <c r="N231">
        <v>6519459.4594594566</v>
      </c>
      <c r="O231">
        <v>13865243.243243242</v>
      </c>
      <c r="P231">
        <v>12918486.486486485</v>
      </c>
      <c r="Q231">
        <v>6237387.3873873884</v>
      </c>
      <c r="R231">
        <v>5533513.5135135129</v>
      </c>
      <c r="S231">
        <v>4281</v>
      </c>
      <c r="T231">
        <v>4366</v>
      </c>
    </row>
    <row r="232" spans="1:20" x14ac:dyDescent="0.35">
      <c r="A232" s="7" t="s">
        <v>4</v>
      </c>
      <c r="B232" s="12" t="s">
        <v>158</v>
      </c>
      <c r="C232">
        <v>54258421.435733855</v>
      </c>
      <c r="D232">
        <v>54838736.440602213</v>
      </c>
      <c r="E232">
        <v>602702.702702704</v>
      </c>
      <c r="F232">
        <v>581081.08108108304</v>
      </c>
      <c r="G232">
        <v>5</v>
      </c>
      <c r="H232">
        <v>4</v>
      </c>
      <c r="K232">
        <v>5</v>
      </c>
      <c r="L232">
        <v>7</v>
      </c>
      <c r="M232">
        <v>8614864.8648648653</v>
      </c>
      <c r="N232">
        <v>17430630.630630631</v>
      </c>
      <c r="O232">
        <v>19428378.378378376</v>
      </c>
      <c r="P232">
        <v>18946108.108108107</v>
      </c>
      <c r="Q232">
        <v>7999549.5495495489</v>
      </c>
      <c r="R232">
        <v>17864054.054054052</v>
      </c>
      <c r="S232">
        <v>3603</v>
      </c>
      <c r="T232">
        <v>3550</v>
      </c>
    </row>
    <row r="233" spans="1:20" x14ac:dyDescent="0.35">
      <c r="A233" s="7" t="s">
        <v>34</v>
      </c>
      <c r="B233" s="12" t="s">
        <v>193</v>
      </c>
      <c r="E233">
        <v>6756756.7567567574</v>
      </c>
      <c r="F233">
        <v>3378378.3783783782</v>
      </c>
      <c r="M233">
        <v>331081.08108108101</v>
      </c>
      <c r="N233">
        <v>270945.94594594598</v>
      </c>
    </row>
    <row r="234" spans="1:20" x14ac:dyDescent="0.35">
      <c r="A234" s="7" t="s">
        <v>326</v>
      </c>
      <c r="B234" s="12" t="s">
        <v>108</v>
      </c>
      <c r="C234">
        <v>255914977.17139941</v>
      </c>
      <c r="D234">
        <v>253408009.97900736</v>
      </c>
      <c r="E234">
        <v>2295675.6756756809</v>
      </c>
      <c r="F234">
        <v>2402927.9279279369</v>
      </c>
      <c r="G234">
        <v>69</v>
      </c>
      <c r="H234">
        <v>68</v>
      </c>
      <c r="K234">
        <v>105</v>
      </c>
      <c r="L234">
        <v>89</v>
      </c>
      <c r="M234">
        <v>36768198.198198192</v>
      </c>
      <c r="N234">
        <v>31387747.747747745</v>
      </c>
      <c r="O234">
        <v>71508873.873873875</v>
      </c>
      <c r="P234">
        <v>76498162.162162155</v>
      </c>
      <c r="Q234">
        <v>33153693.693693697</v>
      </c>
      <c r="R234">
        <v>27719729.729729727</v>
      </c>
      <c r="S234">
        <v>19971</v>
      </c>
      <c r="T234">
        <v>20067</v>
      </c>
    </row>
    <row r="235" spans="1:20" x14ac:dyDescent="0.35">
      <c r="A235" s="7" t="s">
        <v>327</v>
      </c>
      <c r="B235" s="12" t="s">
        <v>78</v>
      </c>
      <c r="C235">
        <v>26966171.89336909</v>
      </c>
      <c r="D235">
        <v>26162553.267528888</v>
      </c>
      <c r="E235">
        <v>142342.34234234301</v>
      </c>
      <c r="F235">
        <v>108108.10810811</v>
      </c>
      <c r="G235">
        <v>10</v>
      </c>
      <c r="H235">
        <v>9</v>
      </c>
      <c r="K235">
        <v>11</v>
      </c>
      <c r="L235">
        <v>12</v>
      </c>
      <c r="M235">
        <v>2124324.3243243238</v>
      </c>
      <c r="N235">
        <v>2000000</v>
      </c>
      <c r="O235">
        <v>7955585.5855855858</v>
      </c>
      <c r="P235">
        <v>9097261.2612612601</v>
      </c>
      <c r="Q235">
        <v>1526486.4864864859</v>
      </c>
      <c r="R235">
        <v>2308288.2882882892</v>
      </c>
      <c r="S235">
        <v>2068</v>
      </c>
      <c r="T235">
        <v>1982</v>
      </c>
    </row>
    <row r="236" spans="1:20" x14ac:dyDescent="0.35">
      <c r="A236" s="7" t="s">
        <v>328</v>
      </c>
      <c r="B236" s="12" t="s">
        <v>121</v>
      </c>
      <c r="C236">
        <v>75911409.058359593</v>
      </c>
      <c r="D236">
        <v>67763022.713494003</v>
      </c>
      <c r="E236">
        <v>39639.639639642002</v>
      </c>
      <c r="F236">
        <v>488963.96396396297</v>
      </c>
      <c r="G236">
        <v>25</v>
      </c>
      <c r="H236">
        <v>19</v>
      </c>
      <c r="K236">
        <v>29</v>
      </c>
      <c r="L236">
        <v>22</v>
      </c>
      <c r="M236">
        <v>2472972.9729729751</v>
      </c>
      <c r="N236">
        <v>4180180.1801801799</v>
      </c>
      <c r="O236">
        <v>10539000</v>
      </c>
      <c r="P236">
        <v>9005162.1621621624</v>
      </c>
      <c r="Q236">
        <v>3282612.612612613</v>
      </c>
      <c r="R236">
        <v>3283423.4234234239</v>
      </c>
      <c r="S236">
        <v>4076</v>
      </c>
      <c r="T236">
        <v>3968</v>
      </c>
    </row>
    <row r="237" spans="1:20" x14ac:dyDescent="0.35">
      <c r="A237" s="7" t="s">
        <v>329</v>
      </c>
      <c r="B237" s="12" t="s">
        <v>330</v>
      </c>
      <c r="C237">
        <v>173222699.3098197</v>
      </c>
      <c r="D237">
        <v>162401136.9735454</v>
      </c>
      <c r="E237">
        <v>882432.43243243499</v>
      </c>
      <c r="F237">
        <v>1506531.5315315309</v>
      </c>
      <c r="G237">
        <v>47</v>
      </c>
      <c r="H237">
        <v>50</v>
      </c>
      <c r="I237">
        <v>2</v>
      </c>
      <c r="K237">
        <v>61</v>
      </c>
      <c r="L237">
        <v>65</v>
      </c>
      <c r="M237">
        <v>9907837.8378378395</v>
      </c>
      <c r="N237">
        <v>12381081.081081079</v>
      </c>
      <c r="O237">
        <v>33957315.315315314</v>
      </c>
      <c r="P237">
        <v>34261000</v>
      </c>
      <c r="Q237">
        <v>10474234.234234232</v>
      </c>
      <c r="R237">
        <v>10196576.576576574</v>
      </c>
      <c r="S237">
        <v>14460</v>
      </c>
      <c r="T237">
        <v>13957</v>
      </c>
    </row>
    <row r="238" spans="1:20" x14ac:dyDescent="0.35">
      <c r="A238" s="7" t="s">
        <v>331</v>
      </c>
      <c r="B238" s="12" t="s">
        <v>290</v>
      </c>
      <c r="C238">
        <v>253807340.66840753</v>
      </c>
      <c r="D238">
        <v>246685311.47911522</v>
      </c>
      <c r="E238">
        <v>400900.90090090199</v>
      </c>
      <c r="F238">
        <v>1261711.711711718</v>
      </c>
      <c r="G238">
        <v>67</v>
      </c>
      <c r="H238">
        <v>64</v>
      </c>
      <c r="K238">
        <v>87</v>
      </c>
      <c r="L238">
        <v>97</v>
      </c>
      <c r="M238">
        <v>23648648.648648657</v>
      </c>
      <c r="N238">
        <v>25147747.747747749</v>
      </c>
      <c r="O238">
        <v>42064324.324324317</v>
      </c>
      <c r="P238">
        <v>43192124.324324317</v>
      </c>
      <c r="Q238">
        <v>22762432.432432435</v>
      </c>
      <c r="R238">
        <v>20721351.351351347</v>
      </c>
      <c r="S238">
        <v>17052</v>
      </c>
      <c r="T238">
        <v>16848</v>
      </c>
    </row>
    <row r="239" spans="1:20" x14ac:dyDescent="0.35">
      <c r="A239" s="7" t="s">
        <v>332</v>
      </c>
      <c r="B239" s="12" t="s">
        <v>290</v>
      </c>
      <c r="C239">
        <v>187504966.41710755</v>
      </c>
      <c r="D239">
        <v>183862682.23842388</v>
      </c>
      <c r="E239">
        <v>1438288.2882882899</v>
      </c>
      <c r="F239">
        <v>1716216.2162162189</v>
      </c>
      <c r="G239">
        <v>46</v>
      </c>
      <c r="H239">
        <v>32</v>
      </c>
      <c r="I239">
        <v>1</v>
      </c>
      <c r="K239">
        <v>59</v>
      </c>
      <c r="L239">
        <v>39</v>
      </c>
      <c r="M239">
        <v>17839189.189189196</v>
      </c>
      <c r="N239">
        <v>24699099.099099096</v>
      </c>
      <c r="O239">
        <v>44372288.288288288</v>
      </c>
      <c r="P239">
        <v>48815603.603603601</v>
      </c>
      <c r="Q239">
        <v>20599099.099099103</v>
      </c>
      <c r="R239">
        <v>25139279.27927928</v>
      </c>
      <c r="S239">
        <v>14772</v>
      </c>
      <c r="T239">
        <v>14506</v>
      </c>
    </row>
    <row r="240" spans="1:20" x14ac:dyDescent="0.35">
      <c r="A240" s="7" t="s">
        <v>333</v>
      </c>
      <c r="B240" s="12" t="s">
        <v>60</v>
      </c>
      <c r="C240">
        <v>25779191.099008895</v>
      </c>
      <c r="D240">
        <v>25938234.332877979</v>
      </c>
      <c r="E240">
        <v>313513.51351351402</v>
      </c>
      <c r="F240">
        <v>572072.072072073</v>
      </c>
      <c r="G240">
        <v>8</v>
      </c>
      <c r="H240">
        <v>25</v>
      </c>
      <c r="K240">
        <v>13</v>
      </c>
      <c r="L240">
        <v>39</v>
      </c>
      <c r="M240">
        <v>5358558.5585585581</v>
      </c>
      <c r="N240">
        <v>4672612.6126126107</v>
      </c>
      <c r="O240">
        <v>9036351.3513513524</v>
      </c>
      <c r="P240">
        <v>9102864.8648648635</v>
      </c>
      <c r="Q240">
        <v>4535135.1351351347</v>
      </c>
      <c r="R240">
        <v>4308018.0180180185</v>
      </c>
      <c r="S240">
        <v>2008</v>
      </c>
      <c r="T240">
        <v>1982</v>
      </c>
    </row>
    <row r="241" spans="1:20" x14ac:dyDescent="0.35">
      <c r="A241" s="7" t="s">
        <v>334</v>
      </c>
      <c r="B241" s="12" t="s">
        <v>60</v>
      </c>
      <c r="C241">
        <v>4165119.011116283</v>
      </c>
      <c r="D241">
        <v>4286016.7803035062</v>
      </c>
      <c r="E241">
        <v>110810.810810811</v>
      </c>
      <c r="F241">
        <v>215315.31531531599</v>
      </c>
      <c r="G241">
        <v>1</v>
      </c>
      <c r="H241">
        <v>3</v>
      </c>
      <c r="K241">
        <v>1</v>
      </c>
      <c r="L241">
        <v>5</v>
      </c>
      <c r="M241">
        <v>156756.75675675701</v>
      </c>
      <c r="N241">
        <v>457207.20720720798</v>
      </c>
      <c r="O241">
        <v>2242837.837837839</v>
      </c>
      <c r="P241">
        <v>2929639.6396396402</v>
      </c>
      <c r="Q241">
        <v>43243.243243243</v>
      </c>
      <c r="R241">
        <v>399909.90990991</v>
      </c>
      <c r="S241">
        <v>932</v>
      </c>
      <c r="T241">
        <v>939</v>
      </c>
    </row>
    <row r="242" spans="1:20" x14ac:dyDescent="0.35">
      <c r="A242" s="7" t="s">
        <v>335</v>
      </c>
      <c r="B242" s="12" t="s">
        <v>121</v>
      </c>
      <c r="C242">
        <v>48245.206231728996</v>
      </c>
      <c r="D242">
        <v>607077.241740825</v>
      </c>
      <c r="O242">
        <v>34234.234234233998</v>
      </c>
      <c r="P242">
        <v>46396.396396395998</v>
      </c>
      <c r="T242">
        <v>162</v>
      </c>
    </row>
    <row r="243" spans="1:20" x14ac:dyDescent="0.35">
      <c r="A243" s="7" t="s">
        <v>336</v>
      </c>
      <c r="B243" s="12" t="s">
        <v>121</v>
      </c>
      <c r="C243">
        <v>942120.89881824004</v>
      </c>
      <c r="D243">
        <v>971270.57096186501</v>
      </c>
      <c r="G243">
        <v>1</v>
      </c>
      <c r="K243">
        <v>2</v>
      </c>
      <c r="O243">
        <v>330000</v>
      </c>
      <c r="P243">
        <v>186576.576576577</v>
      </c>
      <c r="S243">
        <v>113</v>
      </c>
      <c r="T243">
        <v>172</v>
      </c>
    </row>
    <row r="244" spans="1:20" x14ac:dyDescent="0.35">
      <c r="A244" s="7" t="s">
        <v>337</v>
      </c>
      <c r="B244" s="12" t="s">
        <v>121</v>
      </c>
      <c r="C244">
        <v>772460.07857908099</v>
      </c>
      <c r="D244">
        <v>650240.63085045898</v>
      </c>
      <c r="G244">
        <v>1</v>
      </c>
      <c r="K244">
        <v>2</v>
      </c>
      <c r="O244">
        <v>19594.594594595001</v>
      </c>
      <c r="P244">
        <v>14414.414414413999</v>
      </c>
      <c r="S244">
        <v>162</v>
      </c>
      <c r="T244">
        <v>132</v>
      </c>
    </row>
    <row r="245" spans="1:20" x14ac:dyDescent="0.35">
      <c r="A245" s="7" t="s">
        <v>338</v>
      </c>
      <c r="B245" s="12" t="s">
        <v>140</v>
      </c>
      <c r="C245">
        <v>290413813.23564714</v>
      </c>
      <c r="D245">
        <v>285125275.29412425</v>
      </c>
      <c r="E245">
        <v>213423.42342342599</v>
      </c>
      <c r="F245">
        <v>793693.69369369699</v>
      </c>
      <c r="G245">
        <v>63</v>
      </c>
      <c r="H245">
        <v>37</v>
      </c>
      <c r="K245">
        <v>73</v>
      </c>
      <c r="L245">
        <v>62</v>
      </c>
      <c r="M245">
        <v>30249467.567567568</v>
      </c>
      <c r="N245">
        <v>23015315.315315317</v>
      </c>
      <c r="O245">
        <v>55890945.945945941</v>
      </c>
      <c r="P245">
        <v>54666306.306306303</v>
      </c>
      <c r="Q245">
        <v>24499819.819819819</v>
      </c>
      <c r="R245">
        <v>24173513.513513513</v>
      </c>
      <c r="S245">
        <v>16142</v>
      </c>
      <c r="T245">
        <v>15981</v>
      </c>
    </row>
    <row r="246" spans="1:20" x14ac:dyDescent="0.35">
      <c r="A246" s="7" t="s">
        <v>339</v>
      </c>
      <c r="B246" s="12" t="s">
        <v>121</v>
      </c>
      <c r="C246">
        <v>47008976.04540199</v>
      </c>
      <c r="D246">
        <v>42213496.572897501</v>
      </c>
      <c r="E246">
        <v>3603.603603604</v>
      </c>
      <c r="G246">
        <v>26</v>
      </c>
      <c r="H246">
        <v>12</v>
      </c>
      <c r="K246">
        <v>30</v>
      </c>
      <c r="L246">
        <v>13</v>
      </c>
      <c r="M246">
        <v>3603.603603604</v>
      </c>
      <c r="O246">
        <v>3437018.018018018</v>
      </c>
      <c r="P246">
        <v>3050099.0990990978</v>
      </c>
      <c r="S246">
        <v>2427</v>
      </c>
      <c r="T246">
        <v>2492</v>
      </c>
    </row>
    <row r="247" spans="1:20" x14ac:dyDescent="0.35">
      <c r="A247" s="7" t="s">
        <v>340</v>
      </c>
      <c r="B247" s="12" t="s">
        <v>140</v>
      </c>
      <c r="C247">
        <v>147243317.39034128</v>
      </c>
      <c r="D247">
        <v>153868301.38932806</v>
      </c>
      <c r="E247">
        <v>128378.37837837799</v>
      </c>
      <c r="F247">
        <v>357207.20720721199</v>
      </c>
      <c r="G247">
        <v>12</v>
      </c>
      <c r="H247">
        <v>17</v>
      </c>
      <c r="K247">
        <v>42</v>
      </c>
      <c r="L247">
        <v>27</v>
      </c>
      <c r="M247">
        <v>20095045.045045048</v>
      </c>
      <c r="N247">
        <v>29939819.819819815</v>
      </c>
      <c r="O247">
        <v>37353585.585585587</v>
      </c>
      <c r="P247">
        <v>44134376.576576576</v>
      </c>
      <c r="Q247">
        <v>22906936.936936937</v>
      </c>
      <c r="R247">
        <v>22321891.891891893</v>
      </c>
      <c r="S247">
        <v>8736</v>
      </c>
      <c r="T247">
        <v>8965</v>
      </c>
    </row>
    <row r="248" spans="1:20" x14ac:dyDescent="0.35">
      <c r="A248" s="7" t="s">
        <v>341</v>
      </c>
      <c r="B248" s="12" t="s">
        <v>134</v>
      </c>
      <c r="C248">
        <v>17514051.357530527</v>
      </c>
      <c r="D248">
        <v>15004283.189538108</v>
      </c>
      <c r="E248">
        <v>900.900900901</v>
      </c>
      <c r="F248">
        <v>40540.540540540998</v>
      </c>
      <c r="G248">
        <v>3</v>
      </c>
      <c r="H248">
        <v>4</v>
      </c>
      <c r="K248">
        <v>3</v>
      </c>
      <c r="L248">
        <v>4</v>
      </c>
      <c r="M248">
        <v>90990.990990991006</v>
      </c>
      <c r="N248">
        <v>581081.081081082</v>
      </c>
      <c r="O248">
        <v>1206936.936936937</v>
      </c>
      <c r="P248">
        <v>1471216.2162162161</v>
      </c>
      <c r="Q248">
        <v>540720.72072072094</v>
      </c>
      <c r="R248">
        <v>433333.33333333302</v>
      </c>
      <c r="S248">
        <v>1323</v>
      </c>
      <c r="T248">
        <v>1288</v>
      </c>
    </row>
    <row r="249" spans="1:20" x14ac:dyDescent="0.35">
      <c r="A249" s="7" t="s">
        <v>342</v>
      </c>
      <c r="B249" s="12" t="s">
        <v>121</v>
      </c>
      <c r="C249">
        <v>921794.67258429003</v>
      </c>
      <c r="D249">
        <v>241124.147560727</v>
      </c>
      <c r="G249">
        <v>2</v>
      </c>
      <c r="K249">
        <v>3</v>
      </c>
      <c r="O249">
        <v>420045.04504504497</v>
      </c>
      <c r="P249">
        <v>40990.990990990998</v>
      </c>
      <c r="S249">
        <v>407</v>
      </c>
    </row>
    <row r="250" spans="1:20" x14ac:dyDescent="0.35">
      <c r="A250" s="7" t="s">
        <v>5</v>
      </c>
      <c r="B250" s="12" t="s">
        <v>158</v>
      </c>
      <c r="C250">
        <v>48533976.182101361</v>
      </c>
      <c r="D250">
        <v>58473722.904897384</v>
      </c>
      <c r="E250">
        <v>543693.69369369396</v>
      </c>
      <c r="F250">
        <v>111711.711711713</v>
      </c>
      <c r="G250">
        <v>5</v>
      </c>
      <c r="H250">
        <v>6</v>
      </c>
      <c r="K250">
        <v>7</v>
      </c>
      <c r="L250">
        <v>6</v>
      </c>
      <c r="M250">
        <v>2624774.774774773</v>
      </c>
      <c r="N250">
        <v>5398198.1981981983</v>
      </c>
      <c r="O250">
        <v>22185360.360360362</v>
      </c>
      <c r="P250">
        <v>23857639.639639638</v>
      </c>
      <c r="Q250">
        <v>2129099.0990990978</v>
      </c>
      <c r="R250">
        <v>4770270.2702702703</v>
      </c>
      <c r="S250">
        <v>3327</v>
      </c>
      <c r="T250">
        <v>2975</v>
      </c>
    </row>
    <row r="251" spans="1:20" x14ac:dyDescent="0.35">
      <c r="A251" s="7" t="s">
        <v>343</v>
      </c>
      <c r="B251" s="12" t="s">
        <v>304</v>
      </c>
      <c r="C251">
        <v>6205107.6988393869</v>
      </c>
      <c r="D251">
        <v>8931748.2733857986</v>
      </c>
      <c r="E251">
        <v>900.900900901</v>
      </c>
      <c r="G251">
        <v>11</v>
      </c>
      <c r="H251">
        <v>5</v>
      </c>
      <c r="K251">
        <v>12</v>
      </c>
      <c r="L251">
        <v>7</v>
      </c>
      <c r="M251">
        <v>900.900900901</v>
      </c>
      <c r="O251">
        <v>1384189.1891891891</v>
      </c>
      <c r="P251">
        <v>1602018.018018018</v>
      </c>
      <c r="Q251">
        <v>157207.20720720699</v>
      </c>
      <c r="R251">
        <v>133333.33333333299</v>
      </c>
      <c r="S251">
        <v>564</v>
      </c>
      <c r="T251">
        <v>556</v>
      </c>
    </row>
    <row r="252" spans="1:20" x14ac:dyDescent="0.35">
      <c r="A252" s="7" t="s">
        <v>344</v>
      </c>
      <c r="B252" s="12" t="s">
        <v>105</v>
      </c>
      <c r="C252">
        <v>112382327.32732457</v>
      </c>
      <c r="D252">
        <v>113422208.24930923</v>
      </c>
      <c r="E252">
        <v>68468.468468467996</v>
      </c>
      <c r="F252">
        <v>717567.56756756897</v>
      </c>
      <c r="G252">
        <v>22</v>
      </c>
      <c r="H252">
        <v>16</v>
      </c>
      <c r="K252">
        <v>26</v>
      </c>
      <c r="L252">
        <v>20</v>
      </c>
      <c r="M252">
        <v>11654054.054054052</v>
      </c>
      <c r="N252">
        <v>14574774.774774775</v>
      </c>
      <c r="O252">
        <v>28121522.522522524</v>
      </c>
      <c r="P252">
        <v>25701927.927927926</v>
      </c>
      <c r="Q252">
        <v>11866846.846846849</v>
      </c>
      <c r="R252">
        <v>12329099.0990991</v>
      </c>
      <c r="S252">
        <v>5818</v>
      </c>
      <c r="T252">
        <v>5727</v>
      </c>
    </row>
    <row r="253" spans="1:20" x14ac:dyDescent="0.35">
      <c r="A253" s="7" t="s">
        <v>345</v>
      </c>
      <c r="B253" s="12" t="s">
        <v>87</v>
      </c>
      <c r="C253">
        <v>36238356.524340488</v>
      </c>
      <c r="D253">
        <v>35641618.43560382</v>
      </c>
      <c r="E253">
        <v>290090.09009009099</v>
      </c>
      <c r="F253">
        <v>54054.054054054999</v>
      </c>
      <c r="G253">
        <v>19</v>
      </c>
      <c r="H253">
        <v>13</v>
      </c>
      <c r="K253">
        <v>22</v>
      </c>
      <c r="L253">
        <v>15</v>
      </c>
      <c r="M253">
        <v>9569369.3693693709</v>
      </c>
      <c r="N253">
        <v>9621621.6216216199</v>
      </c>
      <c r="O253">
        <v>7981328.8288288293</v>
      </c>
      <c r="P253">
        <v>8956070.2702702694</v>
      </c>
      <c r="Q253">
        <v>4897297.297297297</v>
      </c>
      <c r="R253">
        <v>6574277.4774774769</v>
      </c>
      <c r="S253">
        <v>2177</v>
      </c>
      <c r="T253">
        <v>2375</v>
      </c>
    </row>
    <row r="254" spans="1:20" x14ac:dyDescent="0.35">
      <c r="A254" s="7" t="s">
        <v>346</v>
      </c>
      <c r="B254" s="12" t="s">
        <v>87</v>
      </c>
      <c r="C254">
        <v>109452230.31724457</v>
      </c>
      <c r="D254">
        <v>98447046.980714172</v>
      </c>
      <c r="E254">
        <v>109909.909909911</v>
      </c>
      <c r="F254">
        <v>752252.25225225603</v>
      </c>
      <c r="G254">
        <v>71</v>
      </c>
      <c r="H254">
        <v>74</v>
      </c>
      <c r="I254">
        <v>1</v>
      </c>
      <c r="K254">
        <v>85</v>
      </c>
      <c r="L254">
        <v>91</v>
      </c>
      <c r="M254">
        <v>10180180.180180185</v>
      </c>
      <c r="N254">
        <v>9427027.0270270277</v>
      </c>
      <c r="O254">
        <v>16736941.441441439</v>
      </c>
      <c r="P254">
        <v>17607504.504504506</v>
      </c>
      <c r="Q254">
        <v>9082072.072072072</v>
      </c>
      <c r="R254">
        <v>7143333.3333333321</v>
      </c>
      <c r="S254">
        <v>6668</v>
      </c>
      <c r="T254">
        <v>6517</v>
      </c>
    </row>
    <row r="255" spans="1:20" x14ac:dyDescent="0.35">
      <c r="A255" s="7" t="s">
        <v>347</v>
      </c>
      <c r="B255" s="12" t="s">
        <v>87</v>
      </c>
      <c r="C255">
        <v>2663919.5351832048</v>
      </c>
      <c r="D255">
        <v>3058197.9817154291</v>
      </c>
      <c r="G255">
        <v>1</v>
      </c>
      <c r="H255">
        <v>4</v>
      </c>
      <c r="K255">
        <v>1</v>
      </c>
      <c r="L255">
        <v>7</v>
      </c>
      <c r="O255">
        <v>1790945.945945946</v>
      </c>
      <c r="P255">
        <v>1309495.4954954949</v>
      </c>
      <c r="S255">
        <v>757</v>
      </c>
      <c r="T255">
        <v>785</v>
      </c>
    </row>
    <row r="256" spans="1:20" x14ac:dyDescent="0.35">
      <c r="A256" s="7" t="s">
        <v>348</v>
      </c>
      <c r="B256" s="12" t="s">
        <v>87</v>
      </c>
      <c r="C256">
        <v>965237.02835881605</v>
      </c>
      <c r="D256">
        <v>1422182.0179156221</v>
      </c>
      <c r="H256">
        <v>1</v>
      </c>
      <c r="L256">
        <v>1</v>
      </c>
      <c r="O256">
        <v>177837.83783783799</v>
      </c>
      <c r="P256">
        <v>723288.28828828805</v>
      </c>
      <c r="S256">
        <v>166</v>
      </c>
      <c r="T256">
        <v>180</v>
      </c>
    </row>
    <row r="257" spans="1:20" x14ac:dyDescent="0.35">
      <c r="A257" s="7" t="s">
        <v>349</v>
      </c>
      <c r="B257" s="12" t="s">
        <v>87</v>
      </c>
      <c r="C257">
        <v>1127244.6868873821</v>
      </c>
      <c r="D257">
        <v>1170619.684972167</v>
      </c>
      <c r="H257">
        <v>1</v>
      </c>
      <c r="K257">
        <v>1</v>
      </c>
      <c r="L257">
        <v>3</v>
      </c>
      <c r="O257">
        <v>459549.549549549</v>
      </c>
      <c r="P257">
        <v>689108.10810810805</v>
      </c>
      <c r="S257">
        <v>626</v>
      </c>
      <c r="T257">
        <v>756</v>
      </c>
    </row>
    <row r="258" spans="1:20" x14ac:dyDescent="0.35">
      <c r="A258" s="7" t="s">
        <v>350</v>
      </c>
      <c r="B258" s="12" t="s">
        <v>87</v>
      </c>
      <c r="C258">
        <v>32669024.389120709</v>
      </c>
      <c r="D258">
        <v>29938852.790957782</v>
      </c>
      <c r="E258">
        <v>4504.5045045050001</v>
      </c>
      <c r="F258">
        <v>68468.468468469</v>
      </c>
      <c r="G258">
        <v>15</v>
      </c>
      <c r="H258">
        <v>8</v>
      </c>
      <c r="K258">
        <v>18</v>
      </c>
      <c r="L258">
        <v>11</v>
      </c>
      <c r="M258">
        <v>2887387.3873873879</v>
      </c>
      <c r="N258">
        <v>3732432.4324324341</v>
      </c>
      <c r="O258">
        <v>6232252.2522522528</v>
      </c>
      <c r="P258">
        <v>6112306.3063063063</v>
      </c>
      <c r="Q258">
        <v>2388288.2882882901</v>
      </c>
      <c r="R258">
        <v>2472972.9729729742</v>
      </c>
      <c r="S258">
        <v>2049</v>
      </c>
      <c r="T258">
        <v>1985</v>
      </c>
    </row>
    <row r="259" spans="1:20" x14ac:dyDescent="0.35">
      <c r="A259" s="7" t="s">
        <v>351</v>
      </c>
      <c r="B259" s="12" t="s">
        <v>50</v>
      </c>
      <c r="C259">
        <v>75840805.208392337</v>
      </c>
      <c r="D259">
        <v>83930251.902017012</v>
      </c>
      <c r="E259">
        <v>33651353.153153151</v>
      </c>
      <c r="F259">
        <v>89080744.144144148</v>
      </c>
      <c r="G259">
        <v>8</v>
      </c>
      <c r="H259">
        <v>26</v>
      </c>
      <c r="K259">
        <v>9</v>
      </c>
      <c r="L259">
        <v>32</v>
      </c>
      <c r="M259">
        <v>86467797.297297299</v>
      </c>
      <c r="N259">
        <v>7694594.594594595</v>
      </c>
      <c r="O259">
        <v>28968603.603603605</v>
      </c>
      <c r="P259">
        <v>30289058.558558561</v>
      </c>
      <c r="Q259">
        <v>12383513.513513517</v>
      </c>
      <c r="R259">
        <v>8986486.4864864852</v>
      </c>
      <c r="S259">
        <v>4312</v>
      </c>
      <c r="T259">
        <v>5407</v>
      </c>
    </row>
    <row r="260" spans="1:20" x14ac:dyDescent="0.35">
      <c r="A260" s="7" t="s">
        <v>352</v>
      </c>
      <c r="B260" s="12" t="s">
        <v>123</v>
      </c>
      <c r="C260">
        <v>455971.32869523799</v>
      </c>
      <c r="D260">
        <v>490315.163339124</v>
      </c>
      <c r="H260">
        <v>1</v>
      </c>
      <c r="L260">
        <v>1</v>
      </c>
      <c r="O260">
        <v>155720.720720721</v>
      </c>
      <c r="P260">
        <v>224369.369369369</v>
      </c>
      <c r="S260">
        <v>111</v>
      </c>
      <c r="T260">
        <v>118</v>
      </c>
    </row>
    <row r="261" spans="1:20" x14ac:dyDescent="0.35">
      <c r="A261" s="7" t="s">
        <v>353</v>
      </c>
      <c r="B261" s="12" t="s">
        <v>354</v>
      </c>
      <c r="C261">
        <v>145209271.25434572</v>
      </c>
      <c r="D261">
        <v>135134877.03505942</v>
      </c>
      <c r="E261">
        <v>1931531.5315315309</v>
      </c>
      <c r="F261">
        <v>4974774.7747747749</v>
      </c>
      <c r="G261">
        <v>41</v>
      </c>
      <c r="H261">
        <v>76</v>
      </c>
      <c r="K261">
        <v>140</v>
      </c>
      <c r="L261">
        <v>388</v>
      </c>
      <c r="M261">
        <v>76724864.864864871</v>
      </c>
      <c r="N261">
        <v>117591891.89189188</v>
      </c>
      <c r="O261">
        <v>84930225.225225225</v>
      </c>
      <c r="P261">
        <v>83418846.846846849</v>
      </c>
      <c r="Q261">
        <v>67415405.405405402</v>
      </c>
      <c r="R261">
        <v>114477387.38738738</v>
      </c>
      <c r="S261">
        <v>9763</v>
      </c>
      <c r="T261">
        <v>9003</v>
      </c>
    </row>
    <row r="262" spans="1:20" x14ac:dyDescent="0.35">
      <c r="A262" s="7" t="s">
        <v>355</v>
      </c>
      <c r="B262" s="12" t="s">
        <v>48</v>
      </c>
      <c r="C262">
        <v>102972181.62345433</v>
      </c>
      <c r="D262">
        <v>94340958.14895983</v>
      </c>
      <c r="E262">
        <v>19892904.504504506</v>
      </c>
      <c r="F262">
        <v>64343381.081081077</v>
      </c>
      <c r="G262">
        <v>19</v>
      </c>
      <c r="H262">
        <v>8</v>
      </c>
      <c r="K262">
        <v>25</v>
      </c>
      <c r="L262">
        <v>10</v>
      </c>
      <c r="M262">
        <v>2515765.7657657661</v>
      </c>
      <c r="N262">
        <v>5987387.3873873884</v>
      </c>
      <c r="O262">
        <v>6758675.6756756753</v>
      </c>
      <c r="P262">
        <v>7357216.2162162159</v>
      </c>
      <c r="Q262">
        <v>319549.54954954999</v>
      </c>
      <c r="R262">
        <v>150900.900900901</v>
      </c>
      <c r="S262">
        <v>5858</v>
      </c>
      <c r="T262">
        <v>5681</v>
      </c>
    </row>
    <row r="263" spans="1:20" x14ac:dyDescent="0.35">
      <c r="A263" s="7" t="s">
        <v>356</v>
      </c>
      <c r="B263" s="12" t="s">
        <v>123</v>
      </c>
      <c r="C263">
        <v>108636109.84720355</v>
      </c>
      <c r="D263">
        <v>101726338.24563648</v>
      </c>
      <c r="E263">
        <v>31531.531531532</v>
      </c>
      <c r="F263">
        <v>42342.342342342999</v>
      </c>
      <c r="G263">
        <v>25</v>
      </c>
      <c r="H263">
        <v>16</v>
      </c>
      <c r="K263">
        <v>26</v>
      </c>
      <c r="L263">
        <v>20</v>
      </c>
      <c r="M263">
        <v>2960900.900900899</v>
      </c>
      <c r="N263">
        <v>6851801.8018018007</v>
      </c>
      <c r="O263">
        <v>24711702.702702705</v>
      </c>
      <c r="P263">
        <v>23374549.549549554</v>
      </c>
      <c r="Q263">
        <v>3549729.7297297278</v>
      </c>
      <c r="R263">
        <v>6035315.3153153146</v>
      </c>
      <c r="S263">
        <v>5649</v>
      </c>
      <c r="T263">
        <v>5536</v>
      </c>
    </row>
    <row r="264" spans="1:20" x14ac:dyDescent="0.35">
      <c r="A264" s="7" t="s">
        <v>357</v>
      </c>
      <c r="B264" s="12" t="s">
        <v>62</v>
      </c>
      <c r="C264">
        <v>62781017.397595406</v>
      </c>
      <c r="D264">
        <v>60296372.779724136</v>
      </c>
      <c r="E264">
        <v>172972.972972972</v>
      </c>
      <c r="F264">
        <v>147747.74774774801</v>
      </c>
      <c r="G264">
        <v>5</v>
      </c>
      <c r="H264">
        <v>6</v>
      </c>
      <c r="K264">
        <v>5</v>
      </c>
      <c r="L264">
        <v>6</v>
      </c>
      <c r="M264">
        <v>7684324.3243243238</v>
      </c>
      <c r="N264">
        <v>4550270.2702702694</v>
      </c>
      <c r="O264">
        <v>16292612.612612613</v>
      </c>
      <c r="P264">
        <v>15394549.54954955</v>
      </c>
      <c r="Q264">
        <v>7510000.0000000019</v>
      </c>
      <c r="R264">
        <v>5892342.3423423423</v>
      </c>
      <c r="S264">
        <v>4001</v>
      </c>
      <c r="T264">
        <v>3796</v>
      </c>
    </row>
    <row r="265" spans="1:20" x14ac:dyDescent="0.35">
      <c r="A265" s="7" t="s">
        <v>358</v>
      </c>
      <c r="B265" s="12" t="s">
        <v>315</v>
      </c>
      <c r="C265">
        <v>2666141.5047957608</v>
      </c>
      <c r="D265">
        <v>35518.399940046998</v>
      </c>
      <c r="G265">
        <v>4</v>
      </c>
      <c r="K265">
        <v>5</v>
      </c>
      <c r="O265">
        <v>1529684.684684684</v>
      </c>
      <c r="P265">
        <v>6306.3063063059999</v>
      </c>
      <c r="S265">
        <v>532</v>
      </c>
      <c r="T265">
        <v>1</v>
      </c>
    </row>
    <row r="266" spans="1:20" x14ac:dyDescent="0.35">
      <c r="A266" s="7" t="s">
        <v>359</v>
      </c>
      <c r="B266" s="12" t="s">
        <v>315</v>
      </c>
      <c r="C266">
        <v>70196547.663677916</v>
      </c>
      <c r="D266">
        <v>56377369.587037899</v>
      </c>
      <c r="E266">
        <v>1860360.3603603609</v>
      </c>
      <c r="F266">
        <v>209009.00900900899</v>
      </c>
      <c r="G266">
        <v>13</v>
      </c>
      <c r="H266">
        <v>17</v>
      </c>
      <c r="K266">
        <v>15</v>
      </c>
      <c r="L266">
        <v>23</v>
      </c>
      <c r="M266">
        <v>12704414.414414413</v>
      </c>
      <c r="N266">
        <v>3136936.9369369359</v>
      </c>
      <c r="O266">
        <v>25895450.450450446</v>
      </c>
      <c r="P266">
        <v>21869225.225225225</v>
      </c>
      <c r="Q266">
        <v>16013873.873873876</v>
      </c>
      <c r="R266">
        <v>9098828.8288288284</v>
      </c>
      <c r="S266">
        <v>3187</v>
      </c>
      <c r="T266">
        <v>4089</v>
      </c>
    </row>
    <row r="267" spans="1:20" x14ac:dyDescent="0.35">
      <c r="A267" s="7" t="s">
        <v>360</v>
      </c>
      <c r="B267" s="12" t="s">
        <v>92</v>
      </c>
      <c r="C267">
        <v>113171351.07930674</v>
      </c>
      <c r="D267">
        <v>111027034.08769445</v>
      </c>
      <c r="E267">
        <v>30998866.666666664</v>
      </c>
      <c r="F267">
        <v>41207174.774774775</v>
      </c>
      <c r="G267">
        <v>27</v>
      </c>
      <c r="H267">
        <v>53</v>
      </c>
      <c r="K267">
        <v>32</v>
      </c>
      <c r="L267">
        <v>166</v>
      </c>
      <c r="M267">
        <v>28685765.765765768</v>
      </c>
      <c r="N267">
        <v>22871171.17117117</v>
      </c>
      <c r="O267">
        <v>32543414.414414417</v>
      </c>
      <c r="P267">
        <v>32987909.909909911</v>
      </c>
      <c r="Q267">
        <v>17981801.801801804</v>
      </c>
      <c r="R267">
        <v>20650360.360360365</v>
      </c>
      <c r="S267">
        <v>6825</v>
      </c>
      <c r="T267">
        <v>8248</v>
      </c>
    </row>
    <row r="268" spans="1:20" x14ac:dyDescent="0.35">
      <c r="A268" s="7" t="s">
        <v>361</v>
      </c>
      <c r="B268" s="12" t="s">
        <v>58</v>
      </c>
      <c r="C268">
        <v>234581451.38229811</v>
      </c>
      <c r="D268">
        <v>218453390.9474608</v>
      </c>
      <c r="E268">
        <v>1826126.1261261259</v>
      </c>
      <c r="F268">
        <v>634234.23423423397</v>
      </c>
      <c r="G268">
        <v>21</v>
      </c>
      <c r="H268">
        <v>32</v>
      </c>
      <c r="K268">
        <v>24</v>
      </c>
      <c r="L268">
        <v>40</v>
      </c>
      <c r="M268">
        <v>12681981.981981982</v>
      </c>
      <c r="N268">
        <v>10702702.702702699</v>
      </c>
      <c r="O268">
        <v>34545405.40540541</v>
      </c>
      <c r="P268">
        <v>32590945.945945945</v>
      </c>
      <c r="Q268">
        <v>7359819.8198198201</v>
      </c>
      <c r="R268">
        <v>7121801.8018017998</v>
      </c>
      <c r="S268">
        <v>12765</v>
      </c>
      <c r="T268">
        <v>12710</v>
      </c>
    </row>
    <row r="269" spans="1:20" x14ac:dyDescent="0.35">
      <c r="A269" s="7" t="s">
        <v>362</v>
      </c>
      <c r="B269" s="12" t="s">
        <v>48</v>
      </c>
      <c r="C269">
        <v>80809525.461202443</v>
      </c>
      <c r="D269">
        <v>77944717.614011183</v>
      </c>
      <c r="E269">
        <v>145945.945945946</v>
      </c>
      <c r="F269">
        <v>47747.747747747999</v>
      </c>
      <c r="G269">
        <v>2</v>
      </c>
      <c r="H269">
        <v>2</v>
      </c>
      <c r="K269">
        <v>2</v>
      </c>
      <c r="L269">
        <v>3</v>
      </c>
      <c r="M269">
        <v>1386306.306306307</v>
      </c>
      <c r="N269">
        <v>8876036.0360360369</v>
      </c>
      <c r="O269">
        <v>13811396.396396397</v>
      </c>
      <c r="P269">
        <v>11967630.630630629</v>
      </c>
      <c r="Q269">
        <v>4086756.7567567579</v>
      </c>
      <c r="R269">
        <v>5961261.261261262</v>
      </c>
      <c r="S269">
        <v>3828</v>
      </c>
      <c r="T269">
        <v>3871</v>
      </c>
    </row>
    <row r="270" spans="1:20" x14ac:dyDescent="0.35">
      <c r="A270" s="7" t="s">
        <v>363</v>
      </c>
      <c r="B270" s="12" t="s">
        <v>52</v>
      </c>
      <c r="C270">
        <v>32414229.220320873</v>
      </c>
      <c r="D270">
        <v>32580311.335726678</v>
      </c>
      <c r="E270">
        <v>165855.855855856</v>
      </c>
      <c r="F270">
        <v>70270.270270270004</v>
      </c>
      <c r="G270">
        <v>2</v>
      </c>
      <c r="H270">
        <v>10</v>
      </c>
      <c r="K270">
        <v>3</v>
      </c>
      <c r="L270">
        <v>12</v>
      </c>
      <c r="M270">
        <v>796486.48648648604</v>
      </c>
      <c r="N270">
        <v>565765.76576576603</v>
      </c>
      <c r="O270">
        <v>15138648.648648648</v>
      </c>
      <c r="P270">
        <v>16039342.342342343</v>
      </c>
      <c r="Q270">
        <v>803603.60360360297</v>
      </c>
      <c r="R270">
        <v>669639.63963963895</v>
      </c>
      <c r="S270">
        <v>2308</v>
      </c>
      <c r="T270">
        <v>2146</v>
      </c>
    </row>
    <row r="271" spans="1:20" x14ac:dyDescent="0.35">
      <c r="A271" s="7" t="s">
        <v>364</v>
      </c>
      <c r="B271" s="12" t="s">
        <v>52</v>
      </c>
      <c r="C271">
        <v>25457962.605050247</v>
      </c>
      <c r="D271">
        <v>25359174.823779471</v>
      </c>
      <c r="E271">
        <v>302252.25225225202</v>
      </c>
      <c r="F271">
        <v>1002702.702702704</v>
      </c>
      <c r="G271">
        <v>5</v>
      </c>
      <c r="H271">
        <v>11</v>
      </c>
      <c r="K271">
        <v>7</v>
      </c>
      <c r="L271">
        <v>57</v>
      </c>
      <c r="M271">
        <v>2293243.2432432431</v>
      </c>
      <c r="N271">
        <v>2372072.0720720729</v>
      </c>
      <c r="O271">
        <v>13061288.288288288</v>
      </c>
      <c r="P271">
        <v>13699576.576576576</v>
      </c>
      <c r="Q271">
        <v>1764864.8648648639</v>
      </c>
      <c r="R271">
        <v>7228288.2882882897</v>
      </c>
      <c r="S271">
        <v>2392</v>
      </c>
      <c r="T271">
        <v>2412</v>
      </c>
    </row>
    <row r="272" spans="1:20" x14ac:dyDescent="0.35">
      <c r="A272" s="7" t="s">
        <v>365</v>
      </c>
      <c r="B272" s="12" t="s">
        <v>52</v>
      </c>
      <c r="C272">
        <v>275470188.12653953</v>
      </c>
      <c r="D272">
        <v>292753074.79473948</v>
      </c>
      <c r="E272">
        <v>669570.27027027204</v>
      </c>
      <c r="F272">
        <v>159729306.3063063</v>
      </c>
      <c r="G272">
        <v>51</v>
      </c>
      <c r="H272">
        <v>111</v>
      </c>
      <c r="K272">
        <v>67</v>
      </c>
      <c r="L272">
        <v>171</v>
      </c>
      <c r="M272">
        <v>11467297.297297288</v>
      </c>
      <c r="N272">
        <v>12182882.882882887</v>
      </c>
      <c r="O272">
        <v>92054842.342342332</v>
      </c>
      <c r="P272">
        <v>105140718.91891891</v>
      </c>
      <c r="Q272">
        <v>12729009.009009</v>
      </c>
      <c r="R272">
        <v>35077387.387387387</v>
      </c>
      <c r="S272">
        <v>20012</v>
      </c>
      <c r="T272">
        <v>21044</v>
      </c>
    </row>
    <row r="273" spans="1:20" x14ac:dyDescent="0.35">
      <c r="A273" s="7" t="s">
        <v>366</v>
      </c>
      <c r="B273" s="12" t="s">
        <v>293</v>
      </c>
      <c r="C273">
        <v>172351250.41996133</v>
      </c>
      <c r="D273">
        <v>157985579.54025033</v>
      </c>
      <c r="E273">
        <v>20734607.207207207</v>
      </c>
      <c r="F273">
        <v>5220865.7657657666</v>
      </c>
      <c r="G273">
        <v>30</v>
      </c>
      <c r="H273">
        <v>43</v>
      </c>
      <c r="K273">
        <v>40</v>
      </c>
      <c r="L273">
        <v>82</v>
      </c>
      <c r="M273">
        <v>20518018.018018015</v>
      </c>
      <c r="N273">
        <v>16298918.918918915</v>
      </c>
      <c r="O273">
        <v>51573063.063063063</v>
      </c>
      <c r="P273">
        <v>51072536.036036037</v>
      </c>
      <c r="Q273">
        <v>16897927.927927934</v>
      </c>
      <c r="R273">
        <v>14831261.261261256</v>
      </c>
      <c r="S273">
        <v>11163</v>
      </c>
      <c r="T273">
        <v>11053</v>
      </c>
    </row>
    <row r="274" spans="1:20" x14ac:dyDescent="0.35">
      <c r="A274" s="7" t="s">
        <v>367</v>
      </c>
      <c r="B274" s="12" t="s">
        <v>368</v>
      </c>
      <c r="C274">
        <v>75759025.369762287</v>
      </c>
      <c r="D274">
        <v>66689746.124667168</v>
      </c>
      <c r="E274">
        <v>145225.22522522599</v>
      </c>
      <c r="F274">
        <v>377477.47747747903</v>
      </c>
      <c r="G274">
        <v>16</v>
      </c>
      <c r="H274">
        <v>12</v>
      </c>
      <c r="K274">
        <v>17</v>
      </c>
      <c r="L274">
        <v>12</v>
      </c>
      <c r="M274">
        <v>10519099.0990991</v>
      </c>
      <c r="N274">
        <v>9229909.9099099077</v>
      </c>
      <c r="O274">
        <v>29707115.315315317</v>
      </c>
      <c r="P274">
        <v>26196558.558558561</v>
      </c>
      <c r="Q274">
        <v>10804594.594594594</v>
      </c>
      <c r="R274">
        <v>11318378.378378376</v>
      </c>
      <c r="S274">
        <v>3968</v>
      </c>
      <c r="T274">
        <v>3820</v>
      </c>
    </row>
    <row r="275" spans="1:20" x14ac:dyDescent="0.35">
      <c r="A275" s="7" t="s">
        <v>369</v>
      </c>
      <c r="B275" s="12" t="s">
        <v>70</v>
      </c>
      <c r="C275">
        <v>20946101.436981577</v>
      </c>
      <c r="D275">
        <v>19978014.753925536</v>
      </c>
      <c r="E275">
        <v>17117.117117116999</v>
      </c>
      <c r="F275">
        <v>1508108.1081081091</v>
      </c>
      <c r="G275">
        <v>4</v>
      </c>
      <c r="H275">
        <v>12</v>
      </c>
      <c r="K275">
        <v>5</v>
      </c>
      <c r="L275">
        <v>20</v>
      </c>
      <c r="M275">
        <v>2436936.9369369368</v>
      </c>
      <c r="N275">
        <v>4073873.873873875</v>
      </c>
      <c r="O275">
        <v>7163198.1981981983</v>
      </c>
      <c r="P275">
        <v>6784180.1801801799</v>
      </c>
      <c r="Q275">
        <v>3837207.2072072071</v>
      </c>
      <c r="R275">
        <v>3319819.8198198201</v>
      </c>
      <c r="S275">
        <v>1177</v>
      </c>
      <c r="T275">
        <v>1191</v>
      </c>
    </row>
    <row r="276" spans="1:20" x14ac:dyDescent="0.35">
      <c r="A276" s="7" t="s">
        <v>370</v>
      </c>
      <c r="B276" s="12" t="s">
        <v>50</v>
      </c>
      <c r="C276">
        <v>43078362.503426656</v>
      </c>
      <c r="D276">
        <v>43008769.858321048</v>
      </c>
      <c r="E276">
        <v>19819.819819820001</v>
      </c>
      <c r="F276">
        <v>500000.00000000099</v>
      </c>
      <c r="G276">
        <v>4</v>
      </c>
      <c r="H276">
        <v>7</v>
      </c>
      <c r="K276">
        <v>5</v>
      </c>
      <c r="L276">
        <v>14</v>
      </c>
      <c r="M276">
        <v>2885315.315315316</v>
      </c>
      <c r="N276">
        <v>2957747.7477477482</v>
      </c>
      <c r="O276">
        <v>18134279.27927928</v>
      </c>
      <c r="P276">
        <v>18049369.369369369</v>
      </c>
      <c r="Q276">
        <v>3250180.1801801822</v>
      </c>
      <c r="R276">
        <v>2539459.4594594608</v>
      </c>
      <c r="S276">
        <v>2749</v>
      </c>
      <c r="T276">
        <v>2724</v>
      </c>
    </row>
    <row r="277" spans="1:20" x14ac:dyDescent="0.35">
      <c r="A277" s="7" t="s">
        <v>371</v>
      </c>
      <c r="B277" s="12" t="s">
        <v>121</v>
      </c>
      <c r="C277">
        <v>45004999.887566984</v>
      </c>
      <c r="D277">
        <v>42288072.933800578</v>
      </c>
      <c r="E277">
        <v>31531.531531533001</v>
      </c>
      <c r="F277">
        <v>300900.90090090199</v>
      </c>
      <c r="G277">
        <v>8</v>
      </c>
      <c r="H277">
        <v>11</v>
      </c>
      <c r="K277">
        <v>10</v>
      </c>
      <c r="L277">
        <v>16</v>
      </c>
      <c r="M277">
        <v>238738.73873874001</v>
      </c>
      <c r="N277">
        <v>1513513.5135135141</v>
      </c>
      <c r="O277">
        <v>4224684.6846846854</v>
      </c>
      <c r="P277">
        <v>4668270.2702702703</v>
      </c>
      <c r="Q277">
        <v>464684.68468468502</v>
      </c>
      <c r="R277">
        <v>1101801.801801801</v>
      </c>
      <c r="S277">
        <v>2776</v>
      </c>
      <c r="T277">
        <v>2786</v>
      </c>
    </row>
    <row r="278" spans="1:20" x14ac:dyDescent="0.35">
      <c r="A278" s="7" t="s">
        <v>372</v>
      </c>
      <c r="B278" s="12" t="s">
        <v>373</v>
      </c>
      <c r="C278">
        <v>112706942.79121661</v>
      </c>
      <c r="D278">
        <v>91514756.386907756</v>
      </c>
      <c r="E278">
        <v>1704881.981981982</v>
      </c>
      <c r="F278">
        <v>1496883.783783786</v>
      </c>
      <c r="G278">
        <v>181</v>
      </c>
      <c r="H278">
        <v>16</v>
      </c>
      <c r="I278">
        <v>1</v>
      </c>
      <c r="K278">
        <v>190</v>
      </c>
      <c r="L278">
        <v>20</v>
      </c>
      <c r="M278">
        <v>13327027.02702703</v>
      </c>
      <c r="N278">
        <v>11789099.099099096</v>
      </c>
      <c r="O278">
        <v>48639849.54954955</v>
      </c>
      <c r="P278">
        <v>34048846.846846849</v>
      </c>
      <c r="Q278">
        <v>18486439.639639638</v>
      </c>
      <c r="R278">
        <v>9106126.1261261236</v>
      </c>
      <c r="S278">
        <v>10081</v>
      </c>
      <c r="T278">
        <v>9819</v>
      </c>
    </row>
    <row r="279" spans="1:20" x14ac:dyDescent="0.35">
      <c r="A279" s="7" t="s">
        <v>374</v>
      </c>
      <c r="B279" s="12" t="s">
        <v>66</v>
      </c>
      <c r="C279">
        <v>65690656.883965969</v>
      </c>
      <c r="D279">
        <v>67895806.654871866</v>
      </c>
      <c r="E279">
        <v>42342.342342342999</v>
      </c>
      <c r="F279">
        <v>1522522.522522524</v>
      </c>
      <c r="G279">
        <v>19</v>
      </c>
      <c r="H279">
        <v>19</v>
      </c>
      <c r="K279">
        <v>24</v>
      </c>
      <c r="L279">
        <v>26</v>
      </c>
      <c r="M279">
        <v>11121621.621621622</v>
      </c>
      <c r="N279">
        <v>15244144.144144148</v>
      </c>
      <c r="O279">
        <v>23695549.549549554</v>
      </c>
      <c r="P279">
        <v>24572522.52252252</v>
      </c>
      <c r="Q279">
        <v>7780360.3603603598</v>
      </c>
      <c r="R279">
        <v>16598108.108108111</v>
      </c>
      <c r="S279">
        <v>6906</v>
      </c>
      <c r="T279">
        <v>6747</v>
      </c>
    </row>
    <row r="280" spans="1:20" x14ac:dyDescent="0.35">
      <c r="A280" s="7" t="s">
        <v>375</v>
      </c>
      <c r="B280" s="12" t="s">
        <v>354</v>
      </c>
      <c r="C280">
        <v>106410966.77896604</v>
      </c>
      <c r="D280">
        <v>103660771.28028281</v>
      </c>
      <c r="E280">
        <v>707657.65765765996</v>
      </c>
      <c r="F280">
        <v>2110810.8108108132</v>
      </c>
      <c r="G280">
        <v>221</v>
      </c>
      <c r="H280">
        <v>243</v>
      </c>
      <c r="K280">
        <v>227</v>
      </c>
      <c r="L280">
        <v>245</v>
      </c>
      <c r="M280">
        <v>19128378.37837838</v>
      </c>
      <c r="N280">
        <v>21492702.702702705</v>
      </c>
      <c r="O280">
        <v>64779945.945945941</v>
      </c>
      <c r="P280">
        <v>65300675.675675683</v>
      </c>
      <c r="Q280">
        <v>21661981.981981982</v>
      </c>
      <c r="R280">
        <v>22790630.630630627</v>
      </c>
      <c r="S280">
        <v>7137</v>
      </c>
      <c r="T280">
        <v>6732</v>
      </c>
    </row>
    <row r="281" spans="1:20" x14ac:dyDescent="0.35">
      <c r="A281" s="7" t="s">
        <v>376</v>
      </c>
      <c r="B281" s="12" t="s">
        <v>66</v>
      </c>
      <c r="C281">
        <v>38396926.070683502</v>
      </c>
      <c r="D281">
        <v>39872420.570695534</v>
      </c>
      <c r="E281">
        <v>15315.315315316</v>
      </c>
      <c r="F281">
        <v>241441.44144144299</v>
      </c>
      <c r="G281">
        <v>9</v>
      </c>
      <c r="H281">
        <v>18</v>
      </c>
      <c r="K281">
        <v>16</v>
      </c>
      <c r="L281">
        <v>23</v>
      </c>
      <c r="M281">
        <v>2302432.4324324289</v>
      </c>
      <c r="N281">
        <v>1897297.297297298</v>
      </c>
      <c r="O281">
        <v>16949540.540540539</v>
      </c>
      <c r="P281">
        <v>19167112.612612613</v>
      </c>
      <c r="Q281">
        <v>4217567.5675675645</v>
      </c>
      <c r="R281">
        <v>2735045.0450450471</v>
      </c>
      <c r="S281">
        <v>5088</v>
      </c>
      <c r="T281">
        <v>5277</v>
      </c>
    </row>
    <row r="282" spans="1:20" x14ac:dyDescent="0.35">
      <c r="A282" s="7" t="s">
        <v>377</v>
      </c>
      <c r="B282" s="12" t="s">
        <v>260</v>
      </c>
      <c r="C282">
        <v>36421716.280650839</v>
      </c>
      <c r="D282">
        <v>32939576.405250661</v>
      </c>
      <c r="F282">
        <v>13513.513513514001</v>
      </c>
      <c r="H282">
        <v>1</v>
      </c>
      <c r="L282">
        <v>2</v>
      </c>
      <c r="M282">
        <v>90090.090090090001</v>
      </c>
      <c r="N282">
        <v>554054.05405405397</v>
      </c>
      <c r="O282">
        <v>5441981.9819819815</v>
      </c>
      <c r="P282">
        <v>5653549.5495495498</v>
      </c>
      <c r="Q282">
        <v>409009.00900900899</v>
      </c>
      <c r="R282">
        <v>282882.88288288302</v>
      </c>
      <c r="S282">
        <v>1739</v>
      </c>
      <c r="T282">
        <v>1910</v>
      </c>
    </row>
    <row r="283" spans="1:20" x14ac:dyDescent="0.35">
      <c r="A283" s="7" t="s">
        <v>378</v>
      </c>
      <c r="B283" s="12" t="s">
        <v>354</v>
      </c>
      <c r="C283">
        <v>88306011.559273645</v>
      </c>
      <c r="D283">
        <v>84827270.317255989</v>
      </c>
      <c r="E283">
        <v>84127299.0990991</v>
      </c>
      <c r="F283">
        <v>170796434.23423424</v>
      </c>
      <c r="G283">
        <v>16</v>
      </c>
      <c r="H283">
        <v>18</v>
      </c>
      <c r="K283">
        <v>17</v>
      </c>
      <c r="L283">
        <v>24</v>
      </c>
      <c r="M283">
        <v>20379054.054054052</v>
      </c>
      <c r="N283">
        <v>22217927.927927922</v>
      </c>
      <c r="O283">
        <v>46496216.216216214</v>
      </c>
      <c r="P283">
        <v>47019989.189189196</v>
      </c>
      <c r="Q283">
        <v>18411261.261261258</v>
      </c>
      <c r="R283">
        <v>18006126.126126125</v>
      </c>
      <c r="S283">
        <v>4887</v>
      </c>
      <c r="T283">
        <v>4702</v>
      </c>
    </row>
    <row r="284" spans="1:20" x14ac:dyDescent="0.35">
      <c r="A284" s="7" t="s">
        <v>379</v>
      </c>
      <c r="B284" s="12" t="s">
        <v>87</v>
      </c>
      <c r="C284">
        <v>1833441.5776970971</v>
      </c>
      <c r="D284">
        <v>2493361.637030859</v>
      </c>
      <c r="H284">
        <v>1</v>
      </c>
      <c r="L284">
        <v>1</v>
      </c>
      <c r="O284">
        <v>80405.405405405007</v>
      </c>
      <c r="P284">
        <v>85855.855855856993</v>
      </c>
      <c r="S284">
        <v>146</v>
      </c>
      <c r="T284">
        <v>208</v>
      </c>
    </row>
    <row r="285" spans="1:20" x14ac:dyDescent="0.35">
      <c r="A285" s="7" t="s">
        <v>380</v>
      </c>
      <c r="B285" s="12" t="s">
        <v>87</v>
      </c>
      <c r="C285">
        <v>6797302.4946460566</v>
      </c>
      <c r="D285">
        <v>3599219.7587058232</v>
      </c>
      <c r="E285">
        <v>3603.603603604</v>
      </c>
      <c r="G285">
        <v>125</v>
      </c>
      <c r="H285">
        <v>6</v>
      </c>
      <c r="K285">
        <v>126</v>
      </c>
      <c r="L285">
        <v>11</v>
      </c>
      <c r="M285">
        <v>71171.171171170994</v>
      </c>
      <c r="O285">
        <v>2113063.0630630632</v>
      </c>
      <c r="P285">
        <v>505594.59459459502</v>
      </c>
      <c r="Q285">
        <v>67567.567567567996</v>
      </c>
      <c r="S285">
        <v>494</v>
      </c>
      <c r="T285">
        <v>360</v>
      </c>
    </row>
    <row r="286" spans="1:20" x14ac:dyDescent="0.35">
      <c r="A286" s="7" t="s">
        <v>381</v>
      </c>
      <c r="B286" s="12" t="s">
        <v>80</v>
      </c>
      <c r="C286">
        <v>613158897.81030798</v>
      </c>
      <c r="D286">
        <v>583717557.41356897</v>
      </c>
      <c r="E286">
        <v>530989730.63063067</v>
      </c>
      <c r="F286">
        <v>135435059.45945948</v>
      </c>
      <c r="G286">
        <v>144</v>
      </c>
      <c r="H286">
        <v>114</v>
      </c>
      <c r="I286">
        <v>1</v>
      </c>
      <c r="K286">
        <v>181</v>
      </c>
      <c r="L286">
        <v>215</v>
      </c>
      <c r="M286">
        <v>76089369.369369358</v>
      </c>
      <c r="N286">
        <v>65335135.135135129</v>
      </c>
      <c r="O286">
        <v>147565509.90990993</v>
      </c>
      <c r="P286">
        <v>156546490.990991</v>
      </c>
      <c r="Q286">
        <v>60802342.342342339</v>
      </c>
      <c r="R286">
        <v>58456846.846846849</v>
      </c>
      <c r="S286">
        <v>36668</v>
      </c>
      <c r="T286">
        <v>37169</v>
      </c>
    </row>
    <row r="287" spans="1:20" x14ac:dyDescent="0.35">
      <c r="A287" s="7" t="s">
        <v>382</v>
      </c>
      <c r="B287" s="12" t="s">
        <v>80</v>
      </c>
      <c r="C287">
        <v>168418419.71161586</v>
      </c>
      <c r="D287">
        <v>162346459.03402644</v>
      </c>
      <c r="E287">
        <v>720720.72072072199</v>
      </c>
      <c r="F287">
        <v>1270495.4954954979</v>
      </c>
      <c r="G287">
        <v>21</v>
      </c>
      <c r="H287">
        <v>17</v>
      </c>
      <c r="K287">
        <v>25</v>
      </c>
      <c r="L287">
        <v>21</v>
      </c>
      <c r="M287">
        <v>33620720.720720723</v>
      </c>
      <c r="N287">
        <v>30958558.558558561</v>
      </c>
      <c r="O287">
        <v>65710293.693693697</v>
      </c>
      <c r="P287">
        <v>64466088.288288288</v>
      </c>
      <c r="Q287">
        <v>27516126.126126125</v>
      </c>
      <c r="R287">
        <v>24721935.135135137</v>
      </c>
      <c r="S287">
        <v>9765</v>
      </c>
      <c r="T287">
        <v>10412</v>
      </c>
    </row>
    <row r="288" spans="1:20" x14ac:dyDescent="0.35">
      <c r="A288" s="7" t="s">
        <v>383</v>
      </c>
      <c r="B288" s="12" t="s">
        <v>80</v>
      </c>
      <c r="C288">
        <v>227878879.3432582</v>
      </c>
      <c r="D288">
        <v>208341107.58654988</v>
      </c>
      <c r="E288">
        <v>25022522.522522524</v>
      </c>
      <c r="F288">
        <v>17090990.990990989</v>
      </c>
      <c r="G288">
        <v>38</v>
      </c>
      <c r="H288">
        <v>23</v>
      </c>
      <c r="K288">
        <v>49</v>
      </c>
      <c r="L288">
        <v>31</v>
      </c>
      <c r="M288">
        <v>7553873.8738738736</v>
      </c>
      <c r="N288">
        <v>3554504.5045045051</v>
      </c>
      <c r="O288">
        <v>41022792.79279279</v>
      </c>
      <c r="P288">
        <v>41643630.630630635</v>
      </c>
      <c r="Q288">
        <v>8408738.7387387399</v>
      </c>
      <c r="R288">
        <v>10522882.882882884</v>
      </c>
      <c r="S288">
        <v>9896</v>
      </c>
      <c r="T288">
        <v>9487</v>
      </c>
    </row>
    <row r="289" spans="1:20" x14ac:dyDescent="0.35">
      <c r="A289" s="7" t="s">
        <v>384</v>
      </c>
      <c r="B289" s="12" t="s">
        <v>68</v>
      </c>
      <c r="C289">
        <v>91723236.648651227</v>
      </c>
      <c r="D289">
        <v>89614051.948856115</v>
      </c>
      <c r="E289">
        <v>16306.306306307</v>
      </c>
      <c r="F289">
        <v>317117.11711711698</v>
      </c>
      <c r="G289">
        <v>19</v>
      </c>
      <c r="H289">
        <v>24</v>
      </c>
      <c r="K289">
        <v>23</v>
      </c>
      <c r="L289">
        <v>28</v>
      </c>
      <c r="M289">
        <v>4026576.5765765728</v>
      </c>
      <c r="N289">
        <v>2298198.1981981988</v>
      </c>
      <c r="O289">
        <v>11395081.081081081</v>
      </c>
      <c r="P289">
        <v>13841099.0990991</v>
      </c>
      <c r="Q289">
        <v>3543243.2432432431</v>
      </c>
      <c r="R289">
        <v>3156216.2162162149</v>
      </c>
      <c r="S289">
        <v>5080</v>
      </c>
      <c r="T289">
        <v>4989</v>
      </c>
    </row>
    <row r="290" spans="1:20" x14ac:dyDescent="0.35">
      <c r="A290" s="7" t="s">
        <v>385</v>
      </c>
      <c r="B290" s="12" t="s">
        <v>167</v>
      </c>
      <c r="C290">
        <v>31372581.073219232</v>
      </c>
      <c r="D290">
        <v>33984200.651255675</v>
      </c>
      <c r="E290">
        <v>5405.4054054059998</v>
      </c>
      <c r="F290">
        <v>283783.78378378402</v>
      </c>
      <c r="G290">
        <v>7</v>
      </c>
      <c r="H290">
        <v>9</v>
      </c>
      <c r="K290">
        <v>9</v>
      </c>
      <c r="L290">
        <v>10</v>
      </c>
      <c r="M290">
        <v>524324.32432432601</v>
      </c>
      <c r="N290">
        <v>12572972.972972974</v>
      </c>
      <c r="O290">
        <v>13002205.405405406</v>
      </c>
      <c r="P290">
        <v>14328270.270270269</v>
      </c>
      <c r="Q290">
        <v>4372612.6126126125</v>
      </c>
      <c r="R290">
        <v>5955045.0450450452</v>
      </c>
      <c r="S290">
        <v>2352</v>
      </c>
      <c r="T290">
        <v>2443</v>
      </c>
    </row>
    <row r="291" spans="1:20" x14ac:dyDescent="0.35">
      <c r="A291" s="7" t="s">
        <v>386</v>
      </c>
      <c r="B291" s="12" t="s">
        <v>94</v>
      </c>
      <c r="C291">
        <v>173430809.95439094</v>
      </c>
      <c r="D291">
        <v>190918919.2972618</v>
      </c>
      <c r="E291">
        <v>912612.61261261301</v>
      </c>
      <c r="F291">
        <v>405405.40540540701</v>
      </c>
      <c r="G291">
        <v>27</v>
      </c>
      <c r="H291">
        <v>40</v>
      </c>
      <c r="I291">
        <v>1</v>
      </c>
      <c r="K291">
        <v>34</v>
      </c>
      <c r="L291">
        <v>43</v>
      </c>
      <c r="M291">
        <v>6489189.1891891891</v>
      </c>
      <c r="N291">
        <v>11333333.333333334</v>
      </c>
      <c r="O291">
        <v>19269594.594594598</v>
      </c>
      <c r="P291">
        <v>24184756.756756756</v>
      </c>
      <c r="Q291">
        <v>5206576.5765765766</v>
      </c>
      <c r="R291">
        <v>8541711.7117117103</v>
      </c>
      <c r="S291">
        <v>8400</v>
      </c>
      <c r="T291">
        <v>8531</v>
      </c>
    </row>
    <row r="292" spans="1:20" x14ac:dyDescent="0.35">
      <c r="A292" s="7" t="s">
        <v>387</v>
      </c>
      <c r="B292" s="12" t="s">
        <v>214</v>
      </c>
      <c r="C292">
        <v>26179620.355101235</v>
      </c>
      <c r="D292">
        <v>32678419.328609664</v>
      </c>
      <c r="E292">
        <v>11711.711711712</v>
      </c>
      <c r="F292">
        <v>67567.567567567996</v>
      </c>
      <c r="G292">
        <v>9</v>
      </c>
      <c r="H292">
        <v>15</v>
      </c>
      <c r="K292">
        <v>11</v>
      </c>
      <c r="L292">
        <v>18</v>
      </c>
      <c r="M292">
        <v>11711.711711712</v>
      </c>
      <c r="N292">
        <v>1418918.9189189191</v>
      </c>
      <c r="O292">
        <v>13096801.801801803</v>
      </c>
      <c r="P292">
        <v>15076666.666666668</v>
      </c>
      <c r="S292">
        <v>2298</v>
      </c>
      <c r="T292">
        <v>2372</v>
      </c>
    </row>
    <row r="293" spans="1:20" x14ac:dyDescent="0.35">
      <c r="A293" s="7" t="s">
        <v>388</v>
      </c>
      <c r="B293" s="12" t="s">
        <v>117</v>
      </c>
      <c r="C293">
        <v>13478708.800055232</v>
      </c>
      <c r="D293">
        <v>12812140.533878185</v>
      </c>
      <c r="E293">
        <v>6306.3063063059999</v>
      </c>
      <c r="F293">
        <v>196396.39639639799</v>
      </c>
      <c r="G293">
        <v>6</v>
      </c>
      <c r="H293">
        <v>4</v>
      </c>
      <c r="K293">
        <v>7</v>
      </c>
      <c r="L293">
        <v>7</v>
      </c>
      <c r="M293">
        <v>276576.57657657599</v>
      </c>
      <c r="N293">
        <v>5827142.3423423413</v>
      </c>
      <c r="O293">
        <v>5877612.6126126116</v>
      </c>
      <c r="P293">
        <v>5577081.0810810812</v>
      </c>
      <c r="Q293">
        <v>452702.70270270202</v>
      </c>
      <c r="R293">
        <v>2233963.963963964</v>
      </c>
      <c r="S293">
        <v>1911</v>
      </c>
      <c r="T293">
        <v>1777</v>
      </c>
    </row>
    <row r="294" spans="1:20" x14ac:dyDescent="0.35">
      <c r="A294" s="7" t="s">
        <v>389</v>
      </c>
      <c r="B294" s="12" t="s">
        <v>315</v>
      </c>
      <c r="C294">
        <v>58658659.339280233</v>
      </c>
      <c r="D294">
        <v>55349212.071826965</v>
      </c>
      <c r="E294">
        <v>1989639.63963964</v>
      </c>
      <c r="F294">
        <v>48648.648648649003</v>
      </c>
      <c r="G294">
        <v>10</v>
      </c>
      <c r="H294">
        <v>6</v>
      </c>
      <c r="K294">
        <v>10</v>
      </c>
      <c r="L294">
        <v>6</v>
      </c>
      <c r="M294">
        <v>3070720.7207207209</v>
      </c>
      <c r="N294">
        <v>589189.189189189</v>
      </c>
      <c r="O294">
        <v>11921126.126126125</v>
      </c>
      <c r="P294">
        <v>11619027.027027028</v>
      </c>
      <c r="Q294">
        <v>2464954.9549549548</v>
      </c>
      <c r="R294">
        <v>1753333.333333333</v>
      </c>
      <c r="S294">
        <v>2663</v>
      </c>
      <c r="T294">
        <v>2684</v>
      </c>
    </row>
    <row r="295" spans="1:20" x14ac:dyDescent="0.35">
      <c r="A295" s="7" t="s">
        <v>390</v>
      </c>
      <c r="B295" s="12" t="s">
        <v>224</v>
      </c>
      <c r="C295">
        <v>29507725.350025896</v>
      </c>
      <c r="D295">
        <v>23770917.541240118</v>
      </c>
      <c r="G295">
        <v>21</v>
      </c>
      <c r="H295">
        <v>4</v>
      </c>
      <c r="K295">
        <v>21</v>
      </c>
      <c r="L295">
        <v>4</v>
      </c>
      <c r="O295">
        <v>5918234.2342342343</v>
      </c>
      <c r="P295">
        <v>4035900.9009009008</v>
      </c>
      <c r="S295">
        <v>1503</v>
      </c>
      <c r="T295">
        <v>1434</v>
      </c>
    </row>
    <row r="296" spans="1:20" x14ac:dyDescent="0.35">
      <c r="A296" s="7" t="s">
        <v>6</v>
      </c>
      <c r="B296" s="12" t="s">
        <v>193</v>
      </c>
      <c r="C296">
        <v>216622684.36358833</v>
      </c>
      <c r="D296">
        <v>196180515.60985184</v>
      </c>
      <c r="E296">
        <v>77516796.396396384</v>
      </c>
      <c r="F296">
        <v>231875835.13513514</v>
      </c>
      <c r="G296">
        <v>56</v>
      </c>
      <c r="H296">
        <v>39</v>
      </c>
      <c r="I296">
        <v>1</v>
      </c>
      <c r="K296">
        <v>340</v>
      </c>
      <c r="L296">
        <v>288</v>
      </c>
      <c r="M296">
        <v>134299099.0990991</v>
      </c>
      <c r="N296">
        <v>68249549.54954955</v>
      </c>
      <c r="O296">
        <v>141681081.08108109</v>
      </c>
      <c r="P296">
        <v>131483900.9009009</v>
      </c>
      <c r="Q296">
        <v>118588018.01801802</v>
      </c>
      <c r="R296">
        <v>59288558.558558561</v>
      </c>
      <c r="S296">
        <v>13617</v>
      </c>
      <c r="T296">
        <v>13110</v>
      </c>
    </row>
    <row r="297" spans="1:20" x14ac:dyDescent="0.35">
      <c r="A297" s="7" t="s">
        <v>391</v>
      </c>
      <c r="B297" s="12" t="s">
        <v>121</v>
      </c>
      <c r="C297">
        <v>7048839.5350918211</v>
      </c>
      <c r="D297">
        <v>9624856.9341608975</v>
      </c>
      <c r="E297">
        <v>3603.603603604</v>
      </c>
      <c r="G297">
        <v>4</v>
      </c>
      <c r="H297">
        <v>4</v>
      </c>
      <c r="K297">
        <v>5</v>
      </c>
      <c r="L297">
        <v>4</v>
      </c>
      <c r="M297">
        <v>3603.603603604</v>
      </c>
      <c r="O297">
        <v>376036.03603603598</v>
      </c>
      <c r="P297">
        <v>355270.27027027</v>
      </c>
      <c r="S297">
        <v>558</v>
      </c>
      <c r="T297">
        <v>530</v>
      </c>
    </row>
    <row r="298" spans="1:20" x14ac:dyDescent="0.35">
      <c r="A298" s="7" t="s">
        <v>392</v>
      </c>
      <c r="B298" s="12" t="s">
        <v>134</v>
      </c>
      <c r="C298">
        <v>25509708.316971529</v>
      </c>
      <c r="D298">
        <v>27050480.230925236</v>
      </c>
      <c r="F298">
        <v>13513.513513514001</v>
      </c>
      <c r="G298">
        <v>5</v>
      </c>
      <c r="H298">
        <v>7</v>
      </c>
      <c r="K298">
        <v>5</v>
      </c>
      <c r="L298">
        <v>8</v>
      </c>
      <c r="M298">
        <v>2738738.738738738</v>
      </c>
      <c r="N298">
        <v>1995495.4954954949</v>
      </c>
      <c r="O298">
        <v>5148917.1171171172</v>
      </c>
      <c r="P298">
        <v>5562279.2792792805</v>
      </c>
      <c r="Q298">
        <v>605405.40540540498</v>
      </c>
      <c r="R298">
        <v>354594.59459459601</v>
      </c>
      <c r="S298">
        <v>3417</v>
      </c>
      <c r="T298">
        <v>3546</v>
      </c>
    </row>
    <row r="299" spans="1:20" x14ac:dyDescent="0.35">
      <c r="A299" s="7" t="s">
        <v>393</v>
      </c>
      <c r="B299" s="12" t="s">
        <v>58</v>
      </c>
      <c r="C299">
        <v>143119241.26252082</v>
      </c>
      <c r="D299">
        <v>133746997.29719318</v>
      </c>
      <c r="E299">
        <v>6512162.1621621633</v>
      </c>
      <c r="F299">
        <v>2562837.8378378442</v>
      </c>
      <c r="G299">
        <v>29</v>
      </c>
      <c r="H299">
        <v>35</v>
      </c>
      <c r="K299">
        <v>38</v>
      </c>
      <c r="L299">
        <v>43</v>
      </c>
      <c r="M299">
        <v>15521171.171171172</v>
      </c>
      <c r="N299">
        <v>14035135.135135138</v>
      </c>
      <c r="O299">
        <v>21195468.468468469</v>
      </c>
      <c r="P299">
        <v>20429815.315315314</v>
      </c>
      <c r="Q299">
        <v>11916756.756756756</v>
      </c>
      <c r="R299">
        <v>11557207.207207208</v>
      </c>
      <c r="S299">
        <v>8974</v>
      </c>
      <c r="T299">
        <v>9128</v>
      </c>
    </row>
    <row r="300" spans="1:20" x14ac:dyDescent="0.35">
      <c r="A300" s="7" t="s">
        <v>394</v>
      </c>
      <c r="B300" s="12" t="s">
        <v>134</v>
      </c>
      <c r="C300">
        <v>47076846.026723742</v>
      </c>
      <c r="D300">
        <v>45445935.116962023</v>
      </c>
      <c r="F300">
        <v>67567.567567567996</v>
      </c>
      <c r="G300">
        <v>3</v>
      </c>
      <c r="H300">
        <v>6</v>
      </c>
      <c r="K300">
        <v>6</v>
      </c>
      <c r="L300">
        <v>9</v>
      </c>
      <c r="M300">
        <v>4369369.3693693671</v>
      </c>
      <c r="N300">
        <v>4211711.7117117113</v>
      </c>
      <c r="O300">
        <v>8299520.7207207214</v>
      </c>
      <c r="P300">
        <v>7791468.4684684686</v>
      </c>
      <c r="Q300">
        <v>2502792.792792791</v>
      </c>
      <c r="R300">
        <v>2156936.9369369382</v>
      </c>
      <c r="S300">
        <v>3924</v>
      </c>
      <c r="T300">
        <v>3988</v>
      </c>
    </row>
    <row r="301" spans="1:20" x14ac:dyDescent="0.35">
      <c r="A301" s="7" t="s">
        <v>395</v>
      </c>
      <c r="B301" s="12" t="s">
        <v>54</v>
      </c>
      <c r="C301">
        <v>20501848.543994159</v>
      </c>
      <c r="D301">
        <v>19606823.989011988</v>
      </c>
      <c r="E301">
        <v>2702.7027027029999</v>
      </c>
      <c r="G301">
        <v>2</v>
      </c>
      <c r="H301">
        <v>5</v>
      </c>
      <c r="K301">
        <v>2</v>
      </c>
      <c r="L301">
        <v>5</v>
      </c>
      <c r="M301">
        <v>1354054.054054053</v>
      </c>
      <c r="N301">
        <v>360360.36036036001</v>
      </c>
      <c r="O301">
        <v>3246261.2612612611</v>
      </c>
      <c r="P301">
        <v>3094864.8648648649</v>
      </c>
      <c r="Q301">
        <v>1536486.4864864859</v>
      </c>
      <c r="R301">
        <v>951441.44144144095</v>
      </c>
      <c r="S301">
        <v>1584</v>
      </c>
      <c r="T301">
        <v>1543</v>
      </c>
    </row>
    <row r="302" spans="1:20" x14ac:dyDescent="0.35">
      <c r="A302" s="7" t="s">
        <v>396</v>
      </c>
      <c r="B302" s="12" t="s">
        <v>397</v>
      </c>
      <c r="C302">
        <v>147269192.66207337</v>
      </c>
      <c r="D302">
        <v>140114431.84982908</v>
      </c>
      <c r="E302">
        <v>9093873.8738738727</v>
      </c>
      <c r="F302">
        <v>798198.19819819904</v>
      </c>
      <c r="G302">
        <v>66</v>
      </c>
      <c r="H302">
        <v>44</v>
      </c>
      <c r="K302">
        <v>79</v>
      </c>
      <c r="L302">
        <v>62</v>
      </c>
      <c r="M302">
        <v>13843108.108108109</v>
      </c>
      <c r="N302">
        <v>10608108.108108109</v>
      </c>
      <c r="O302">
        <v>26414304.504504506</v>
      </c>
      <c r="P302">
        <v>26039454.954954952</v>
      </c>
      <c r="Q302">
        <v>16148333.333333332</v>
      </c>
      <c r="R302">
        <v>10054324.324324327</v>
      </c>
      <c r="S302">
        <v>9377</v>
      </c>
      <c r="T302">
        <v>9349</v>
      </c>
    </row>
    <row r="303" spans="1:20" x14ac:dyDescent="0.35">
      <c r="A303" s="7" t="s">
        <v>398</v>
      </c>
      <c r="B303" s="12" t="s">
        <v>399</v>
      </c>
      <c r="C303">
        <v>172297034.2940923</v>
      </c>
      <c r="D303">
        <v>148958069.62430561</v>
      </c>
      <c r="E303">
        <v>176576.576576577</v>
      </c>
      <c r="F303">
        <v>1160135.1351351361</v>
      </c>
      <c r="G303">
        <v>35</v>
      </c>
      <c r="H303">
        <v>27</v>
      </c>
      <c r="I303">
        <v>1</v>
      </c>
      <c r="K303">
        <v>38</v>
      </c>
      <c r="L303">
        <v>34</v>
      </c>
      <c r="M303">
        <v>98580180.180180177</v>
      </c>
      <c r="N303">
        <v>9336036.0360360369</v>
      </c>
      <c r="O303">
        <v>30868675.675675672</v>
      </c>
      <c r="P303">
        <v>25704063.063063063</v>
      </c>
      <c r="Q303">
        <v>94381441.441441447</v>
      </c>
      <c r="R303">
        <v>6973783.7837837841</v>
      </c>
      <c r="S303">
        <v>11556</v>
      </c>
      <c r="T303">
        <v>11452</v>
      </c>
    </row>
    <row r="304" spans="1:20" x14ac:dyDescent="0.35">
      <c r="A304" s="7" t="s">
        <v>400</v>
      </c>
      <c r="B304" s="12" t="s">
        <v>140</v>
      </c>
      <c r="C304">
        <v>52651056.513935298</v>
      </c>
      <c r="D304">
        <v>50822937.600312456</v>
      </c>
      <c r="E304">
        <v>333333.33333333401</v>
      </c>
      <c r="F304">
        <v>478378.37837837898</v>
      </c>
      <c r="G304">
        <v>14</v>
      </c>
      <c r="H304">
        <v>22</v>
      </c>
      <c r="K304">
        <v>21</v>
      </c>
      <c r="L304">
        <v>23</v>
      </c>
      <c r="M304">
        <v>11587387.387387387</v>
      </c>
      <c r="N304">
        <v>9560900.9009009004</v>
      </c>
      <c r="O304">
        <v>15286981.981981982</v>
      </c>
      <c r="P304">
        <v>15573441.441441443</v>
      </c>
      <c r="Q304">
        <v>9158378.3783783782</v>
      </c>
      <c r="R304">
        <v>9801081.0810810793</v>
      </c>
      <c r="S304">
        <v>3383</v>
      </c>
      <c r="T304">
        <v>3123</v>
      </c>
    </row>
    <row r="305" spans="1:20" x14ac:dyDescent="0.35">
      <c r="A305" s="7" t="s">
        <v>401</v>
      </c>
      <c r="B305" s="12" t="s">
        <v>121</v>
      </c>
      <c r="C305">
        <v>16414661.242615795</v>
      </c>
      <c r="D305">
        <v>11945600.427627832</v>
      </c>
      <c r="G305">
        <v>8</v>
      </c>
      <c r="H305">
        <v>4</v>
      </c>
      <c r="K305">
        <v>12</v>
      </c>
      <c r="L305">
        <v>10</v>
      </c>
      <c r="N305">
        <v>1801801.8018018019</v>
      </c>
      <c r="O305">
        <v>1236846.8468468471</v>
      </c>
      <c r="P305">
        <v>1151180.1801801799</v>
      </c>
      <c r="Q305">
        <v>449099.099099099</v>
      </c>
      <c r="R305">
        <v>322972.97297297302</v>
      </c>
      <c r="S305">
        <v>1107</v>
      </c>
      <c r="T305">
        <v>1582</v>
      </c>
    </row>
    <row r="306" spans="1:20" x14ac:dyDescent="0.35">
      <c r="A306" s="7" t="s">
        <v>402</v>
      </c>
      <c r="B306" s="12" t="s">
        <v>290</v>
      </c>
      <c r="C306">
        <v>28087784.148683079</v>
      </c>
      <c r="D306">
        <v>21077345.344831645</v>
      </c>
      <c r="E306">
        <v>7207.207207208</v>
      </c>
      <c r="F306">
        <v>292342.34234234301</v>
      </c>
      <c r="G306">
        <v>20</v>
      </c>
      <c r="H306">
        <v>5</v>
      </c>
      <c r="K306">
        <v>26</v>
      </c>
      <c r="L306">
        <v>7</v>
      </c>
      <c r="M306">
        <v>1245945.945945946</v>
      </c>
      <c r="N306">
        <v>846846.84684684605</v>
      </c>
      <c r="O306">
        <v>4079774.7747747749</v>
      </c>
      <c r="P306">
        <v>2691018.0180180171</v>
      </c>
      <c r="Q306">
        <v>1870990.9909909919</v>
      </c>
      <c r="R306">
        <v>1511081.08108108</v>
      </c>
      <c r="S306">
        <v>1688</v>
      </c>
      <c r="T306">
        <v>1609</v>
      </c>
    </row>
    <row r="307" spans="1:20" x14ac:dyDescent="0.35">
      <c r="A307" s="7" t="s">
        <v>403</v>
      </c>
      <c r="B307" s="12" t="s">
        <v>121</v>
      </c>
      <c r="C307">
        <v>23518118.839714877</v>
      </c>
      <c r="D307">
        <v>23365829.628802657</v>
      </c>
      <c r="F307">
        <v>55630.630630631</v>
      </c>
      <c r="G307">
        <v>2</v>
      </c>
      <c r="H307">
        <v>4</v>
      </c>
      <c r="K307">
        <v>2</v>
      </c>
      <c r="L307">
        <v>7</v>
      </c>
      <c r="N307">
        <v>58558.558558559002</v>
      </c>
      <c r="O307">
        <v>1743783.7837837839</v>
      </c>
      <c r="P307">
        <v>1955360.36036036</v>
      </c>
      <c r="S307">
        <v>1030</v>
      </c>
      <c r="T307">
        <v>1054</v>
      </c>
    </row>
    <row r="308" spans="1:20" x14ac:dyDescent="0.35">
      <c r="A308" s="7" t="s">
        <v>404</v>
      </c>
      <c r="B308" s="12" t="s">
        <v>368</v>
      </c>
      <c r="C308">
        <v>59111018.046341792</v>
      </c>
      <c r="D308">
        <v>54324839.179757081</v>
      </c>
      <c r="E308">
        <v>15683696.396396397</v>
      </c>
      <c r="F308">
        <v>2060939.6396396391</v>
      </c>
      <c r="G308">
        <v>9</v>
      </c>
      <c r="H308">
        <v>7</v>
      </c>
      <c r="K308">
        <v>9</v>
      </c>
      <c r="L308">
        <v>9</v>
      </c>
      <c r="M308">
        <v>4482882.8828828819</v>
      </c>
      <c r="N308">
        <v>14707927.927927928</v>
      </c>
      <c r="O308">
        <v>17663671.171171173</v>
      </c>
      <c r="P308">
        <v>19091644.144144144</v>
      </c>
      <c r="Q308">
        <v>2166216.2162162149</v>
      </c>
      <c r="R308">
        <v>14424234.234234236</v>
      </c>
      <c r="S308">
        <v>4299</v>
      </c>
      <c r="T308">
        <v>4186</v>
      </c>
    </row>
    <row r="309" spans="1:20" x14ac:dyDescent="0.35">
      <c r="A309" s="7" t="s">
        <v>405</v>
      </c>
      <c r="B309" s="12" t="s">
        <v>140</v>
      </c>
      <c r="C309">
        <v>29103348.143978305</v>
      </c>
      <c r="D309">
        <v>26603090.210825872</v>
      </c>
      <c r="E309">
        <v>12162.162162162</v>
      </c>
      <c r="F309">
        <v>61936.936936935999</v>
      </c>
      <c r="H309">
        <v>3</v>
      </c>
      <c r="L309">
        <v>3</v>
      </c>
      <c r="M309">
        <v>4913063.0630630627</v>
      </c>
      <c r="N309">
        <v>2540900.9009009022</v>
      </c>
      <c r="O309">
        <v>6850810.81081081</v>
      </c>
      <c r="P309">
        <v>7010900.9009009013</v>
      </c>
      <c r="Q309">
        <v>4546126.1261261255</v>
      </c>
      <c r="R309">
        <v>3929099.0990990992</v>
      </c>
      <c r="S309">
        <v>1466</v>
      </c>
      <c r="T309">
        <v>1409</v>
      </c>
    </row>
    <row r="310" spans="1:20" x14ac:dyDescent="0.35">
      <c r="A310" s="7" t="s">
        <v>406</v>
      </c>
      <c r="B310" s="12" t="s">
        <v>54</v>
      </c>
      <c r="C310">
        <v>35919610.969634637</v>
      </c>
      <c r="D310">
        <v>35206856.05641859</v>
      </c>
      <c r="E310">
        <v>56216.216216216002</v>
      </c>
      <c r="F310">
        <v>640540.54054054001</v>
      </c>
      <c r="G310">
        <v>2</v>
      </c>
      <c r="H310">
        <v>10</v>
      </c>
      <c r="K310">
        <v>2</v>
      </c>
      <c r="L310">
        <v>25</v>
      </c>
      <c r="M310">
        <v>1723783.783783783</v>
      </c>
      <c r="N310">
        <v>4766666.666666667</v>
      </c>
      <c r="O310">
        <v>7770540.5405405397</v>
      </c>
      <c r="P310">
        <v>8040882.8828828819</v>
      </c>
      <c r="Q310">
        <v>1791081.0810810809</v>
      </c>
      <c r="R310">
        <v>5660450.4504504511</v>
      </c>
      <c r="S310">
        <v>2196</v>
      </c>
      <c r="T310">
        <v>2166</v>
      </c>
    </row>
    <row r="311" spans="1:20" x14ac:dyDescent="0.35">
      <c r="A311" s="7" t="s">
        <v>407</v>
      </c>
      <c r="B311" s="12" t="s">
        <v>134</v>
      </c>
      <c r="C311">
        <v>13682629.176273691</v>
      </c>
      <c r="D311">
        <v>15616403.539970247</v>
      </c>
      <c r="E311">
        <v>2702.7027027029999</v>
      </c>
      <c r="G311">
        <v>1</v>
      </c>
      <c r="H311">
        <v>2</v>
      </c>
      <c r="K311">
        <v>3</v>
      </c>
      <c r="L311">
        <v>2</v>
      </c>
      <c r="M311">
        <v>732432.43243243301</v>
      </c>
      <c r="N311">
        <v>756756.75675675704</v>
      </c>
      <c r="O311">
        <v>1690585.585585586</v>
      </c>
      <c r="P311">
        <v>1652504.5045045039</v>
      </c>
      <c r="Q311">
        <v>439549.549549549</v>
      </c>
      <c r="R311">
        <v>630180.18018018</v>
      </c>
      <c r="S311">
        <v>966</v>
      </c>
      <c r="T311">
        <v>948</v>
      </c>
    </row>
    <row r="312" spans="1:20" x14ac:dyDescent="0.35">
      <c r="A312" s="7" t="s">
        <v>408</v>
      </c>
      <c r="B312" s="12" t="s">
        <v>290</v>
      </c>
      <c r="C312">
        <v>10790980.04585271</v>
      </c>
      <c r="D312">
        <v>8911491.6037657689</v>
      </c>
      <c r="E312">
        <v>30630.630630629999</v>
      </c>
      <c r="F312">
        <v>214414.414414414</v>
      </c>
      <c r="G312">
        <v>3</v>
      </c>
      <c r="H312">
        <v>5</v>
      </c>
      <c r="K312">
        <v>6</v>
      </c>
      <c r="L312">
        <v>5</v>
      </c>
      <c r="M312">
        <v>2084684.684684685</v>
      </c>
      <c r="N312">
        <v>2112612.6126126121</v>
      </c>
      <c r="O312">
        <v>1855126.1261261259</v>
      </c>
      <c r="P312">
        <v>1212441.441441441</v>
      </c>
      <c r="Q312">
        <v>798738.73873873905</v>
      </c>
      <c r="R312">
        <v>897027.02702702698</v>
      </c>
      <c r="S312">
        <v>901</v>
      </c>
      <c r="T312">
        <v>861</v>
      </c>
    </row>
    <row r="313" spans="1:20" x14ac:dyDescent="0.35">
      <c r="A313" s="7" t="s">
        <v>409</v>
      </c>
      <c r="B313" s="12" t="s">
        <v>178</v>
      </c>
      <c r="C313">
        <v>162500072.28322697</v>
      </c>
      <c r="D313">
        <v>149797078.21694395</v>
      </c>
      <c r="E313">
        <v>323648.648648648</v>
      </c>
      <c r="F313">
        <v>497297.29729729902</v>
      </c>
      <c r="G313">
        <v>41</v>
      </c>
      <c r="H313">
        <v>18</v>
      </c>
      <c r="K313">
        <v>48</v>
      </c>
      <c r="L313">
        <v>73</v>
      </c>
      <c r="M313">
        <v>9331081.0810810812</v>
      </c>
      <c r="N313">
        <v>9193324.3243243266</v>
      </c>
      <c r="O313">
        <v>53668144.144144148</v>
      </c>
      <c r="P313">
        <v>50747891.891891897</v>
      </c>
      <c r="Q313">
        <v>12931171.171171172</v>
      </c>
      <c r="R313">
        <v>6834144.1441441448</v>
      </c>
      <c r="S313">
        <v>9623</v>
      </c>
      <c r="T313">
        <v>9669</v>
      </c>
    </row>
    <row r="314" spans="1:20" x14ac:dyDescent="0.35">
      <c r="A314" s="7" t="s">
        <v>410</v>
      </c>
      <c r="B314" s="12" t="s">
        <v>54</v>
      </c>
      <c r="C314">
        <v>287495908.46766531</v>
      </c>
      <c r="D314">
        <v>291261023.63007545</v>
      </c>
      <c r="E314">
        <v>29136846.846846852</v>
      </c>
      <c r="F314">
        <v>106523569.36936937</v>
      </c>
      <c r="G314">
        <v>52</v>
      </c>
      <c r="H314">
        <v>52</v>
      </c>
      <c r="K314">
        <v>62</v>
      </c>
      <c r="L314">
        <v>63</v>
      </c>
      <c r="M314">
        <v>15167567.567567568</v>
      </c>
      <c r="N314">
        <v>19784684.684684683</v>
      </c>
      <c r="O314">
        <v>54965810.810810804</v>
      </c>
      <c r="P314">
        <v>60548720.720720723</v>
      </c>
      <c r="Q314">
        <v>16419549.549549552</v>
      </c>
      <c r="R314">
        <v>15951621.621621624</v>
      </c>
      <c r="S314">
        <v>19143</v>
      </c>
      <c r="T314">
        <v>19060</v>
      </c>
    </row>
    <row r="315" spans="1:20" x14ac:dyDescent="0.35">
      <c r="A315" s="7" t="s">
        <v>411</v>
      </c>
      <c r="B315" s="12" t="s">
        <v>224</v>
      </c>
      <c r="C315">
        <v>172655655.55398765</v>
      </c>
      <c r="D315">
        <v>148831925.77626044</v>
      </c>
      <c r="E315">
        <v>567027.02702702803</v>
      </c>
      <c r="F315">
        <v>715315.31531531899</v>
      </c>
      <c r="G315">
        <v>57</v>
      </c>
      <c r="H315">
        <v>42</v>
      </c>
      <c r="K315">
        <v>68</v>
      </c>
      <c r="L315">
        <v>55</v>
      </c>
      <c r="M315">
        <v>15070450.450450448</v>
      </c>
      <c r="N315">
        <v>14511351.351351349</v>
      </c>
      <c r="O315">
        <v>41609247.747747742</v>
      </c>
      <c r="P315">
        <v>47087709.909909911</v>
      </c>
      <c r="Q315">
        <v>13951441.441441437</v>
      </c>
      <c r="R315">
        <v>18487160.360360362</v>
      </c>
      <c r="S315">
        <v>13527</v>
      </c>
      <c r="T315">
        <v>12828</v>
      </c>
    </row>
    <row r="316" spans="1:20" x14ac:dyDescent="0.35">
      <c r="A316" s="7" t="s">
        <v>412</v>
      </c>
      <c r="B316" s="12" t="s">
        <v>413</v>
      </c>
      <c r="C316">
        <v>54779524.428342089</v>
      </c>
      <c r="D316">
        <v>56583732.395099774</v>
      </c>
      <c r="E316">
        <v>343243.24324324401</v>
      </c>
      <c r="F316">
        <v>111261.261261263</v>
      </c>
      <c r="G316">
        <v>5</v>
      </c>
      <c r="H316">
        <v>1</v>
      </c>
      <c r="K316">
        <v>5</v>
      </c>
      <c r="L316">
        <v>2</v>
      </c>
      <c r="M316">
        <v>1886486.486486485</v>
      </c>
      <c r="N316">
        <v>1217927.927927932</v>
      </c>
      <c r="O316">
        <v>23000144.144144144</v>
      </c>
      <c r="P316">
        <v>20567153.153153151</v>
      </c>
      <c r="Q316">
        <v>1560090.090090089</v>
      </c>
      <c r="R316">
        <v>873873.87387387501</v>
      </c>
      <c r="S316">
        <v>4050</v>
      </c>
      <c r="T316">
        <v>4577</v>
      </c>
    </row>
    <row r="317" spans="1:20" x14ac:dyDescent="0.35">
      <c r="A317" s="7" t="s">
        <v>414</v>
      </c>
      <c r="B317" s="12" t="s">
        <v>214</v>
      </c>
      <c r="C317">
        <v>342818283.75418049</v>
      </c>
      <c r="D317">
        <v>373306157.54909897</v>
      </c>
      <c r="E317">
        <v>28719765.765765768</v>
      </c>
      <c r="F317">
        <v>315967213.51351357</v>
      </c>
      <c r="G317">
        <v>106</v>
      </c>
      <c r="H317">
        <v>679</v>
      </c>
      <c r="K317">
        <v>143</v>
      </c>
      <c r="L317">
        <v>765</v>
      </c>
      <c r="M317">
        <v>39261351.351351358</v>
      </c>
      <c r="N317">
        <v>59302702.702702694</v>
      </c>
      <c r="O317">
        <v>142744718.91891891</v>
      </c>
      <c r="P317">
        <v>178791020.72072074</v>
      </c>
      <c r="Q317">
        <v>39991801.801801808</v>
      </c>
      <c r="R317">
        <v>50548738.738738738</v>
      </c>
      <c r="S317">
        <v>23969</v>
      </c>
      <c r="T317">
        <v>23852</v>
      </c>
    </row>
    <row r="318" spans="1:20" x14ac:dyDescent="0.35">
      <c r="A318" s="7" t="s">
        <v>415</v>
      </c>
      <c r="B318" s="12" t="s">
        <v>413</v>
      </c>
      <c r="C318">
        <v>31889391.616162155</v>
      </c>
      <c r="D318">
        <v>31777028.136960432</v>
      </c>
      <c r="E318">
        <v>280180.18018018</v>
      </c>
      <c r="F318">
        <v>89639.639639639994</v>
      </c>
      <c r="G318">
        <v>11</v>
      </c>
      <c r="H318">
        <v>6</v>
      </c>
      <c r="K318">
        <v>12</v>
      </c>
      <c r="L318">
        <v>9</v>
      </c>
      <c r="M318">
        <v>6634054.0540540526</v>
      </c>
      <c r="N318">
        <v>4336936.9369369373</v>
      </c>
      <c r="O318">
        <v>10624594.594594596</v>
      </c>
      <c r="P318">
        <v>11891459.459459459</v>
      </c>
      <c r="Q318">
        <v>4254234.2342342334</v>
      </c>
      <c r="R318">
        <v>4218828.8288288303</v>
      </c>
      <c r="S318">
        <v>3000</v>
      </c>
      <c r="T318">
        <v>2836</v>
      </c>
    </row>
    <row r="319" spans="1:20" x14ac:dyDescent="0.35">
      <c r="A319" s="7" t="s">
        <v>416</v>
      </c>
      <c r="B319" s="12" t="s">
        <v>236</v>
      </c>
      <c r="C319">
        <v>238477188.27789029</v>
      </c>
      <c r="D319">
        <v>222122123.45252857</v>
      </c>
      <c r="E319">
        <v>48648.648648650997</v>
      </c>
      <c r="F319">
        <v>543243.24324324401</v>
      </c>
      <c r="G319">
        <v>22</v>
      </c>
      <c r="H319">
        <v>43</v>
      </c>
      <c r="I319">
        <v>1</v>
      </c>
      <c r="K319">
        <v>75</v>
      </c>
      <c r="L319">
        <v>65</v>
      </c>
      <c r="M319">
        <v>25403963.963963959</v>
      </c>
      <c r="N319">
        <v>18971351.351351351</v>
      </c>
      <c r="O319">
        <v>56977099.0990991</v>
      </c>
      <c r="P319">
        <v>53009450.45045045</v>
      </c>
      <c r="Q319">
        <v>18198468.468468469</v>
      </c>
      <c r="R319">
        <v>16016486.486486487</v>
      </c>
      <c r="S319">
        <v>10863</v>
      </c>
      <c r="T319">
        <v>10683</v>
      </c>
    </row>
    <row r="320" spans="1:20" x14ac:dyDescent="0.35">
      <c r="A320" s="7" t="s">
        <v>417</v>
      </c>
      <c r="B320" s="12" t="s">
        <v>117</v>
      </c>
      <c r="C320">
        <v>228688478.80129033</v>
      </c>
      <c r="D320">
        <v>215191023.41610879</v>
      </c>
      <c r="E320">
        <v>28897861.261261266</v>
      </c>
      <c r="F320">
        <v>203835572.97297299</v>
      </c>
      <c r="G320">
        <v>84</v>
      </c>
      <c r="H320">
        <v>44</v>
      </c>
      <c r="I320">
        <v>1</v>
      </c>
      <c r="K320">
        <v>192</v>
      </c>
      <c r="L320">
        <v>291</v>
      </c>
      <c r="M320">
        <v>47731441.441441439</v>
      </c>
      <c r="N320">
        <v>45765554.954954959</v>
      </c>
      <c r="O320">
        <v>96831027.027027026</v>
      </c>
      <c r="P320">
        <v>97915818.018018022</v>
      </c>
      <c r="Q320">
        <v>43057837.83783783</v>
      </c>
      <c r="R320">
        <v>45721801.801801808</v>
      </c>
      <c r="S320">
        <v>17811</v>
      </c>
      <c r="T320">
        <v>17864</v>
      </c>
    </row>
    <row r="321" spans="1:20" x14ac:dyDescent="0.35">
      <c r="A321" s="7" t="s">
        <v>418</v>
      </c>
      <c r="B321" s="12" t="s">
        <v>147</v>
      </c>
      <c r="C321">
        <v>6278324.2614098107</v>
      </c>
      <c r="D321">
        <v>4919435.3653221112</v>
      </c>
      <c r="H321">
        <v>1</v>
      </c>
      <c r="L321">
        <v>2</v>
      </c>
      <c r="O321">
        <v>2150180.1801801799</v>
      </c>
      <c r="P321">
        <v>2043144.1441441439</v>
      </c>
      <c r="S321">
        <v>491</v>
      </c>
      <c r="T321">
        <v>464</v>
      </c>
    </row>
    <row r="322" spans="1:20" x14ac:dyDescent="0.35">
      <c r="A322" s="7" t="s">
        <v>419</v>
      </c>
      <c r="B322" s="12" t="s">
        <v>304</v>
      </c>
      <c r="C322">
        <v>49273350.353422754</v>
      </c>
      <c r="D322">
        <v>48260487.358165294</v>
      </c>
      <c r="E322">
        <v>421621.621621623</v>
      </c>
      <c r="F322">
        <v>1029054.054054055</v>
      </c>
      <c r="G322">
        <v>14</v>
      </c>
      <c r="H322">
        <v>25</v>
      </c>
      <c r="K322">
        <v>18</v>
      </c>
      <c r="L322">
        <v>28</v>
      </c>
      <c r="M322">
        <v>9473873.8738738727</v>
      </c>
      <c r="N322">
        <v>6755855.8558558552</v>
      </c>
      <c r="O322">
        <v>9290090.0900900904</v>
      </c>
      <c r="P322">
        <v>9071052.2522522528</v>
      </c>
      <c r="Q322">
        <v>7564774.7747747749</v>
      </c>
      <c r="R322">
        <v>6294324.3243243238</v>
      </c>
      <c r="S322">
        <v>2347</v>
      </c>
      <c r="T322">
        <v>2269</v>
      </c>
    </row>
    <row r="323" spans="1:20" x14ac:dyDescent="0.35">
      <c r="A323" s="7" t="s">
        <v>420</v>
      </c>
      <c r="B323" s="12" t="s">
        <v>304</v>
      </c>
      <c r="C323">
        <v>58361839.866327219</v>
      </c>
      <c r="D323">
        <v>55931540.808811352</v>
      </c>
      <c r="E323">
        <v>318918.91891891998</v>
      </c>
      <c r="F323">
        <v>1355630.630630628</v>
      </c>
      <c r="G323">
        <v>31</v>
      </c>
      <c r="H323">
        <v>24</v>
      </c>
      <c r="I323">
        <v>2</v>
      </c>
      <c r="K323">
        <v>48</v>
      </c>
      <c r="L323">
        <v>52</v>
      </c>
      <c r="M323">
        <v>9458558.5585585535</v>
      </c>
      <c r="N323">
        <v>12545045.045045041</v>
      </c>
      <c r="O323">
        <v>11938646.846846849</v>
      </c>
      <c r="P323">
        <v>12201684.684684685</v>
      </c>
      <c r="Q323">
        <v>7476396.3963963939</v>
      </c>
      <c r="R323">
        <v>6479549.5495495489</v>
      </c>
      <c r="S323">
        <v>3097</v>
      </c>
      <c r="T323">
        <v>3066</v>
      </c>
    </row>
    <row r="324" spans="1:20" x14ac:dyDescent="0.35">
      <c r="A324" s="7" t="s">
        <v>421</v>
      </c>
      <c r="B324" s="12" t="s">
        <v>121</v>
      </c>
      <c r="C324">
        <v>4910461.5543687074</v>
      </c>
      <c r="D324">
        <v>2097158.768195603</v>
      </c>
      <c r="E324">
        <v>7207.207207208</v>
      </c>
      <c r="F324">
        <v>13513.513513514001</v>
      </c>
      <c r="L324">
        <v>2</v>
      </c>
      <c r="M324">
        <v>7207.207207208</v>
      </c>
      <c r="N324">
        <v>13513.513513514001</v>
      </c>
      <c r="O324">
        <v>199549.54954954999</v>
      </c>
      <c r="P324">
        <v>195225.225225225</v>
      </c>
      <c r="S324">
        <v>354</v>
      </c>
      <c r="T324">
        <v>307</v>
      </c>
    </row>
    <row r="325" spans="1:20" x14ac:dyDescent="0.35">
      <c r="A325" s="7" t="s">
        <v>422</v>
      </c>
      <c r="B325" s="12" t="s">
        <v>60</v>
      </c>
      <c r="C325">
        <v>29282212.429571878</v>
      </c>
      <c r="D325">
        <v>27902122.192132089</v>
      </c>
      <c r="E325">
        <v>46846.846846847002</v>
      </c>
      <c r="F325">
        <v>380180.18018018297</v>
      </c>
      <c r="G325">
        <v>7</v>
      </c>
      <c r="H325">
        <v>20</v>
      </c>
      <c r="K325">
        <v>9</v>
      </c>
      <c r="L325">
        <v>24</v>
      </c>
      <c r="M325">
        <v>3711711.7117117108</v>
      </c>
      <c r="N325">
        <v>9057657.6576576587</v>
      </c>
      <c r="O325">
        <v>9343063.0630630627</v>
      </c>
      <c r="P325">
        <v>9375549.549549548</v>
      </c>
      <c r="Q325">
        <v>2207297.297297298</v>
      </c>
      <c r="R325">
        <v>8553063.0630630627</v>
      </c>
      <c r="S325">
        <v>2132</v>
      </c>
      <c r="T325">
        <v>2125</v>
      </c>
    </row>
    <row r="326" spans="1:20" x14ac:dyDescent="0.35">
      <c r="A326" s="7" t="s">
        <v>423</v>
      </c>
      <c r="B326" s="12" t="s">
        <v>181</v>
      </c>
      <c r="C326">
        <v>282394643.58747572</v>
      </c>
      <c r="D326">
        <v>272511549.58184779</v>
      </c>
      <c r="E326">
        <v>489189.189189194</v>
      </c>
      <c r="F326">
        <v>1827027.0270270349</v>
      </c>
      <c r="G326">
        <v>84</v>
      </c>
      <c r="H326">
        <v>104</v>
      </c>
      <c r="I326">
        <v>10</v>
      </c>
      <c r="K326">
        <v>108</v>
      </c>
      <c r="L326">
        <v>130</v>
      </c>
      <c r="M326">
        <v>26865225.225225218</v>
      </c>
      <c r="N326">
        <v>35749189.189189181</v>
      </c>
      <c r="O326">
        <v>75323126.126126125</v>
      </c>
      <c r="P326">
        <v>81105855.855855852</v>
      </c>
      <c r="Q326">
        <v>29271801.801801801</v>
      </c>
      <c r="R326">
        <v>33114234.234234232</v>
      </c>
      <c r="S326">
        <v>22512</v>
      </c>
      <c r="T326">
        <v>21664</v>
      </c>
    </row>
    <row r="327" spans="1:20" x14ac:dyDescent="0.35">
      <c r="A327" s="7" t="s">
        <v>424</v>
      </c>
      <c r="B327" s="12" t="s">
        <v>76</v>
      </c>
      <c r="C327">
        <v>13310955.717953112</v>
      </c>
      <c r="D327">
        <v>8859726.4899327587</v>
      </c>
      <c r="E327">
        <v>2702.7027027029999</v>
      </c>
      <c r="F327">
        <v>13513.513513514001</v>
      </c>
      <c r="G327">
        <v>3</v>
      </c>
      <c r="K327">
        <v>4</v>
      </c>
      <c r="M327">
        <v>633333.33333333302</v>
      </c>
      <c r="N327">
        <v>463963.96396396402</v>
      </c>
      <c r="O327">
        <v>1230216.2162162161</v>
      </c>
      <c r="P327">
        <v>691396.39639639598</v>
      </c>
      <c r="Q327">
        <v>1198198.198198199</v>
      </c>
      <c r="R327">
        <v>680360.36036036001</v>
      </c>
      <c r="S327">
        <v>968</v>
      </c>
      <c r="T327">
        <v>837</v>
      </c>
    </row>
    <row r="328" spans="1:20" x14ac:dyDescent="0.35">
      <c r="A328" s="7" t="s">
        <v>425</v>
      </c>
      <c r="B328" s="12" t="s">
        <v>76</v>
      </c>
      <c r="C328">
        <v>34745738.327370107</v>
      </c>
      <c r="D328">
        <v>33288349.616362724</v>
      </c>
      <c r="E328">
        <v>139639.63963963999</v>
      </c>
      <c r="F328">
        <v>47747.747747749003</v>
      </c>
      <c r="G328">
        <v>12</v>
      </c>
      <c r="H328">
        <v>8</v>
      </c>
      <c r="K328">
        <v>16</v>
      </c>
      <c r="L328">
        <v>8</v>
      </c>
      <c r="M328">
        <v>3811711.7117117108</v>
      </c>
      <c r="N328">
        <v>4102882.8828828838</v>
      </c>
      <c r="O328">
        <v>7958153.1531531541</v>
      </c>
      <c r="P328">
        <v>8609000</v>
      </c>
      <c r="Q328">
        <v>2639099.099099102</v>
      </c>
      <c r="R328">
        <v>3495045.0450450429</v>
      </c>
      <c r="S328">
        <v>1485</v>
      </c>
      <c r="T328">
        <v>1433</v>
      </c>
    </row>
    <row r="329" spans="1:20" x14ac:dyDescent="0.35">
      <c r="A329" s="7" t="s">
        <v>426</v>
      </c>
      <c r="B329" s="12" t="s">
        <v>330</v>
      </c>
      <c r="C329">
        <v>164818004.99298671</v>
      </c>
      <c r="D329">
        <v>161796059.06134963</v>
      </c>
      <c r="E329">
        <v>360990.99099099397</v>
      </c>
      <c r="F329">
        <v>1731306.3063063121</v>
      </c>
      <c r="G329">
        <v>46</v>
      </c>
      <c r="H329">
        <v>54</v>
      </c>
      <c r="K329">
        <v>68</v>
      </c>
      <c r="L329">
        <v>62</v>
      </c>
      <c r="M329">
        <v>4207837.8378378386</v>
      </c>
      <c r="N329">
        <v>12118918.918918921</v>
      </c>
      <c r="O329">
        <v>27668468.468468469</v>
      </c>
      <c r="P329">
        <v>27549396.396396399</v>
      </c>
      <c r="Q329">
        <v>4762162.1621621633</v>
      </c>
      <c r="R329">
        <v>7612882.882882881</v>
      </c>
      <c r="S329">
        <v>11718</v>
      </c>
      <c r="T329">
        <v>11718</v>
      </c>
    </row>
    <row r="330" spans="1:20" x14ac:dyDescent="0.35">
      <c r="A330" s="7" t="s">
        <v>427</v>
      </c>
      <c r="B330" s="12" t="s">
        <v>241</v>
      </c>
      <c r="C330">
        <v>43440727.215954624</v>
      </c>
      <c r="D330">
        <v>42015386.943182386</v>
      </c>
      <c r="E330">
        <v>70243811.711711705</v>
      </c>
      <c r="F330">
        <v>20843290.990990993</v>
      </c>
      <c r="G330">
        <v>13</v>
      </c>
      <c r="H330">
        <v>14</v>
      </c>
      <c r="K330">
        <v>17</v>
      </c>
      <c r="L330">
        <v>17</v>
      </c>
      <c r="M330">
        <v>12964054.054054055</v>
      </c>
      <c r="N330">
        <v>7380180.180180179</v>
      </c>
      <c r="O330">
        <v>15709216.216216216</v>
      </c>
      <c r="P330">
        <v>14934315.315315315</v>
      </c>
      <c r="Q330">
        <v>6958378.378378381</v>
      </c>
      <c r="R330">
        <v>3273243.243243244</v>
      </c>
      <c r="S330">
        <v>5173</v>
      </c>
      <c r="T330">
        <v>5687</v>
      </c>
    </row>
    <row r="331" spans="1:20" x14ac:dyDescent="0.35">
      <c r="A331" s="7" t="s">
        <v>428</v>
      </c>
      <c r="B331" s="12" t="s">
        <v>283</v>
      </c>
      <c r="C331">
        <v>17095288.878140394</v>
      </c>
      <c r="D331">
        <v>21656959.787733886</v>
      </c>
      <c r="E331">
        <v>900.900900901</v>
      </c>
      <c r="F331">
        <v>241441.441441442</v>
      </c>
      <c r="G331">
        <v>6</v>
      </c>
      <c r="H331">
        <v>1</v>
      </c>
      <c r="K331">
        <v>10</v>
      </c>
      <c r="L331">
        <v>24</v>
      </c>
      <c r="M331">
        <v>451351.35135135101</v>
      </c>
      <c r="N331">
        <v>4430630.6306306319</v>
      </c>
      <c r="O331">
        <v>3527207.2072072071</v>
      </c>
      <c r="P331">
        <v>4774774.7747747749</v>
      </c>
      <c r="Q331">
        <v>246396.39639639601</v>
      </c>
      <c r="R331">
        <v>5509999.9999999991</v>
      </c>
      <c r="S331">
        <v>1305</v>
      </c>
      <c r="T331">
        <v>1223</v>
      </c>
    </row>
    <row r="332" spans="1:20" x14ac:dyDescent="0.35">
      <c r="A332" s="7" t="s">
        <v>429</v>
      </c>
      <c r="B332" s="12" t="s">
        <v>283</v>
      </c>
      <c r="C332">
        <v>5332544.8775883354</v>
      </c>
      <c r="D332">
        <v>5951396.1806205632</v>
      </c>
      <c r="E332">
        <v>900.900900901</v>
      </c>
      <c r="F332">
        <v>27027.027027027001</v>
      </c>
      <c r="M332">
        <v>900.900900901</v>
      </c>
      <c r="N332">
        <v>477477.47747747699</v>
      </c>
      <c r="O332">
        <v>559099.09909909905</v>
      </c>
      <c r="P332">
        <v>303783.78378378402</v>
      </c>
      <c r="Q332">
        <v>13513.513513514001</v>
      </c>
      <c r="R332">
        <v>423693.69369369402</v>
      </c>
      <c r="S332">
        <v>465</v>
      </c>
      <c r="T332">
        <v>506</v>
      </c>
    </row>
    <row r="333" spans="1:20" x14ac:dyDescent="0.35">
      <c r="A333" s="7" t="s">
        <v>430</v>
      </c>
      <c r="B333" s="12" t="s">
        <v>283</v>
      </c>
      <c r="C333">
        <v>10756991.584363386</v>
      </c>
      <c r="D333">
        <v>13214910.583229536</v>
      </c>
      <c r="F333">
        <v>166666.66666666701</v>
      </c>
      <c r="G333">
        <v>2</v>
      </c>
      <c r="H333">
        <v>2</v>
      </c>
      <c r="K333">
        <v>3</v>
      </c>
      <c r="L333">
        <v>3</v>
      </c>
      <c r="N333">
        <v>256756.75675675701</v>
      </c>
      <c r="O333">
        <v>1099684.684684684</v>
      </c>
      <c r="P333">
        <v>1143108.1081081079</v>
      </c>
      <c r="R333">
        <v>148648.64864864899</v>
      </c>
      <c r="S333">
        <v>859</v>
      </c>
      <c r="T333">
        <v>840</v>
      </c>
    </row>
    <row r="334" spans="1:20" x14ac:dyDescent="0.35">
      <c r="A334" s="7" t="s">
        <v>431</v>
      </c>
      <c r="B334" s="12" t="s">
        <v>78</v>
      </c>
      <c r="C334">
        <v>73772751.69617483</v>
      </c>
      <c r="D334">
        <v>72381143.424346551</v>
      </c>
      <c r="E334">
        <v>328828.82882882998</v>
      </c>
      <c r="F334">
        <v>768468.46846847096</v>
      </c>
      <c r="G334">
        <v>15</v>
      </c>
      <c r="H334">
        <v>46</v>
      </c>
      <c r="K334">
        <v>16</v>
      </c>
      <c r="L334">
        <v>92</v>
      </c>
      <c r="M334">
        <v>5306306.3063063053</v>
      </c>
      <c r="N334">
        <v>5083783.7837837832</v>
      </c>
      <c r="O334">
        <v>29692837.837837841</v>
      </c>
      <c r="P334">
        <v>30174369.369369369</v>
      </c>
      <c r="Q334">
        <v>5036486.4864864871</v>
      </c>
      <c r="R334">
        <v>6537027.0270270268</v>
      </c>
      <c r="S334">
        <v>6482</v>
      </c>
      <c r="T334">
        <v>6507</v>
      </c>
    </row>
    <row r="335" spans="1:20" x14ac:dyDescent="0.35">
      <c r="A335" s="7" t="s">
        <v>432</v>
      </c>
      <c r="B335" s="12" t="s">
        <v>105</v>
      </c>
      <c r="C335">
        <v>62508466.583972335</v>
      </c>
      <c r="D335">
        <v>63560618.947759427</v>
      </c>
      <c r="E335">
        <v>76576.576576577005</v>
      </c>
      <c r="F335">
        <v>205405.40540540501</v>
      </c>
      <c r="G335">
        <v>5</v>
      </c>
      <c r="H335">
        <v>7</v>
      </c>
      <c r="K335">
        <v>6</v>
      </c>
      <c r="L335">
        <v>7</v>
      </c>
      <c r="M335">
        <v>4593693.6936936937</v>
      </c>
      <c r="N335">
        <v>6597072.072072072</v>
      </c>
      <c r="O335">
        <v>14797153.153153151</v>
      </c>
      <c r="P335">
        <v>14812990.990990991</v>
      </c>
      <c r="Q335">
        <v>6354234.2342342352</v>
      </c>
      <c r="R335">
        <v>9996801.8018018007</v>
      </c>
      <c r="S335">
        <v>3625</v>
      </c>
      <c r="T335">
        <v>3726</v>
      </c>
    </row>
    <row r="336" spans="1:20" x14ac:dyDescent="0.35">
      <c r="A336" s="7" t="s">
        <v>433</v>
      </c>
      <c r="B336" s="12" t="s">
        <v>72</v>
      </c>
      <c r="C336">
        <v>372213368.6653263</v>
      </c>
      <c r="D336">
        <v>349448143.60112536</v>
      </c>
      <c r="E336">
        <v>454504.50450450898</v>
      </c>
      <c r="F336">
        <v>2099099.0990991089</v>
      </c>
      <c r="G336">
        <v>85</v>
      </c>
      <c r="H336">
        <v>75</v>
      </c>
      <c r="I336">
        <v>1</v>
      </c>
      <c r="K336">
        <v>167</v>
      </c>
      <c r="L336">
        <v>134</v>
      </c>
      <c r="M336">
        <v>57349099.0990991</v>
      </c>
      <c r="N336">
        <v>48655855.855855852</v>
      </c>
      <c r="O336">
        <v>77929727.927927941</v>
      </c>
      <c r="P336">
        <v>70758427.927927926</v>
      </c>
      <c r="Q336">
        <v>41905315.315315321</v>
      </c>
      <c r="R336">
        <v>39219459.459459461</v>
      </c>
      <c r="S336">
        <v>18307</v>
      </c>
      <c r="T336">
        <v>18107</v>
      </c>
    </row>
    <row r="337" spans="1:20" x14ac:dyDescent="0.35">
      <c r="A337" s="7" t="s">
        <v>434</v>
      </c>
      <c r="B337" s="12" t="s">
        <v>72</v>
      </c>
      <c r="C337">
        <v>263363683.41656718</v>
      </c>
      <c r="D337">
        <v>241397022.9171623</v>
      </c>
      <c r="E337">
        <v>380180.18018018</v>
      </c>
      <c r="F337">
        <v>1848873.873873879</v>
      </c>
      <c r="G337">
        <v>37</v>
      </c>
      <c r="H337">
        <v>55</v>
      </c>
      <c r="K337">
        <v>46</v>
      </c>
      <c r="L337">
        <v>67</v>
      </c>
      <c r="M337">
        <v>28509909.909909904</v>
      </c>
      <c r="N337">
        <v>30336036.036036037</v>
      </c>
      <c r="O337">
        <v>43668968.468468465</v>
      </c>
      <c r="P337">
        <v>46065405.40540541</v>
      </c>
      <c r="Q337">
        <v>20626846.846846849</v>
      </c>
      <c r="R337">
        <v>20165945.945945945</v>
      </c>
      <c r="S337">
        <v>13686</v>
      </c>
      <c r="T337">
        <v>13648</v>
      </c>
    </row>
    <row r="338" spans="1:20" x14ac:dyDescent="0.35">
      <c r="A338" s="7" t="s">
        <v>435</v>
      </c>
      <c r="B338" s="12" t="s">
        <v>94</v>
      </c>
      <c r="C338">
        <v>19091307.471026689</v>
      </c>
      <c r="D338">
        <v>16579518.56462473</v>
      </c>
      <c r="E338">
        <v>900.900900901</v>
      </c>
      <c r="G338">
        <v>6</v>
      </c>
      <c r="H338">
        <v>1</v>
      </c>
      <c r="K338">
        <v>6</v>
      </c>
      <c r="L338">
        <v>1</v>
      </c>
      <c r="M338">
        <v>541441.44144144095</v>
      </c>
      <c r="O338">
        <v>3949549.5495495498</v>
      </c>
      <c r="P338">
        <v>3988450.4504504502</v>
      </c>
      <c r="Q338">
        <v>43243.243243243</v>
      </c>
      <c r="R338">
        <v>95495.495495494994</v>
      </c>
      <c r="S338">
        <v>911</v>
      </c>
      <c r="T338">
        <v>886</v>
      </c>
    </row>
    <row r="339" spans="1:20" x14ac:dyDescent="0.35">
      <c r="A339" s="7" t="s">
        <v>436</v>
      </c>
      <c r="B339" s="12" t="s">
        <v>89</v>
      </c>
      <c r="C339">
        <v>94037277.062662587</v>
      </c>
      <c r="D339">
        <v>91228397.783713415</v>
      </c>
      <c r="E339">
        <v>571351.35135135101</v>
      </c>
      <c r="F339">
        <v>715315.31531531701</v>
      </c>
      <c r="G339">
        <v>25</v>
      </c>
      <c r="H339">
        <v>32</v>
      </c>
      <c r="K339">
        <v>25</v>
      </c>
      <c r="L339">
        <v>39</v>
      </c>
      <c r="M339">
        <v>10940720.72072072</v>
      </c>
      <c r="N339">
        <v>14774414.414414411</v>
      </c>
      <c r="O339">
        <v>38246351.351351351</v>
      </c>
      <c r="P339">
        <v>40233765.765765771</v>
      </c>
      <c r="Q339">
        <v>9497207.2072072085</v>
      </c>
      <c r="R339">
        <v>13617117.117117116</v>
      </c>
      <c r="S339">
        <v>5367</v>
      </c>
      <c r="T339">
        <v>5546</v>
      </c>
    </row>
    <row r="340" spans="1:20" x14ac:dyDescent="0.35">
      <c r="A340" s="7" t="s">
        <v>437</v>
      </c>
      <c r="B340" s="12" t="s">
        <v>70</v>
      </c>
      <c r="C340">
        <v>3008138.6385489469</v>
      </c>
      <c r="D340">
        <v>2624968.5231107771</v>
      </c>
      <c r="E340">
        <v>15639480.180180181</v>
      </c>
      <c r="F340">
        <v>83169333.333333328</v>
      </c>
      <c r="G340">
        <v>4</v>
      </c>
      <c r="H340">
        <v>3</v>
      </c>
      <c r="K340">
        <v>4</v>
      </c>
      <c r="L340">
        <v>3</v>
      </c>
      <c r="M340">
        <v>41371662.162162162</v>
      </c>
      <c r="N340">
        <v>44721856.75675676</v>
      </c>
      <c r="O340">
        <v>1336441.4414414419</v>
      </c>
      <c r="P340">
        <v>1825081.0810810809</v>
      </c>
      <c r="S340">
        <v>1233</v>
      </c>
      <c r="T340">
        <v>2436</v>
      </c>
    </row>
    <row r="341" spans="1:20" x14ac:dyDescent="0.35">
      <c r="A341" s="7" t="s">
        <v>438</v>
      </c>
      <c r="B341" s="12" t="s">
        <v>195</v>
      </c>
      <c r="C341">
        <v>439781055.78648239</v>
      </c>
      <c r="D341">
        <v>404980655.52100033</v>
      </c>
      <c r="E341">
        <v>65494645.045045048</v>
      </c>
      <c r="F341">
        <v>33673828.828828834</v>
      </c>
      <c r="G341">
        <v>67</v>
      </c>
      <c r="H341">
        <v>89</v>
      </c>
      <c r="K341">
        <v>91</v>
      </c>
      <c r="L341">
        <v>123</v>
      </c>
      <c r="M341">
        <v>38962162.162162162</v>
      </c>
      <c r="N341">
        <v>33100180.180180188</v>
      </c>
      <c r="O341">
        <v>68802576.576576576</v>
      </c>
      <c r="P341">
        <v>72160563.06306307</v>
      </c>
      <c r="Q341">
        <v>35037747.747747742</v>
      </c>
      <c r="R341">
        <v>30601711.711711712</v>
      </c>
      <c r="S341">
        <v>20809</v>
      </c>
      <c r="T341">
        <v>20378</v>
      </c>
    </row>
    <row r="342" spans="1:20" x14ac:dyDescent="0.35">
      <c r="A342" s="7" t="s">
        <v>439</v>
      </c>
      <c r="B342" s="12" t="s">
        <v>178</v>
      </c>
      <c r="C342">
        <v>199462055.72376198</v>
      </c>
      <c r="D342">
        <v>210265756.92512402</v>
      </c>
      <c r="E342">
        <v>1073243.243243244</v>
      </c>
      <c r="F342">
        <v>678378.37837837997</v>
      </c>
      <c r="G342">
        <v>24</v>
      </c>
      <c r="H342">
        <v>18</v>
      </c>
      <c r="K342">
        <v>28</v>
      </c>
      <c r="L342">
        <v>24</v>
      </c>
      <c r="M342">
        <v>40387927.927927926</v>
      </c>
      <c r="N342">
        <v>38101701.801801793</v>
      </c>
      <c r="O342">
        <v>77697108.108108118</v>
      </c>
      <c r="P342">
        <v>81573504.504504517</v>
      </c>
      <c r="Q342">
        <v>34964864.864864871</v>
      </c>
      <c r="R342">
        <v>31563243.243243236</v>
      </c>
      <c r="S342">
        <v>14534</v>
      </c>
      <c r="T342">
        <v>14457</v>
      </c>
    </row>
    <row r="343" spans="1:20" x14ac:dyDescent="0.35">
      <c r="A343" s="7" t="s">
        <v>440</v>
      </c>
      <c r="B343" s="12" t="s">
        <v>78</v>
      </c>
      <c r="C343">
        <v>88980260.795033783</v>
      </c>
      <c r="D343">
        <v>93735188.157880768</v>
      </c>
      <c r="E343">
        <v>462792.79279279301</v>
      </c>
      <c r="F343">
        <v>1213513.513513515</v>
      </c>
      <c r="G343">
        <v>11</v>
      </c>
      <c r="H343">
        <v>14</v>
      </c>
      <c r="K343">
        <v>17</v>
      </c>
      <c r="L343">
        <v>18</v>
      </c>
      <c r="M343">
        <v>4435765.7657657638</v>
      </c>
      <c r="N343">
        <v>8988288.2882882897</v>
      </c>
      <c r="O343">
        <v>18293990.990990993</v>
      </c>
      <c r="P343">
        <v>18141378.378378376</v>
      </c>
      <c r="Q343">
        <v>5562702.702702702</v>
      </c>
      <c r="R343">
        <v>9564684.6846846845</v>
      </c>
      <c r="S343">
        <v>5001</v>
      </c>
      <c r="T343">
        <v>4812</v>
      </c>
    </row>
    <row r="344" spans="1:20" x14ac:dyDescent="0.35">
      <c r="A344" s="7" t="s">
        <v>441</v>
      </c>
      <c r="B344" s="12" t="s">
        <v>78</v>
      </c>
      <c r="C344">
        <v>40594990.78077849</v>
      </c>
      <c r="D344">
        <v>37478250.897520579</v>
      </c>
      <c r="E344">
        <v>307207.20720720902</v>
      </c>
      <c r="F344">
        <v>418018.01801802003</v>
      </c>
      <c r="G344">
        <v>10</v>
      </c>
      <c r="H344">
        <v>4</v>
      </c>
      <c r="K344">
        <v>11</v>
      </c>
      <c r="L344">
        <v>4</v>
      </c>
      <c r="M344">
        <v>6622522.5225225221</v>
      </c>
      <c r="N344">
        <v>5210810.81081081</v>
      </c>
      <c r="O344">
        <v>8229054.0540540544</v>
      </c>
      <c r="P344">
        <v>7752045.0450450461</v>
      </c>
      <c r="Q344">
        <v>5946396.3963963948</v>
      </c>
      <c r="R344">
        <v>7470990.9909909908</v>
      </c>
      <c r="S344">
        <v>2447</v>
      </c>
      <c r="T344">
        <v>2337</v>
      </c>
    </row>
    <row r="345" spans="1:20" x14ac:dyDescent="0.35">
      <c r="A345" s="7" t="s">
        <v>442</v>
      </c>
      <c r="B345" s="12" t="s">
        <v>123</v>
      </c>
      <c r="C345">
        <v>550721.504329758</v>
      </c>
      <c r="D345">
        <v>679875.12146931596</v>
      </c>
      <c r="G345">
        <v>1</v>
      </c>
      <c r="K345">
        <v>1</v>
      </c>
      <c r="O345">
        <v>175900.900900901</v>
      </c>
      <c r="P345">
        <v>322297.29729729699</v>
      </c>
      <c r="S345">
        <v>388</v>
      </c>
      <c r="T345">
        <v>343</v>
      </c>
    </row>
    <row r="346" spans="1:20" x14ac:dyDescent="0.35">
      <c r="A346" s="7" t="s">
        <v>443</v>
      </c>
      <c r="B346" s="12" t="s">
        <v>140</v>
      </c>
      <c r="C346">
        <v>93404377.676740348</v>
      </c>
      <c r="D346">
        <v>95414244.404834107</v>
      </c>
      <c r="E346">
        <v>552252.25225225196</v>
      </c>
      <c r="F346">
        <v>278828.82882882701</v>
      </c>
      <c r="G346">
        <v>9</v>
      </c>
      <c r="H346">
        <v>15</v>
      </c>
      <c r="K346">
        <v>10</v>
      </c>
      <c r="L346">
        <v>20</v>
      </c>
      <c r="M346">
        <v>8446396.3963963948</v>
      </c>
      <c r="N346">
        <v>9050810.81081081</v>
      </c>
      <c r="O346">
        <v>21925810.810810808</v>
      </c>
      <c r="P346">
        <v>24011738.738738742</v>
      </c>
      <c r="Q346">
        <v>8324324.3243243247</v>
      </c>
      <c r="R346">
        <v>7998738.7387387361</v>
      </c>
      <c r="S346">
        <v>5711</v>
      </c>
      <c r="T346">
        <v>5720</v>
      </c>
    </row>
    <row r="347" spans="1:20" x14ac:dyDescent="0.35">
      <c r="A347" s="7" t="s">
        <v>444</v>
      </c>
      <c r="B347" s="12" t="s">
        <v>76</v>
      </c>
      <c r="C347">
        <v>10008039.36018372</v>
      </c>
      <c r="D347">
        <v>10419985.325905476</v>
      </c>
      <c r="E347">
        <v>37837.837837838</v>
      </c>
      <c r="F347">
        <v>43243.243243245</v>
      </c>
      <c r="G347">
        <v>4</v>
      </c>
      <c r="H347">
        <v>2</v>
      </c>
      <c r="K347">
        <v>5</v>
      </c>
      <c r="L347">
        <v>2</v>
      </c>
      <c r="M347">
        <v>3542342.3423423418</v>
      </c>
      <c r="N347">
        <v>2070270.2702702701</v>
      </c>
      <c r="O347">
        <v>2305585.5855855858</v>
      </c>
      <c r="P347">
        <v>2319747.7477477482</v>
      </c>
      <c r="Q347">
        <v>3029009.0090090092</v>
      </c>
      <c r="R347">
        <v>1420180.180180179</v>
      </c>
      <c r="S347">
        <v>627</v>
      </c>
      <c r="T347">
        <v>588</v>
      </c>
    </row>
    <row r="348" spans="1:20" x14ac:dyDescent="0.35">
      <c r="A348" s="7" t="s">
        <v>445</v>
      </c>
      <c r="B348" s="12" t="s">
        <v>89</v>
      </c>
      <c r="C348">
        <v>289317765.50034529</v>
      </c>
      <c r="D348">
        <v>289067651.11687493</v>
      </c>
      <c r="E348">
        <v>53579731.531531528</v>
      </c>
      <c r="F348">
        <v>378729702.7027027</v>
      </c>
      <c r="G348">
        <v>37</v>
      </c>
      <c r="H348">
        <v>68</v>
      </c>
      <c r="I348">
        <v>1</v>
      </c>
      <c r="K348">
        <v>59</v>
      </c>
      <c r="L348">
        <v>83</v>
      </c>
      <c r="M348">
        <v>31368738.738738734</v>
      </c>
      <c r="N348">
        <v>207152252.25225225</v>
      </c>
      <c r="O348">
        <v>83801702.702702701</v>
      </c>
      <c r="P348">
        <v>90323061.261261269</v>
      </c>
      <c r="Q348">
        <v>29476216.21621621</v>
      </c>
      <c r="R348">
        <v>101281801.80180179</v>
      </c>
      <c r="S348">
        <v>16410</v>
      </c>
      <c r="T348">
        <v>16051</v>
      </c>
    </row>
    <row r="349" spans="1:20" x14ac:dyDescent="0.35">
      <c r="A349" s="7" t="s">
        <v>446</v>
      </c>
      <c r="B349" s="12" t="s">
        <v>48</v>
      </c>
      <c r="C349">
        <v>28628930.927429903</v>
      </c>
      <c r="D349">
        <v>27336296.415139809</v>
      </c>
      <c r="E349">
        <v>318018.01801801799</v>
      </c>
      <c r="F349">
        <v>180180.18018018</v>
      </c>
      <c r="L349">
        <v>1</v>
      </c>
      <c r="M349">
        <v>3238378.3783783792</v>
      </c>
      <c r="N349">
        <v>2645045.0450450461</v>
      </c>
      <c r="O349">
        <v>9171891.8918918911</v>
      </c>
      <c r="P349">
        <v>9309864.8648648635</v>
      </c>
      <c r="Q349">
        <v>3292792.7927927938</v>
      </c>
      <c r="R349">
        <v>2531351.3513513519</v>
      </c>
      <c r="S349">
        <v>1090</v>
      </c>
      <c r="T349">
        <v>1051</v>
      </c>
    </row>
    <row r="350" spans="1:20" x14ac:dyDescent="0.35">
      <c r="A350" s="7" t="s">
        <v>447</v>
      </c>
      <c r="B350" s="12" t="s">
        <v>448</v>
      </c>
      <c r="C350">
        <v>56808062.087967671</v>
      </c>
      <c r="D350">
        <v>54313117.5155017</v>
      </c>
      <c r="E350">
        <v>404504.50450450397</v>
      </c>
      <c r="F350">
        <v>1054954.9549549581</v>
      </c>
      <c r="G350">
        <v>384</v>
      </c>
      <c r="H350">
        <v>47</v>
      </c>
      <c r="K350">
        <v>410</v>
      </c>
      <c r="L350">
        <v>86</v>
      </c>
      <c r="M350">
        <v>4217567.5675675673</v>
      </c>
      <c r="N350">
        <v>4072972.9729729751</v>
      </c>
      <c r="O350">
        <v>24703693.693693694</v>
      </c>
      <c r="P350">
        <v>23316927.927927926</v>
      </c>
      <c r="Q350">
        <v>4472432.4324324317</v>
      </c>
      <c r="R350">
        <v>4308198.1981982011</v>
      </c>
      <c r="S350">
        <v>5748</v>
      </c>
      <c r="T350">
        <v>5634</v>
      </c>
    </row>
    <row r="351" spans="1:20" x14ac:dyDescent="0.35">
      <c r="A351" s="7" t="s">
        <v>449</v>
      </c>
      <c r="B351" s="12" t="s">
        <v>76</v>
      </c>
      <c r="C351">
        <v>14452715.57577073</v>
      </c>
      <c r="D351">
        <v>12884637.682975149</v>
      </c>
      <c r="E351">
        <v>5405.4054054059998</v>
      </c>
      <c r="F351">
        <v>86486.486486487003</v>
      </c>
      <c r="G351">
        <v>3</v>
      </c>
      <c r="H351">
        <v>5</v>
      </c>
      <c r="K351">
        <v>4</v>
      </c>
      <c r="L351">
        <v>6</v>
      </c>
      <c r="M351">
        <v>3198198.1981981979</v>
      </c>
      <c r="N351">
        <v>5427747.7477477472</v>
      </c>
      <c r="O351">
        <v>4883648.6486486495</v>
      </c>
      <c r="P351">
        <v>4028360.3603603598</v>
      </c>
      <c r="Q351">
        <v>2063693.693693694</v>
      </c>
      <c r="R351">
        <v>3939729.7297297311</v>
      </c>
      <c r="S351">
        <v>1876</v>
      </c>
      <c r="T351">
        <v>1834</v>
      </c>
    </row>
    <row r="352" spans="1:20" x14ac:dyDescent="0.35">
      <c r="A352" s="7" t="s">
        <v>450</v>
      </c>
      <c r="B352" s="12" t="s">
        <v>83</v>
      </c>
      <c r="C352">
        <v>521283806.81566501</v>
      </c>
      <c r="D352">
        <v>521685395.69349986</v>
      </c>
      <c r="E352">
        <v>90847809.009009004</v>
      </c>
      <c r="F352">
        <v>96191135.135135159</v>
      </c>
      <c r="G352">
        <v>78</v>
      </c>
      <c r="H352">
        <v>93</v>
      </c>
      <c r="I352">
        <v>2</v>
      </c>
      <c r="K352">
        <v>99</v>
      </c>
      <c r="L352">
        <v>120</v>
      </c>
      <c r="M352">
        <v>49025855.855855837</v>
      </c>
      <c r="N352">
        <v>55191891.891891897</v>
      </c>
      <c r="O352">
        <v>102789639.63963965</v>
      </c>
      <c r="P352">
        <v>107299180.18018018</v>
      </c>
      <c r="Q352">
        <v>49015945.945945941</v>
      </c>
      <c r="R352">
        <v>52967927.927927934</v>
      </c>
      <c r="S352">
        <v>31392</v>
      </c>
      <c r="T352">
        <v>31241</v>
      </c>
    </row>
    <row r="353" spans="1:20" x14ac:dyDescent="0.35">
      <c r="A353" s="7" t="s">
        <v>451</v>
      </c>
      <c r="B353" s="12" t="s">
        <v>70</v>
      </c>
      <c r="C353">
        <v>36873940.739728771</v>
      </c>
      <c r="D353">
        <v>32264903.756270248</v>
      </c>
      <c r="E353">
        <v>9009.0090090089998</v>
      </c>
      <c r="F353">
        <v>38738.738738738997</v>
      </c>
      <c r="G353">
        <v>3</v>
      </c>
      <c r="H353">
        <v>5</v>
      </c>
      <c r="K353">
        <v>3</v>
      </c>
      <c r="L353">
        <v>6</v>
      </c>
      <c r="M353">
        <v>9009.0090090089998</v>
      </c>
      <c r="N353">
        <v>683783.78378378402</v>
      </c>
      <c r="O353">
        <v>20809324.324324325</v>
      </c>
      <c r="P353">
        <v>19884945.945945945</v>
      </c>
      <c r="Q353">
        <v>548648.64864864899</v>
      </c>
      <c r="R353">
        <v>493333.33333333401</v>
      </c>
      <c r="S353">
        <v>2890</v>
      </c>
      <c r="T353">
        <v>2753</v>
      </c>
    </row>
    <row r="354" spans="1:20" x14ac:dyDescent="0.35">
      <c r="A354" s="7" t="s">
        <v>452</v>
      </c>
      <c r="B354" s="12" t="s">
        <v>167</v>
      </c>
      <c r="C354">
        <v>40779008.399697378</v>
      </c>
      <c r="D354">
        <v>39903857.25944481</v>
      </c>
      <c r="E354">
        <v>11711.711711712</v>
      </c>
      <c r="F354">
        <v>225225.225225225</v>
      </c>
      <c r="G354">
        <v>1</v>
      </c>
      <c r="K354">
        <v>1</v>
      </c>
      <c r="L354">
        <v>2</v>
      </c>
      <c r="M354">
        <v>2905045.0450450438</v>
      </c>
      <c r="N354">
        <v>450450.45045045001</v>
      </c>
      <c r="O354">
        <v>6648603.6036036042</v>
      </c>
      <c r="P354">
        <v>7405963.963963965</v>
      </c>
      <c r="Q354">
        <v>3085675.6756756739</v>
      </c>
      <c r="R354">
        <v>1832432.432432432</v>
      </c>
      <c r="S354">
        <v>2764</v>
      </c>
      <c r="T354">
        <v>3257</v>
      </c>
    </row>
    <row r="355" spans="1:20" x14ac:dyDescent="0.35">
      <c r="A355" s="7" t="s">
        <v>453</v>
      </c>
      <c r="B355" s="12" t="s">
        <v>121</v>
      </c>
      <c r="C355">
        <v>2388932.9823327349</v>
      </c>
      <c r="D355">
        <v>2004548.4768008499</v>
      </c>
      <c r="F355">
        <v>34234.234234233998</v>
      </c>
      <c r="G355">
        <v>1</v>
      </c>
      <c r="K355">
        <v>1</v>
      </c>
      <c r="N355">
        <v>36036.036036035999</v>
      </c>
      <c r="O355">
        <v>164144.144144144</v>
      </c>
      <c r="P355">
        <v>160090.09009009</v>
      </c>
      <c r="S355">
        <v>128</v>
      </c>
      <c r="T355">
        <v>129</v>
      </c>
    </row>
    <row r="356" spans="1:20" x14ac:dyDescent="0.35">
      <c r="A356" s="7" t="s">
        <v>454</v>
      </c>
      <c r="B356" s="12" t="s">
        <v>224</v>
      </c>
      <c r="C356">
        <v>17101703.251839343</v>
      </c>
      <c r="D356">
        <v>12785223.085172404</v>
      </c>
      <c r="L356">
        <v>1</v>
      </c>
      <c r="O356">
        <v>2964909.9099099101</v>
      </c>
      <c r="P356">
        <v>2586567.5675675669</v>
      </c>
      <c r="Q356">
        <v>26126.126126126001</v>
      </c>
      <c r="R356">
        <v>66216.216216215995</v>
      </c>
      <c r="S356">
        <v>1277</v>
      </c>
      <c r="T356">
        <v>1315</v>
      </c>
    </row>
    <row r="357" spans="1:20" x14ac:dyDescent="0.35">
      <c r="A357" s="7" t="s">
        <v>455</v>
      </c>
      <c r="B357" s="12" t="s">
        <v>94</v>
      </c>
      <c r="C357">
        <v>18409195.971737199</v>
      </c>
      <c r="D357">
        <v>21767809.126137305</v>
      </c>
      <c r="E357">
        <v>48648.648648649003</v>
      </c>
      <c r="F357">
        <v>198198.19819819901</v>
      </c>
      <c r="G357">
        <v>9</v>
      </c>
      <c r="H357">
        <v>8</v>
      </c>
      <c r="K357">
        <v>9</v>
      </c>
      <c r="L357">
        <v>10</v>
      </c>
      <c r="M357">
        <v>1546846.846846848</v>
      </c>
      <c r="N357">
        <v>12054054.054054052</v>
      </c>
      <c r="O357">
        <v>3792972.9729729719</v>
      </c>
      <c r="P357">
        <v>5844175.6756756762</v>
      </c>
      <c r="Q357">
        <v>2980180.1801801799</v>
      </c>
      <c r="R357">
        <v>13359279.27927928</v>
      </c>
      <c r="S357">
        <v>1956</v>
      </c>
      <c r="T357">
        <v>2103</v>
      </c>
    </row>
    <row r="358" spans="1:20" x14ac:dyDescent="0.35">
      <c r="A358" s="7" t="s">
        <v>671</v>
      </c>
      <c r="B358" s="12" t="s">
        <v>189</v>
      </c>
      <c r="E358">
        <v>28875900</v>
      </c>
      <c r="F358">
        <v>27349740.540540539</v>
      </c>
    </row>
    <row r="359" spans="1:20" x14ac:dyDescent="0.35">
      <c r="A359" s="7" t="s">
        <v>456</v>
      </c>
      <c r="B359" s="12" t="s">
        <v>60</v>
      </c>
      <c r="C359">
        <v>3915466.3176665641</v>
      </c>
      <c r="D359">
        <v>2853840.1143686459</v>
      </c>
      <c r="E359">
        <v>288288.28828828799</v>
      </c>
      <c r="F359">
        <v>89189.189189188997</v>
      </c>
      <c r="G359">
        <v>2</v>
      </c>
      <c r="H359">
        <v>1</v>
      </c>
      <c r="K359">
        <v>2</v>
      </c>
      <c r="L359">
        <v>3</v>
      </c>
      <c r="M359">
        <v>918918.91891891905</v>
      </c>
      <c r="N359">
        <v>990090.09009008994</v>
      </c>
      <c r="O359">
        <v>2151036.0360360369</v>
      </c>
      <c r="P359">
        <v>1137747.747747747</v>
      </c>
      <c r="Q359">
        <v>460360.36036036001</v>
      </c>
      <c r="R359">
        <v>63513.513513514001</v>
      </c>
      <c r="S359">
        <v>619</v>
      </c>
      <c r="T359">
        <v>591</v>
      </c>
    </row>
    <row r="360" spans="1:20" x14ac:dyDescent="0.35">
      <c r="A360" s="7" t="s">
        <v>457</v>
      </c>
      <c r="B360" s="12" t="s">
        <v>214</v>
      </c>
      <c r="C360">
        <v>51268067.004416339</v>
      </c>
      <c r="D360">
        <v>54627852.315500967</v>
      </c>
      <c r="F360">
        <v>207207.20720720699</v>
      </c>
      <c r="G360">
        <v>6</v>
      </c>
      <c r="H360">
        <v>6</v>
      </c>
      <c r="K360">
        <v>7</v>
      </c>
      <c r="L360">
        <v>9</v>
      </c>
      <c r="M360">
        <v>450450.45045045001</v>
      </c>
      <c r="N360">
        <v>207207.20720720699</v>
      </c>
      <c r="O360">
        <v>26142567.567567568</v>
      </c>
      <c r="P360">
        <v>27359189.189189188</v>
      </c>
      <c r="Q360">
        <v>432432.43243243202</v>
      </c>
      <c r="R360">
        <v>1099099.0990990989</v>
      </c>
      <c r="S360">
        <v>3080</v>
      </c>
      <c r="T360">
        <v>2939</v>
      </c>
    </row>
    <row r="361" spans="1:20" x14ac:dyDescent="0.35">
      <c r="A361" s="7" t="s">
        <v>458</v>
      </c>
      <c r="B361" s="12" t="s">
        <v>459</v>
      </c>
      <c r="C361">
        <v>224829784.96204007</v>
      </c>
      <c r="D361">
        <v>213897591.51082563</v>
      </c>
      <c r="E361">
        <v>1015135.135135139</v>
      </c>
      <c r="F361">
        <v>2572522.5225225282</v>
      </c>
      <c r="G361">
        <v>64</v>
      </c>
      <c r="H361">
        <v>72</v>
      </c>
      <c r="I361">
        <v>2</v>
      </c>
      <c r="K361">
        <v>101</v>
      </c>
      <c r="L361">
        <v>104</v>
      </c>
      <c r="M361">
        <v>30674864.864864856</v>
      </c>
      <c r="N361">
        <v>76691891.891891882</v>
      </c>
      <c r="O361">
        <v>74195774.774774775</v>
      </c>
      <c r="P361">
        <v>78474288.288288295</v>
      </c>
      <c r="Q361">
        <v>23819819.819819815</v>
      </c>
      <c r="R361">
        <v>34050990.990990989</v>
      </c>
      <c r="S361">
        <v>24639</v>
      </c>
      <c r="T361">
        <v>24482</v>
      </c>
    </row>
    <row r="362" spans="1:20" x14ac:dyDescent="0.35">
      <c r="A362" s="7" t="s">
        <v>460</v>
      </c>
      <c r="B362" s="12" t="s">
        <v>459</v>
      </c>
      <c r="C362">
        <v>378586745.91292673</v>
      </c>
      <c r="D362">
        <v>549395248.19159079</v>
      </c>
      <c r="E362">
        <v>115357837.83783785</v>
      </c>
      <c r="F362">
        <v>209075855.85585588</v>
      </c>
      <c r="G362">
        <v>173</v>
      </c>
      <c r="H362">
        <v>74</v>
      </c>
      <c r="K362">
        <v>238</v>
      </c>
      <c r="L362">
        <v>112</v>
      </c>
      <c r="M362">
        <v>32543063.063063063</v>
      </c>
      <c r="N362">
        <v>34905135.135135129</v>
      </c>
      <c r="O362">
        <v>103263450.45045045</v>
      </c>
      <c r="P362">
        <v>294868545.04504508</v>
      </c>
      <c r="Q362">
        <v>25818153.153153151</v>
      </c>
      <c r="R362">
        <v>27082972.972972963</v>
      </c>
      <c r="S362">
        <v>31852</v>
      </c>
      <c r="T362">
        <v>31027</v>
      </c>
    </row>
    <row r="363" spans="1:20" x14ac:dyDescent="0.35">
      <c r="A363" s="7" t="s">
        <v>461</v>
      </c>
      <c r="B363" s="12" t="s">
        <v>459</v>
      </c>
      <c r="C363">
        <v>336061814.45740682</v>
      </c>
      <c r="D363">
        <v>344148338.61858982</v>
      </c>
      <c r="E363">
        <v>503153.153153155</v>
      </c>
      <c r="F363">
        <v>2485585.58558559</v>
      </c>
      <c r="G363">
        <v>94</v>
      </c>
      <c r="H363">
        <v>71</v>
      </c>
      <c r="I363">
        <v>2</v>
      </c>
      <c r="K363">
        <v>125</v>
      </c>
      <c r="L363">
        <v>146</v>
      </c>
      <c r="M363">
        <v>688161801.8018018</v>
      </c>
      <c r="N363">
        <v>105533333.33333333</v>
      </c>
      <c r="O363">
        <v>88850310.810810819</v>
      </c>
      <c r="P363">
        <v>98055504.504504502</v>
      </c>
      <c r="Q363">
        <v>712019549.54954958</v>
      </c>
      <c r="R363">
        <v>45465765.765765756</v>
      </c>
      <c r="S363">
        <v>23699</v>
      </c>
      <c r="T363">
        <v>23505</v>
      </c>
    </row>
    <row r="364" spans="1:20" x14ac:dyDescent="0.35">
      <c r="A364" s="7" t="s">
        <v>462</v>
      </c>
      <c r="B364" s="12" t="s">
        <v>459</v>
      </c>
      <c r="C364">
        <v>247511764.18902573</v>
      </c>
      <c r="D364">
        <v>239482396.02722853</v>
      </c>
      <c r="E364">
        <v>87747.747747750007</v>
      </c>
      <c r="F364">
        <v>718918.91891892196</v>
      </c>
      <c r="G364">
        <v>55</v>
      </c>
      <c r="H364">
        <v>48</v>
      </c>
      <c r="K364">
        <v>72</v>
      </c>
      <c r="L364">
        <v>90</v>
      </c>
      <c r="M364">
        <v>12491801.801801801</v>
      </c>
      <c r="N364">
        <v>15175855.855855852</v>
      </c>
      <c r="O364">
        <v>54642151.351351351</v>
      </c>
      <c r="P364">
        <v>57324225.225225225</v>
      </c>
      <c r="Q364">
        <v>15771981.981981982</v>
      </c>
      <c r="R364">
        <v>13483513.513513504</v>
      </c>
      <c r="S364">
        <v>19294</v>
      </c>
      <c r="T364">
        <v>18503</v>
      </c>
    </row>
    <row r="365" spans="1:20" x14ac:dyDescent="0.35">
      <c r="A365" s="7" t="s">
        <v>463</v>
      </c>
      <c r="B365" s="12" t="s">
        <v>459</v>
      </c>
      <c r="C365">
        <v>238931447.50829259</v>
      </c>
      <c r="D365">
        <v>243804660.48638284</v>
      </c>
      <c r="E365">
        <v>618918.91891891998</v>
      </c>
      <c r="F365">
        <v>2687612.6126126191</v>
      </c>
      <c r="G365">
        <v>60</v>
      </c>
      <c r="H365">
        <v>89</v>
      </c>
      <c r="K365">
        <v>78</v>
      </c>
      <c r="L365">
        <v>157</v>
      </c>
      <c r="M365">
        <v>14248828.828828827</v>
      </c>
      <c r="N365">
        <v>27406126.126126122</v>
      </c>
      <c r="O365">
        <v>88785621.621621609</v>
      </c>
      <c r="P365">
        <v>97783792.792792782</v>
      </c>
      <c r="Q365">
        <v>14608738.738738734</v>
      </c>
      <c r="R365">
        <v>25968558.558558553</v>
      </c>
      <c r="S365">
        <v>26391</v>
      </c>
      <c r="T365">
        <v>27199</v>
      </c>
    </row>
    <row r="366" spans="1:20" x14ac:dyDescent="0.35">
      <c r="A366" s="7" t="s">
        <v>464</v>
      </c>
      <c r="B366" s="12" t="s">
        <v>459</v>
      </c>
      <c r="C366">
        <v>269127759.1510548</v>
      </c>
      <c r="D366">
        <v>281973583.38849163</v>
      </c>
      <c r="E366">
        <v>967835514.41441441</v>
      </c>
      <c r="F366">
        <v>302379646.84684682</v>
      </c>
      <c r="G366">
        <v>106</v>
      </c>
      <c r="H366">
        <v>72</v>
      </c>
      <c r="K366">
        <v>135</v>
      </c>
      <c r="L366">
        <v>102</v>
      </c>
      <c r="M366">
        <v>32870225.225225225</v>
      </c>
      <c r="N366">
        <v>40266531.53153152</v>
      </c>
      <c r="O366">
        <v>117754072.07207206</v>
      </c>
      <c r="P366">
        <v>120005128.37837839</v>
      </c>
      <c r="Q366">
        <v>34126846.846846849</v>
      </c>
      <c r="R366">
        <v>39886891.891891882</v>
      </c>
      <c r="S366">
        <v>28186</v>
      </c>
      <c r="T366">
        <v>30134</v>
      </c>
    </row>
    <row r="367" spans="1:20" x14ac:dyDescent="0.35">
      <c r="A367" s="7" t="s">
        <v>465</v>
      </c>
      <c r="B367" s="12" t="s">
        <v>54</v>
      </c>
      <c r="C367">
        <v>19158980.296077531</v>
      </c>
      <c r="D367">
        <v>18301869.273060787</v>
      </c>
      <c r="E367">
        <v>8108.1081081089997</v>
      </c>
      <c r="F367">
        <v>54054.054054054002</v>
      </c>
      <c r="G367">
        <v>1</v>
      </c>
      <c r="H367">
        <v>4</v>
      </c>
      <c r="K367">
        <v>2</v>
      </c>
      <c r="L367">
        <v>9</v>
      </c>
      <c r="M367">
        <v>1117117.1171171169</v>
      </c>
      <c r="N367">
        <v>1371891.8918918909</v>
      </c>
      <c r="O367">
        <v>4216441.4414414419</v>
      </c>
      <c r="P367">
        <v>3696180.1801801799</v>
      </c>
      <c r="Q367">
        <v>1452252.25225225</v>
      </c>
      <c r="R367">
        <v>1024414.414414416</v>
      </c>
      <c r="S367">
        <v>1179</v>
      </c>
      <c r="T367">
        <v>1193</v>
      </c>
    </row>
    <row r="368" spans="1:20" x14ac:dyDescent="0.35">
      <c r="A368" s="7" t="s">
        <v>466</v>
      </c>
      <c r="B368" s="12" t="s">
        <v>87</v>
      </c>
      <c r="C368">
        <v>835768.01925640204</v>
      </c>
      <c r="D368">
        <v>691902.24917046598</v>
      </c>
      <c r="E368">
        <v>28933779.27927928</v>
      </c>
      <c r="F368">
        <v>18515143.243243244</v>
      </c>
      <c r="M368">
        <v>81081.081081081007</v>
      </c>
      <c r="N368">
        <v>405405.40540540498</v>
      </c>
      <c r="O368">
        <v>257432.43243243199</v>
      </c>
      <c r="P368">
        <v>140765.765765766</v>
      </c>
      <c r="S368">
        <v>101</v>
      </c>
      <c r="T368">
        <v>85</v>
      </c>
    </row>
    <row r="369" spans="1:20" x14ac:dyDescent="0.35">
      <c r="A369" s="7" t="s">
        <v>467</v>
      </c>
      <c r="B369" s="12" t="s">
        <v>143</v>
      </c>
      <c r="C369">
        <v>100155444.52806067</v>
      </c>
      <c r="D369">
        <v>87851386.737778932</v>
      </c>
      <c r="E369">
        <v>25225.225225225</v>
      </c>
      <c r="F369">
        <v>126126.126126127</v>
      </c>
      <c r="G369">
        <v>31</v>
      </c>
      <c r="H369">
        <v>20</v>
      </c>
      <c r="K369">
        <v>35</v>
      </c>
      <c r="L369">
        <v>32</v>
      </c>
      <c r="M369">
        <v>4439639.6396396393</v>
      </c>
      <c r="N369">
        <v>7783783.7837837841</v>
      </c>
      <c r="O369">
        <v>15895882.882882884</v>
      </c>
      <c r="P369">
        <v>12490924.324324325</v>
      </c>
      <c r="Q369">
        <v>5159459.4594594594</v>
      </c>
      <c r="R369">
        <v>3250090.0900900899</v>
      </c>
      <c r="S369">
        <v>5011</v>
      </c>
      <c r="T369">
        <v>4993</v>
      </c>
    </row>
    <row r="370" spans="1:20" x14ac:dyDescent="0.35">
      <c r="A370" s="7" t="s">
        <v>468</v>
      </c>
      <c r="B370" s="12" t="s">
        <v>80</v>
      </c>
      <c r="C370">
        <v>82703597.519757345</v>
      </c>
      <c r="D370">
        <v>73799310.293422043</v>
      </c>
      <c r="E370">
        <v>2702.7027027029999</v>
      </c>
      <c r="F370">
        <v>25675.675675677001</v>
      </c>
      <c r="G370">
        <v>10</v>
      </c>
      <c r="H370">
        <v>4</v>
      </c>
      <c r="K370">
        <v>10</v>
      </c>
      <c r="L370">
        <v>6</v>
      </c>
      <c r="M370">
        <v>1580180.1801801811</v>
      </c>
      <c r="N370">
        <v>958108.10810810805</v>
      </c>
      <c r="O370">
        <v>28816457.657657657</v>
      </c>
      <c r="P370">
        <v>27974747.747747749</v>
      </c>
      <c r="Q370">
        <v>2804414.4144144161</v>
      </c>
      <c r="R370">
        <v>1454774.7747747749</v>
      </c>
      <c r="S370">
        <v>5216</v>
      </c>
      <c r="T370">
        <v>4676</v>
      </c>
    </row>
    <row r="371" spans="1:20" x14ac:dyDescent="0.35">
      <c r="A371" s="7" t="s">
        <v>469</v>
      </c>
      <c r="B371" s="12" t="s">
        <v>470</v>
      </c>
      <c r="C371">
        <v>89673099.695667133</v>
      </c>
      <c r="D371">
        <v>93082837.792814076</v>
      </c>
      <c r="E371">
        <v>21415288.288288288</v>
      </c>
      <c r="F371">
        <v>67741732.432432428</v>
      </c>
      <c r="G371">
        <v>21</v>
      </c>
      <c r="H371">
        <v>8</v>
      </c>
      <c r="K371">
        <v>23</v>
      </c>
      <c r="L371">
        <v>9</v>
      </c>
      <c r="M371">
        <v>11433222.522522524</v>
      </c>
      <c r="N371">
        <v>4720720.7207207186</v>
      </c>
      <c r="O371">
        <v>27873702.702702705</v>
      </c>
      <c r="P371">
        <v>28151414.414414417</v>
      </c>
      <c r="Q371">
        <v>3437837.8378378381</v>
      </c>
      <c r="R371">
        <v>4612252.2522522537</v>
      </c>
      <c r="S371">
        <v>5370</v>
      </c>
      <c r="T371">
        <v>5517</v>
      </c>
    </row>
    <row r="372" spans="1:20" x14ac:dyDescent="0.35">
      <c r="A372" s="7" t="s">
        <v>471</v>
      </c>
      <c r="B372" s="12" t="s">
        <v>470</v>
      </c>
      <c r="C372">
        <v>8315574.6275397828</v>
      </c>
      <c r="D372">
        <v>6730802.1025314434</v>
      </c>
      <c r="O372">
        <v>599414.41441441397</v>
      </c>
      <c r="P372">
        <v>692882.88288288296</v>
      </c>
      <c r="S372">
        <v>618</v>
      </c>
      <c r="T372">
        <v>630</v>
      </c>
    </row>
    <row r="373" spans="1:20" x14ac:dyDescent="0.35">
      <c r="A373" s="7" t="s">
        <v>472</v>
      </c>
      <c r="B373" s="12" t="s">
        <v>470</v>
      </c>
      <c r="C373">
        <v>1084541.358110569</v>
      </c>
      <c r="D373">
        <v>1045792.107441449</v>
      </c>
      <c r="E373">
        <v>1801.801801802</v>
      </c>
      <c r="F373">
        <v>112612.612612613</v>
      </c>
      <c r="M373">
        <v>1801.801801802</v>
      </c>
      <c r="N373">
        <v>112612.612612613</v>
      </c>
      <c r="O373">
        <v>226801.80180180201</v>
      </c>
      <c r="P373">
        <v>316756.75675675698</v>
      </c>
      <c r="Q373">
        <v>136936.93693693701</v>
      </c>
      <c r="S373">
        <v>437</v>
      </c>
      <c r="T373">
        <v>528</v>
      </c>
    </row>
    <row r="374" spans="1:20" x14ac:dyDescent="0.35">
      <c r="A374" s="7" t="s">
        <v>473</v>
      </c>
      <c r="B374" s="12" t="s">
        <v>470</v>
      </c>
      <c r="C374">
        <v>31316072.568411089</v>
      </c>
      <c r="D374">
        <v>33633904.869941972</v>
      </c>
      <c r="E374">
        <v>189189.189189189</v>
      </c>
      <c r="F374">
        <v>97297.297297297002</v>
      </c>
      <c r="G374">
        <v>3</v>
      </c>
      <c r="H374">
        <v>6</v>
      </c>
      <c r="K374">
        <v>4</v>
      </c>
      <c r="L374">
        <v>8</v>
      </c>
      <c r="M374">
        <v>189189.189189189</v>
      </c>
      <c r="N374">
        <v>187387.38738738699</v>
      </c>
      <c r="O374">
        <v>4431207.2072072066</v>
      </c>
      <c r="P374">
        <v>5151936.9369369373</v>
      </c>
      <c r="Q374">
        <v>4284054.0540540554</v>
      </c>
      <c r="R374">
        <v>8449729.7297297306</v>
      </c>
      <c r="S374">
        <v>2149</v>
      </c>
      <c r="T374">
        <v>3369</v>
      </c>
    </row>
    <row r="375" spans="1:20" x14ac:dyDescent="0.35">
      <c r="A375" s="7" t="s">
        <v>474</v>
      </c>
      <c r="B375" s="12" t="s">
        <v>470</v>
      </c>
      <c r="C375">
        <v>45365586.361987069</v>
      </c>
      <c r="D375">
        <v>46875006.56599962</v>
      </c>
      <c r="E375">
        <v>17657.657657658001</v>
      </c>
      <c r="F375">
        <v>174774.77477477599</v>
      </c>
      <c r="G375">
        <v>10</v>
      </c>
      <c r="H375">
        <v>15</v>
      </c>
      <c r="K375">
        <v>11</v>
      </c>
      <c r="L375">
        <v>16</v>
      </c>
      <c r="M375">
        <v>918558.55855855905</v>
      </c>
      <c r="N375">
        <v>174774.77477477599</v>
      </c>
      <c r="O375">
        <v>10281711.711711712</v>
      </c>
      <c r="P375">
        <v>10610846.846846847</v>
      </c>
      <c r="Q375">
        <v>1266846.8468468471</v>
      </c>
      <c r="R375">
        <v>892162.16216216201</v>
      </c>
      <c r="S375">
        <v>2403</v>
      </c>
      <c r="T375">
        <v>3235</v>
      </c>
    </row>
    <row r="376" spans="1:20" x14ac:dyDescent="0.35">
      <c r="A376" s="7" t="s">
        <v>475</v>
      </c>
      <c r="B376" s="12" t="s">
        <v>470</v>
      </c>
      <c r="C376">
        <v>17637345.293410793</v>
      </c>
      <c r="D376">
        <v>17488562.631845921</v>
      </c>
      <c r="E376">
        <v>5405.4054054050002</v>
      </c>
      <c r="F376">
        <v>175675.675675676</v>
      </c>
      <c r="G376">
        <v>2</v>
      </c>
      <c r="H376">
        <v>1</v>
      </c>
      <c r="K376">
        <v>2</v>
      </c>
      <c r="L376">
        <v>1</v>
      </c>
      <c r="M376">
        <v>455855.85585585498</v>
      </c>
      <c r="N376">
        <v>1527027.0270270279</v>
      </c>
      <c r="O376">
        <v>3735990.9909909908</v>
      </c>
      <c r="P376">
        <v>3287810.8108108109</v>
      </c>
      <c r="Q376">
        <v>1065315.315315316</v>
      </c>
      <c r="R376">
        <v>1574234.2342342341</v>
      </c>
      <c r="S376">
        <v>1384</v>
      </c>
      <c r="T376">
        <v>1352</v>
      </c>
    </row>
    <row r="377" spans="1:20" x14ac:dyDescent="0.35">
      <c r="A377" s="7" t="s">
        <v>476</v>
      </c>
      <c r="B377" s="12" t="s">
        <v>470</v>
      </c>
      <c r="C377">
        <v>166485978.1497336</v>
      </c>
      <c r="D377">
        <v>175548579.15771341</v>
      </c>
      <c r="E377">
        <v>905540.54054054106</v>
      </c>
      <c r="F377">
        <v>3345045.0450450531</v>
      </c>
      <c r="G377">
        <v>27</v>
      </c>
      <c r="H377">
        <v>81</v>
      </c>
      <c r="K377">
        <v>41</v>
      </c>
      <c r="L377">
        <v>140</v>
      </c>
      <c r="M377">
        <v>29922252.252252251</v>
      </c>
      <c r="N377">
        <v>23525675.675675675</v>
      </c>
      <c r="O377">
        <v>39415120.720720723</v>
      </c>
      <c r="P377">
        <v>45542872.072072074</v>
      </c>
      <c r="Q377">
        <v>29968648.648648653</v>
      </c>
      <c r="R377">
        <v>21886846.846846852</v>
      </c>
      <c r="S377">
        <v>15950</v>
      </c>
      <c r="T377">
        <v>15949</v>
      </c>
    </row>
    <row r="378" spans="1:20" x14ac:dyDescent="0.35">
      <c r="A378" s="7" t="s">
        <v>477</v>
      </c>
      <c r="B378" s="12" t="s">
        <v>260</v>
      </c>
      <c r="C378">
        <v>193055300.76258066</v>
      </c>
      <c r="D378">
        <v>207041523.2916337</v>
      </c>
      <c r="E378">
        <v>111801.80180180199</v>
      </c>
      <c r="F378">
        <v>693018.01801801799</v>
      </c>
      <c r="G378">
        <v>34</v>
      </c>
      <c r="H378">
        <v>30</v>
      </c>
      <c r="K378">
        <v>35</v>
      </c>
      <c r="L378">
        <v>32</v>
      </c>
      <c r="M378">
        <v>18859549.54954955</v>
      </c>
      <c r="N378">
        <v>22635135.135135137</v>
      </c>
      <c r="O378">
        <v>46282108.108108111</v>
      </c>
      <c r="P378">
        <v>54447635.135135137</v>
      </c>
      <c r="Q378">
        <v>19014144.144144144</v>
      </c>
      <c r="R378">
        <v>25896126.126126125</v>
      </c>
      <c r="S378">
        <v>11394</v>
      </c>
      <c r="T378">
        <v>11251</v>
      </c>
    </row>
    <row r="379" spans="1:20" x14ac:dyDescent="0.35">
      <c r="A379" s="7" t="s">
        <v>478</v>
      </c>
      <c r="B379" s="12" t="s">
        <v>479</v>
      </c>
      <c r="C379">
        <v>14073749.864007059</v>
      </c>
      <c r="D379">
        <v>13999909.210620183</v>
      </c>
      <c r="E379">
        <v>405405.40540540498</v>
      </c>
      <c r="F379">
        <v>135135.135135135</v>
      </c>
      <c r="G379">
        <v>4</v>
      </c>
      <c r="H379">
        <v>3</v>
      </c>
      <c r="K379">
        <v>4</v>
      </c>
      <c r="L379">
        <v>3</v>
      </c>
      <c r="M379">
        <v>11757657.657657659</v>
      </c>
      <c r="N379">
        <v>3157657.6576576582</v>
      </c>
      <c r="O379">
        <v>3413288.2882882878</v>
      </c>
      <c r="P379">
        <v>3057207.2072072071</v>
      </c>
      <c r="Q379">
        <v>11962612.612612613</v>
      </c>
      <c r="R379">
        <v>3122522.5225225221</v>
      </c>
      <c r="S379">
        <v>880</v>
      </c>
      <c r="T379">
        <v>775</v>
      </c>
    </row>
    <row r="380" spans="1:20" x14ac:dyDescent="0.35">
      <c r="A380" s="7" t="s">
        <v>480</v>
      </c>
      <c r="B380" s="12" t="s">
        <v>123</v>
      </c>
      <c r="C380">
        <v>108255012.45915672</v>
      </c>
      <c r="D380">
        <v>101413960.20344834</v>
      </c>
      <c r="E380">
        <v>656306.30630630604</v>
      </c>
      <c r="F380">
        <v>142342.34234234499</v>
      </c>
      <c r="G380">
        <v>15</v>
      </c>
      <c r="H380">
        <v>21</v>
      </c>
      <c r="K380">
        <v>24</v>
      </c>
      <c r="L380">
        <v>23</v>
      </c>
      <c r="M380">
        <v>6341891.8918918921</v>
      </c>
      <c r="N380">
        <v>6783513.513513512</v>
      </c>
      <c r="O380">
        <v>40485360.360360362</v>
      </c>
      <c r="P380">
        <v>39315770.270270273</v>
      </c>
      <c r="Q380">
        <v>6692702.702702703</v>
      </c>
      <c r="R380">
        <v>7129369.369369369</v>
      </c>
      <c r="S380">
        <v>5590</v>
      </c>
      <c r="T380">
        <v>5406</v>
      </c>
    </row>
    <row r="381" spans="1:20" x14ac:dyDescent="0.35">
      <c r="A381" s="7" t="s">
        <v>481</v>
      </c>
      <c r="B381" s="12" t="s">
        <v>470</v>
      </c>
      <c r="C381">
        <v>9177414.6781725474</v>
      </c>
      <c r="D381">
        <v>8383538.8027661489</v>
      </c>
      <c r="E381">
        <v>22072.072072071998</v>
      </c>
      <c r="F381">
        <v>15584684.684684685</v>
      </c>
      <c r="G381">
        <v>1</v>
      </c>
      <c r="K381">
        <v>2</v>
      </c>
      <c r="L381">
        <v>1</v>
      </c>
      <c r="M381">
        <v>3103603.6036036029</v>
      </c>
      <c r="N381">
        <v>643243.24324324296</v>
      </c>
      <c r="O381">
        <v>2012468.4684684679</v>
      </c>
      <c r="P381">
        <v>1470000</v>
      </c>
      <c r="Q381">
        <v>148198.19819819799</v>
      </c>
      <c r="R381">
        <v>254594.594594594</v>
      </c>
      <c r="S381">
        <v>594</v>
      </c>
      <c r="T381">
        <v>625</v>
      </c>
    </row>
    <row r="382" spans="1:20" x14ac:dyDescent="0.35">
      <c r="A382" s="7" t="s">
        <v>672</v>
      </c>
      <c r="B382" s="12" t="s">
        <v>85</v>
      </c>
      <c r="E382">
        <v>114549346.84684685</v>
      </c>
      <c r="F382">
        <v>78488284.684684694</v>
      </c>
    </row>
    <row r="383" spans="1:20" x14ac:dyDescent="0.35">
      <c r="A383" s="7" t="s">
        <v>482</v>
      </c>
      <c r="B383" s="12" t="s">
        <v>167</v>
      </c>
      <c r="C383">
        <v>84924093.086284131</v>
      </c>
      <c r="D383">
        <v>88256408.737096578</v>
      </c>
      <c r="E383">
        <v>305405.40540540603</v>
      </c>
      <c r="F383">
        <v>1126126.126126128</v>
      </c>
      <c r="G383">
        <v>34</v>
      </c>
      <c r="H383">
        <v>41</v>
      </c>
      <c r="K383">
        <v>74</v>
      </c>
      <c r="L383">
        <v>88</v>
      </c>
      <c r="M383">
        <v>8718468.4684684705</v>
      </c>
      <c r="N383">
        <v>9509909.9099099115</v>
      </c>
      <c r="O383">
        <v>35742744.144144148</v>
      </c>
      <c r="P383">
        <v>37082833.333333336</v>
      </c>
      <c r="Q383">
        <v>8308468.4684684714</v>
      </c>
      <c r="R383">
        <v>6096126.1261261282</v>
      </c>
      <c r="S383">
        <v>9086</v>
      </c>
      <c r="T383">
        <v>8510</v>
      </c>
    </row>
    <row r="384" spans="1:20" x14ac:dyDescent="0.35">
      <c r="A384" s="7" t="s">
        <v>483</v>
      </c>
      <c r="B384" s="12" t="s">
        <v>167</v>
      </c>
      <c r="C384">
        <v>82789046.403473124</v>
      </c>
      <c r="D384">
        <v>96663441.693681106</v>
      </c>
      <c r="E384">
        <v>27704362.162162162</v>
      </c>
      <c r="F384">
        <v>257458971.17117116</v>
      </c>
      <c r="G384">
        <v>52</v>
      </c>
      <c r="H384">
        <v>48</v>
      </c>
      <c r="K384">
        <v>176</v>
      </c>
      <c r="L384">
        <v>94</v>
      </c>
      <c r="M384">
        <v>19179729.729729727</v>
      </c>
      <c r="N384">
        <v>15856306.306306312</v>
      </c>
      <c r="O384">
        <v>34120225.225225225</v>
      </c>
      <c r="P384">
        <v>36433783.783783786</v>
      </c>
      <c r="Q384">
        <v>14096576.576576579</v>
      </c>
      <c r="R384">
        <v>13027207.207207212</v>
      </c>
      <c r="S384">
        <v>9026</v>
      </c>
      <c r="T384">
        <v>9501</v>
      </c>
    </row>
    <row r="385" spans="1:20" x14ac:dyDescent="0.35">
      <c r="A385" s="7" t="s">
        <v>484</v>
      </c>
      <c r="B385" s="12" t="s">
        <v>50</v>
      </c>
      <c r="C385">
        <v>63468637.091221981</v>
      </c>
      <c r="D385">
        <v>61384663.014967889</v>
      </c>
      <c r="E385">
        <v>463603.603603606</v>
      </c>
      <c r="F385">
        <v>699099.09909910196</v>
      </c>
      <c r="G385">
        <v>32</v>
      </c>
      <c r="H385">
        <v>18</v>
      </c>
      <c r="K385">
        <v>32</v>
      </c>
      <c r="L385">
        <v>20</v>
      </c>
      <c r="M385">
        <v>9501081.0810810793</v>
      </c>
      <c r="N385">
        <v>5449009.009009012</v>
      </c>
      <c r="O385">
        <v>26620855.855855856</v>
      </c>
      <c r="P385">
        <v>26404360.360360362</v>
      </c>
      <c r="Q385">
        <v>9764144.144144142</v>
      </c>
      <c r="R385">
        <v>7080720.7207207195</v>
      </c>
      <c r="S385">
        <v>3582</v>
      </c>
      <c r="T385">
        <v>3643</v>
      </c>
    </row>
    <row r="386" spans="1:20" x14ac:dyDescent="0.35">
      <c r="A386" s="7" t="s">
        <v>485</v>
      </c>
      <c r="B386" s="12" t="s">
        <v>134</v>
      </c>
      <c r="C386">
        <v>87667231.960086599</v>
      </c>
      <c r="D386">
        <v>81544465.590800703</v>
      </c>
      <c r="E386">
        <v>286486.48648648697</v>
      </c>
      <c r="F386">
        <v>184684.684684687</v>
      </c>
      <c r="G386">
        <v>12</v>
      </c>
      <c r="H386">
        <v>9</v>
      </c>
      <c r="K386">
        <v>13</v>
      </c>
      <c r="L386">
        <v>14</v>
      </c>
      <c r="M386">
        <v>11381081.081081081</v>
      </c>
      <c r="N386">
        <v>11536036.036036037</v>
      </c>
      <c r="O386">
        <v>14414639.63963964</v>
      </c>
      <c r="P386">
        <v>14884621.62162162</v>
      </c>
      <c r="Q386">
        <v>7169909.9099099096</v>
      </c>
      <c r="R386">
        <v>5391531.5315315304</v>
      </c>
      <c r="S386">
        <v>4652</v>
      </c>
      <c r="T386">
        <v>4640</v>
      </c>
    </row>
    <row r="387" spans="1:20" x14ac:dyDescent="0.35">
      <c r="A387" s="7" t="s">
        <v>486</v>
      </c>
      <c r="B387" s="12" t="s">
        <v>76</v>
      </c>
      <c r="C387">
        <v>21449189.405460194</v>
      </c>
      <c r="D387">
        <v>16327111.138222735</v>
      </c>
      <c r="E387">
        <v>409009.00900900899</v>
      </c>
      <c r="F387">
        <v>509009.00900900899</v>
      </c>
      <c r="G387">
        <v>4</v>
      </c>
      <c r="H387">
        <v>1</v>
      </c>
      <c r="K387">
        <v>4</v>
      </c>
      <c r="L387">
        <v>3</v>
      </c>
      <c r="M387">
        <v>4057657.6576576568</v>
      </c>
      <c r="N387">
        <v>2864864.8648648639</v>
      </c>
      <c r="O387">
        <v>8283481.9819819815</v>
      </c>
      <c r="P387">
        <v>6088216.2162162159</v>
      </c>
      <c r="Q387">
        <v>4108918.9189189188</v>
      </c>
      <c r="R387">
        <v>3160450.450450452</v>
      </c>
      <c r="S387">
        <v>1497</v>
      </c>
      <c r="T387">
        <v>1467</v>
      </c>
    </row>
    <row r="388" spans="1:20" x14ac:dyDescent="0.35">
      <c r="A388" s="7" t="s">
        <v>487</v>
      </c>
      <c r="B388" s="12" t="s">
        <v>307</v>
      </c>
      <c r="C388">
        <v>131913221.02666272</v>
      </c>
      <c r="D388">
        <v>131218137.60871266</v>
      </c>
      <c r="E388">
        <v>162162.162162163</v>
      </c>
      <c r="F388">
        <v>1058558.558558563</v>
      </c>
      <c r="G388">
        <v>21</v>
      </c>
      <c r="H388">
        <v>34</v>
      </c>
      <c r="K388">
        <v>27</v>
      </c>
      <c r="L388">
        <v>48</v>
      </c>
      <c r="M388">
        <v>18184054.054054055</v>
      </c>
      <c r="N388">
        <v>18377342.342342343</v>
      </c>
      <c r="O388">
        <v>52736666.666666664</v>
      </c>
      <c r="P388">
        <v>54737927.927927926</v>
      </c>
      <c r="Q388">
        <v>16893153.153153155</v>
      </c>
      <c r="R388">
        <v>18537882.882882886</v>
      </c>
      <c r="S388">
        <v>11482</v>
      </c>
      <c r="T388">
        <v>12546</v>
      </c>
    </row>
    <row r="389" spans="1:20" x14ac:dyDescent="0.35">
      <c r="A389" s="7" t="s">
        <v>673</v>
      </c>
      <c r="B389" s="12" t="s">
        <v>181</v>
      </c>
      <c r="E389">
        <v>21621621.621621624</v>
      </c>
      <c r="M389">
        <v>1590540.5405405399</v>
      </c>
      <c r="N389">
        <v>1178378.3783783789</v>
      </c>
    </row>
    <row r="390" spans="1:20" x14ac:dyDescent="0.35">
      <c r="A390" s="7" t="s">
        <v>488</v>
      </c>
      <c r="B390" s="12" t="s">
        <v>315</v>
      </c>
      <c r="C390">
        <v>33982677.593610972</v>
      </c>
      <c r="D390">
        <v>27423324.345615398</v>
      </c>
      <c r="E390">
        <v>277477.47747747699</v>
      </c>
      <c r="F390">
        <v>332432.43243243301</v>
      </c>
      <c r="G390">
        <v>5</v>
      </c>
      <c r="H390">
        <v>2</v>
      </c>
      <c r="K390">
        <v>6</v>
      </c>
      <c r="L390">
        <v>4</v>
      </c>
      <c r="M390">
        <v>11118198.198198201</v>
      </c>
      <c r="N390">
        <v>11368738.73873874</v>
      </c>
      <c r="O390">
        <v>15278063.063063065</v>
      </c>
      <c r="P390">
        <v>11461027.027027028</v>
      </c>
      <c r="Q390">
        <v>12215765.765765768</v>
      </c>
      <c r="R390">
        <v>6592972.9729729723</v>
      </c>
      <c r="S390">
        <v>1691</v>
      </c>
      <c r="T390">
        <v>1607</v>
      </c>
    </row>
    <row r="391" spans="1:20" x14ac:dyDescent="0.35">
      <c r="A391" s="7" t="s">
        <v>489</v>
      </c>
      <c r="B391" s="12" t="s">
        <v>181</v>
      </c>
      <c r="C391">
        <v>73130711.916204527</v>
      </c>
      <c r="D391">
        <v>68695026.98433803</v>
      </c>
      <c r="E391">
        <v>19819.819819821001</v>
      </c>
      <c r="F391">
        <v>247297.29729729699</v>
      </c>
      <c r="G391">
        <v>35</v>
      </c>
      <c r="H391">
        <v>28</v>
      </c>
      <c r="K391">
        <v>44</v>
      </c>
      <c r="L391">
        <v>47</v>
      </c>
      <c r="M391">
        <v>4728738.7387387371</v>
      </c>
      <c r="N391">
        <v>6719819.8198198164</v>
      </c>
      <c r="O391">
        <v>19845756.75675676</v>
      </c>
      <c r="P391">
        <v>21024738.738738742</v>
      </c>
      <c r="Q391">
        <v>3561441.44144144</v>
      </c>
      <c r="R391">
        <v>6063783.7837837823</v>
      </c>
      <c r="S391">
        <v>6337</v>
      </c>
      <c r="T391">
        <v>6251</v>
      </c>
    </row>
    <row r="392" spans="1:20" x14ac:dyDescent="0.35">
      <c r="A392" s="7" t="s">
        <v>674</v>
      </c>
      <c r="B392" s="12" t="s">
        <v>66</v>
      </c>
      <c r="E392">
        <v>21959459.459459461</v>
      </c>
      <c r="F392">
        <v>116621621.62162161</v>
      </c>
      <c r="M392">
        <v>6889189.1891891891</v>
      </c>
      <c r="N392">
        <v>4361261.2612612611</v>
      </c>
    </row>
    <row r="393" spans="1:20" x14ac:dyDescent="0.35">
      <c r="A393" s="7" t="s">
        <v>490</v>
      </c>
      <c r="B393" s="12" t="s">
        <v>220</v>
      </c>
      <c r="C393">
        <v>45165961.01599808</v>
      </c>
      <c r="D393">
        <v>40519888.27515287</v>
      </c>
      <c r="E393">
        <v>2702.7027027029999</v>
      </c>
      <c r="F393">
        <v>13513.513513514001</v>
      </c>
      <c r="G393">
        <v>10</v>
      </c>
      <c r="H393">
        <v>17</v>
      </c>
      <c r="K393">
        <v>12</v>
      </c>
      <c r="L393">
        <v>19</v>
      </c>
      <c r="M393">
        <v>155855.855855856</v>
      </c>
      <c r="N393">
        <v>546846.84684684698</v>
      </c>
      <c r="O393">
        <v>11345495.495495496</v>
      </c>
      <c r="P393">
        <v>10150854.054054054</v>
      </c>
      <c r="Q393">
        <v>305855.85585585597</v>
      </c>
      <c r="R393">
        <v>534234.23423423397</v>
      </c>
      <c r="S393">
        <v>4001</v>
      </c>
      <c r="T393">
        <v>3951</v>
      </c>
    </row>
    <row r="394" spans="1:20" x14ac:dyDescent="0.35">
      <c r="A394" s="7" t="s">
        <v>491</v>
      </c>
      <c r="B394" s="12" t="s">
        <v>220</v>
      </c>
      <c r="C394">
        <v>14318067.239688111</v>
      </c>
      <c r="D394">
        <v>13018083.435529478</v>
      </c>
      <c r="E394">
        <v>7207.2072072069996</v>
      </c>
      <c r="F394">
        <v>330630.630630631</v>
      </c>
      <c r="G394">
        <v>10</v>
      </c>
      <c r="H394">
        <v>5</v>
      </c>
      <c r="K394">
        <v>12</v>
      </c>
      <c r="L394">
        <v>5</v>
      </c>
      <c r="M394">
        <v>2237837.8378378372</v>
      </c>
      <c r="N394">
        <v>14958108.108108109</v>
      </c>
      <c r="O394">
        <v>4411036.0360360369</v>
      </c>
      <c r="P394">
        <v>4075810.8108108109</v>
      </c>
      <c r="Q394">
        <v>1760720.72072072</v>
      </c>
      <c r="R394">
        <v>14165135.135135137</v>
      </c>
      <c r="S394">
        <v>1234</v>
      </c>
      <c r="T394">
        <v>1200</v>
      </c>
    </row>
    <row r="395" spans="1:20" x14ac:dyDescent="0.35">
      <c r="A395" s="7" t="s">
        <v>492</v>
      </c>
      <c r="B395" s="12" t="s">
        <v>60</v>
      </c>
      <c r="C395">
        <v>54604994.748968191</v>
      </c>
      <c r="D395">
        <v>45691944.208150774</v>
      </c>
      <c r="E395">
        <v>727927.92792792805</v>
      </c>
      <c r="F395">
        <v>1423423.4234234311</v>
      </c>
      <c r="G395">
        <v>5</v>
      </c>
      <c r="H395">
        <v>6</v>
      </c>
      <c r="K395">
        <v>8</v>
      </c>
      <c r="L395">
        <v>64</v>
      </c>
      <c r="M395">
        <v>16518918.918918923</v>
      </c>
      <c r="N395">
        <v>9266666.6666666642</v>
      </c>
      <c r="O395">
        <v>23336846.846846849</v>
      </c>
      <c r="P395">
        <v>20552360.360360362</v>
      </c>
      <c r="Q395">
        <v>12402612.612612614</v>
      </c>
      <c r="R395">
        <v>9552072.072072072</v>
      </c>
      <c r="S395">
        <v>3673</v>
      </c>
      <c r="T395">
        <v>3661</v>
      </c>
    </row>
    <row r="396" spans="1:20" x14ac:dyDescent="0.35">
      <c r="A396" s="7" t="s">
        <v>493</v>
      </c>
      <c r="B396" s="12" t="s">
        <v>448</v>
      </c>
      <c r="C396">
        <v>60117360.087617338</v>
      </c>
      <c r="D396">
        <v>56725979.402548172</v>
      </c>
      <c r="E396">
        <v>70270.270270273002</v>
      </c>
      <c r="F396">
        <v>54054.054054054002</v>
      </c>
      <c r="G396">
        <v>31</v>
      </c>
      <c r="H396">
        <v>27</v>
      </c>
      <c r="K396">
        <v>36</v>
      </c>
      <c r="L396">
        <v>31</v>
      </c>
      <c r="M396">
        <v>7739864.8648648662</v>
      </c>
      <c r="N396">
        <v>7386486.486486489</v>
      </c>
      <c r="O396">
        <v>21944576.576576576</v>
      </c>
      <c r="P396">
        <v>20442162.162162162</v>
      </c>
      <c r="Q396">
        <v>6543198.1981981993</v>
      </c>
      <c r="R396">
        <v>6017837.8378378386</v>
      </c>
      <c r="S396">
        <v>4974</v>
      </c>
      <c r="T396">
        <v>4865</v>
      </c>
    </row>
    <row r="397" spans="1:20" x14ac:dyDescent="0.35">
      <c r="A397" s="7" t="s">
        <v>7</v>
      </c>
      <c r="B397" s="12" t="s">
        <v>193</v>
      </c>
      <c r="C397">
        <v>48043274.115988255</v>
      </c>
      <c r="D397">
        <v>49394762.395159177</v>
      </c>
      <c r="E397">
        <v>11261.261261262</v>
      </c>
      <c r="F397">
        <v>136936.936936938</v>
      </c>
      <c r="G397">
        <v>14</v>
      </c>
      <c r="H397">
        <v>15</v>
      </c>
      <c r="K397">
        <v>16</v>
      </c>
      <c r="L397">
        <v>22</v>
      </c>
      <c r="M397">
        <v>9261711.7117117122</v>
      </c>
      <c r="N397">
        <v>6997297.2972972961</v>
      </c>
      <c r="O397">
        <v>31473423.423423424</v>
      </c>
      <c r="P397">
        <v>34820837.837837838</v>
      </c>
      <c r="Q397">
        <v>10299909.909909911</v>
      </c>
      <c r="R397">
        <v>8593423.4234234225</v>
      </c>
      <c r="S397">
        <v>4198</v>
      </c>
      <c r="T397">
        <v>4879</v>
      </c>
    </row>
    <row r="398" spans="1:20" x14ac:dyDescent="0.35">
      <c r="A398" s="7" t="s">
        <v>494</v>
      </c>
      <c r="B398" s="12" t="s">
        <v>330</v>
      </c>
      <c r="C398">
        <v>61404795.205266625</v>
      </c>
      <c r="D398">
        <v>56973423.939885877</v>
      </c>
      <c r="E398">
        <v>13513.513513513</v>
      </c>
      <c r="F398">
        <v>152252.25225225199</v>
      </c>
      <c r="G398">
        <v>24</v>
      </c>
      <c r="H398">
        <v>22</v>
      </c>
      <c r="K398">
        <v>31</v>
      </c>
      <c r="L398">
        <v>31</v>
      </c>
      <c r="M398">
        <v>1923423.4234234239</v>
      </c>
      <c r="N398">
        <v>2296396.3963963962</v>
      </c>
      <c r="O398">
        <v>16846756.756756756</v>
      </c>
      <c r="P398">
        <v>13681756.756756756</v>
      </c>
      <c r="Q398">
        <v>2408108.1081081089</v>
      </c>
      <c r="R398">
        <v>2407117.1171171172</v>
      </c>
      <c r="S398">
        <v>4081</v>
      </c>
      <c r="T398">
        <v>6026</v>
      </c>
    </row>
    <row r="399" spans="1:20" x14ac:dyDescent="0.35">
      <c r="A399" s="7" t="s">
        <v>495</v>
      </c>
      <c r="B399" s="12" t="s">
        <v>330</v>
      </c>
      <c r="C399">
        <v>93812475.767401755</v>
      </c>
      <c r="D399">
        <v>97919056.910087422</v>
      </c>
      <c r="E399">
        <v>20720.720720721001</v>
      </c>
      <c r="F399">
        <v>786261.26126126503</v>
      </c>
      <c r="G399">
        <v>22</v>
      </c>
      <c r="H399">
        <v>29</v>
      </c>
      <c r="K399">
        <v>33</v>
      </c>
      <c r="L399">
        <v>45</v>
      </c>
      <c r="M399">
        <v>2002702.702702703</v>
      </c>
      <c r="N399">
        <v>3376576.5765765789</v>
      </c>
      <c r="O399">
        <v>21510981.981981985</v>
      </c>
      <c r="P399">
        <v>24549540.540540539</v>
      </c>
      <c r="Q399">
        <v>2693063.0630630641</v>
      </c>
      <c r="R399">
        <v>2479369.3693693709</v>
      </c>
      <c r="S399">
        <v>8444</v>
      </c>
      <c r="T399">
        <v>7268</v>
      </c>
    </row>
    <row r="400" spans="1:20" x14ac:dyDescent="0.35">
      <c r="A400" s="7" t="s">
        <v>496</v>
      </c>
      <c r="B400" s="12" t="s">
        <v>330</v>
      </c>
      <c r="C400">
        <v>103032893.34366235</v>
      </c>
      <c r="D400">
        <v>97365550.554809168</v>
      </c>
      <c r="E400">
        <v>56756.756756757997</v>
      </c>
      <c r="F400">
        <v>1415990.990990995</v>
      </c>
      <c r="G400">
        <v>49</v>
      </c>
      <c r="H400">
        <v>52</v>
      </c>
      <c r="K400">
        <v>61</v>
      </c>
      <c r="L400">
        <v>63</v>
      </c>
      <c r="M400">
        <v>6046306.3063063072</v>
      </c>
      <c r="N400">
        <v>9279279.2792792805</v>
      </c>
      <c r="O400">
        <v>23031252.252252251</v>
      </c>
      <c r="P400">
        <v>22598306.306306303</v>
      </c>
      <c r="Q400">
        <v>6668198.1981981983</v>
      </c>
      <c r="R400">
        <v>9875405.4054054059</v>
      </c>
      <c r="S400">
        <v>8395</v>
      </c>
      <c r="T400">
        <v>8236</v>
      </c>
    </row>
    <row r="401" spans="1:20" x14ac:dyDescent="0.35">
      <c r="A401" s="7" t="s">
        <v>497</v>
      </c>
      <c r="B401" s="12" t="s">
        <v>330</v>
      </c>
      <c r="C401">
        <v>407975997.62986529</v>
      </c>
      <c r="D401">
        <v>362034264.58139974</v>
      </c>
      <c r="E401">
        <v>357568842.34234232</v>
      </c>
      <c r="F401">
        <v>562436690.990991</v>
      </c>
      <c r="G401">
        <v>119</v>
      </c>
      <c r="H401">
        <v>157</v>
      </c>
      <c r="K401">
        <v>145</v>
      </c>
      <c r="L401">
        <v>227</v>
      </c>
      <c r="M401">
        <v>102721801.80180179</v>
      </c>
      <c r="N401">
        <v>22839639.639639638</v>
      </c>
      <c r="O401">
        <v>72770648.648648635</v>
      </c>
      <c r="P401">
        <v>77610675.675675675</v>
      </c>
      <c r="Q401">
        <v>101788468.46846846</v>
      </c>
      <c r="R401">
        <v>19712972.97297297</v>
      </c>
      <c r="S401">
        <v>29675</v>
      </c>
      <c r="T401">
        <v>27356</v>
      </c>
    </row>
    <row r="402" spans="1:20" x14ac:dyDescent="0.35">
      <c r="A402" s="7" t="s">
        <v>498</v>
      </c>
      <c r="B402" s="12" t="s">
        <v>330</v>
      </c>
      <c r="C402">
        <v>315713009.19222677</v>
      </c>
      <c r="D402">
        <v>294920098.51461983</v>
      </c>
      <c r="E402">
        <v>1042072.072072075</v>
      </c>
      <c r="F402">
        <v>2689639.6396396458</v>
      </c>
      <c r="G402">
        <v>83</v>
      </c>
      <c r="H402">
        <v>79</v>
      </c>
      <c r="K402">
        <v>106</v>
      </c>
      <c r="L402">
        <v>121</v>
      </c>
      <c r="M402">
        <v>116365495.49549548</v>
      </c>
      <c r="N402">
        <v>28689639.639639635</v>
      </c>
      <c r="O402">
        <v>75707027.027027026</v>
      </c>
      <c r="P402">
        <v>72327513.51351352</v>
      </c>
      <c r="Q402">
        <v>113949189.1891892</v>
      </c>
      <c r="R402">
        <v>24015945.945945945</v>
      </c>
      <c r="S402">
        <v>27326</v>
      </c>
      <c r="T402">
        <v>26226</v>
      </c>
    </row>
    <row r="403" spans="1:20" x14ac:dyDescent="0.35">
      <c r="A403" s="7" t="s">
        <v>499</v>
      </c>
      <c r="B403" s="12" t="s">
        <v>143</v>
      </c>
      <c r="C403">
        <v>125749564.72241251</v>
      </c>
      <c r="D403">
        <v>130080696.92138198</v>
      </c>
      <c r="E403">
        <v>45945.945945947002</v>
      </c>
      <c r="F403">
        <v>653378.37837838102</v>
      </c>
      <c r="G403">
        <v>22</v>
      </c>
      <c r="H403">
        <v>28</v>
      </c>
      <c r="K403">
        <v>30</v>
      </c>
      <c r="L403">
        <v>36</v>
      </c>
      <c r="M403">
        <v>11985045.045045044</v>
      </c>
      <c r="N403">
        <v>12717117.11711712</v>
      </c>
      <c r="O403">
        <v>18683684.684684686</v>
      </c>
      <c r="P403">
        <v>21005198.198198199</v>
      </c>
      <c r="Q403">
        <v>6672162.1621621614</v>
      </c>
      <c r="R403">
        <v>7089909.9099099077</v>
      </c>
      <c r="S403">
        <v>7488</v>
      </c>
      <c r="T403">
        <v>8581</v>
      </c>
    </row>
    <row r="404" spans="1:20" x14ac:dyDescent="0.35">
      <c r="A404" s="7" t="s">
        <v>500</v>
      </c>
      <c r="B404" s="12" t="s">
        <v>220</v>
      </c>
      <c r="C404">
        <v>145807127.87454867</v>
      </c>
      <c r="D404">
        <v>148095492.628512</v>
      </c>
      <c r="E404">
        <v>598198.19819819997</v>
      </c>
      <c r="F404">
        <v>1437162.1621621691</v>
      </c>
      <c r="G404">
        <v>74</v>
      </c>
      <c r="H404">
        <v>51</v>
      </c>
      <c r="I404">
        <v>1</v>
      </c>
      <c r="K404">
        <v>90</v>
      </c>
      <c r="L404">
        <v>70</v>
      </c>
      <c r="M404">
        <v>36878378.378378384</v>
      </c>
      <c r="N404">
        <v>124648648.64864863</v>
      </c>
      <c r="O404">
        <v>43489981.981981985</v>
      </c>
      <c r="P404">
        <v>44339009.009009011</v>
      </c>
      <c r="Q404">
        <v>37632612.612612613</v>
      </c>
      <c r="R404">
        <v>117145225.22522523</v>
      </c>
      <c r="S404">
        <v>11931</v>
      </c>
      <c r="T404">
        <v>11279</v>
      </c>
    </row>
    <row r="405" spans="1:20" x14ac:dyDescent="0.35">
      <c r="A405" s="7" t="s">
        <v>501</v>
      </c>
      <c r="B405" s="12" t="s">
        <v>397</v>
      </c>
      <c r="C405">
        <v>422259414.73589242</v>
      </c>
      <c r="D405">
        <v>430104210.80105108</v>
      </c>
      <c r="E405">
        <v>119979103.6036036</v>
      </c>
      <c r="F405">
        <v>3554958.558558567</v>
      </c>
      <c r="G405">
        <v>107</v>
      </c>
      <c r="H405">
        <v>111</v>
      </c>
      <c r="K405">
        <v>122</v>
      </c>
      <c r="L405">
        <v>141</v>
      </c>
      <c r="M405">
        <v>47985585.585585587</v>
      </c>
      <c r="N405">
        <v>47049324.324324317</v>
      </c>
      <c r="O405">
        <v>84909340.540540546</v>
      </c>
      <c r="P405">
        <v>88552234.234234244</v>
      </c>
      <c r="Q405">
        <v>44529459.459459454</v>
      </c>
      <c r="R405">
        <v>39611396.396396399</v>
      </c>
      <c r="S405">
        <v>26406</v>
      </c>
      <c r="T405">
        <v>27181</v>
      </c>
    </row>
    <row r="406" spans="1:20" x14ac:dyDescent="0.35">
      <c r="A406" s="7" t="s">
        <v>502</v>
      </c>
      <c r="B406" s="12" t="s">
        <v>70</v>
      </c>
      <c r="C406">
        <v>6207621.4541009413</v>
      </c>
      <c r="D406">
        <v>6507284.6801205901</v>
      </c>
      <c r="F406">
        <v>85585.585585585999</v>
      </c>
      <c r="G406">
        <v>3</v>
      </c>
      <c r="H406">
        <v>1</v>
      </c>
      <c r="K406">
        <v>3</v>
      </c>
      <c r="L406">
        <v>2</v>
      </c>
      <c r="N406">
        <v>215315.31531531599</v>
      </c>
      <c r="O406">
        <v>4576846.8468468469</v>
      </c>
      <c r="P406">
        <v>4568324.3243243238</v>
      </c>
      <c r="Q406">
        <v>1012612.612612612</v>
      </c>
      <c r="R406">
        <v>129729.72972973</v>
      </c>
      <c r="S406">
        <v>682</v>
      </c>
      <c r="T406">
        <v>706</v>
      </c>
    </row>
    <row r="407" spans="1:20" x14ac:dyDescent="0.35">
      <c r="A407" s="7" t="s">
        <v>503</v>
      </c>
      <c r="B407" s="12" t="s">
        <v>330</v>
      </c>
      <c r="C407">
        <v>174477416.91169316</v>
      </c>
      <c r="D407">
        <v>173203118.95161298</v>
      </c>
      <c r="E407">
        <v>309009.00900901097</v>
      </c>
      <c r="F407">
        <v>2135810.810810816</v>
      </c>
      <c r="G407">
        <v>37</v>
      </c>
      <c r="H407">
        <v>58</v>
      </c>
      <c r="K407">
        <v>50</v>
      </c>
      <c r="L407">
        <v>77</v>
      </c>
      <c r="M407">
        <v>12579279.279279277</v>
      </c>
      <c r="N407">
        <v>16672972.972972976</v>
      </c>
      <c r="O407">
        <v>42204906.306306303</v>
      </c>
      <c r="P407">
        <v>44342756.75675676</v>
      </c>
      <c r="Q407">
        <v>11233693.693693694</v>
      </c>
      <c r="R407">
        <v>15290090.090090089</v>
      </c>
      <c r="S407">
        <v>16057</v>
      </c>
      <c r="T407">
        <v>15916</v>
      </c>
    </row>
    <row r="408" spans="1:20" x14ac:dyDescent="0.35">
      <c r="A408" s="7" t="s">
        <v>504</v>
      </c>
      <c r="B408" s="12" t="s">
        <v>283</v>
      </c>
      <c r="C408">
        <v>53891346.92651359</v>
      </c>
      <c r="D408">
        <v>57442481.613038957</v>
      </c>
      <c r="E408">
        <v>281981.98198198201</v>
      </c>
      <c r="F408">
        <v>13513.513513514001</v>
      </c>
      <c r="G408">
        <v>17</v>
      </c>
      <c r="H408">
        <v>5</v>
      </c>
      <c r="K408">
        <v>18</v>
      </c>
      <c r="L408">
        <v>7</v>
      </c>
      <c r="M408">
        <v>3435135.1351351361</v>
      </c>
      <c r="N408">
        <v>1815315.315315316</v>
      </c>
      <c r="O408">
        <v>10702342.342342343</v>
      </c>
      <c r="P408">
        <v>9894594.594594596</v>
      </c>
      <c r="Q408">
        <v>6016216.2162162168</v>
      </c>
      <c r="R408">
        <v>2046306.306306307</v>
      </c>
      <c r="S408">
        <v>3068</v>
      </c>
      <c r="T408">
        <v>2972</v>
      </c>
    </row>
    <row r="409" spans="1:20" x14ac:dyDescent="0.35">
      <c r="A409" s="7" t="s">
        <v>505</v>
      </c>
      <c r="B409" s="12" t="s">
        <v>260</v>
      </c>
      <c r="C409">
        <v>32785041.713147216</v>
      </c>
      <c r="D409">
        <v>31544633.468264308</v>
      </c>
      <c r="G409">
        <v>2</v>
      </c>
      <c r="H409">
        <v>1</v>
      </c>
      <c r="K409">
        <v>2</v>
      </c>
      <c r="L409">
        <v>1</v>
      </c>
      <c r="O409">
        <v>7858288.2882882878</v>
      </c>
      <c r="P409">
        <v>6831540.5405405406</v>
      </c>
      <c r="S409">
        <v>2128</v>
      </c>
      <c r="T409">
        <v>4962</v>
      </c>
    </row>
    <row r="410" spans="1:20" x14ac:dyDescent="0.35">
      <c r="A410" s="7" t="s">
        <v>506</v>
      </c>
      <c r="B410" s="12" t="s">
        <v>236</v>
      </c>
      <c r="C410">
        <v>88037769.532782316</v>
      </c>
      <c r="D410">
        <v>78764080.944471717</v>
      </c>
      <c r="E410">
        <v>37477.477477478002</v>
      </c>
      <c r="F410">
        <v>140090.09009009201</v>
      </c>
      <c r="G410">
        <v>15</v>
      </c>
      <c r="H410">
        <v>4</v>
      </c>
      <c r="K410">
        <v>18</v>
      </c>
      <c r="L410">
        <v>6</v>
      </c>
      <c r="M410">
        <v>12852252.252252256</v>
      </c>
      <c r="N410">
        <v>9252792.7927927915</v>
      </c>
      <c r="O410">
        <v>19604076.576576576</v>
      </c>
      <c r="P410">
        <v>17619225.225225225</v>
      </c>
      <c r="Q410">
        <v>11836126.126126127</v>
      </c>
      <c r="R410">
        <v>10012342.342342343</v>
      </c>
      <c r="S410">
        <v>4713</v>
      </c>
      <c r="T410">
        <v>4485</v>
      </c>
    </row>
    <row r="411" spans="1:20" x14ac:dyDescent="0.35">
      <c r="A411" s="7" t="s">
        <v>507</v>
      </c>
      <c r="B411" s="12" t="s">
        <v>134</v>
      </c>
      <c r="C411">
        <v>13092419.067663671</v>
      </c>
      <c r="D411">
        <v>5199605.3541323487</v>
      </c>
      <c r="O411">
        <v>1778918.9189189191</v>
      </c>
      <c r="P411">
        <v>891711.71171171195</v>
      </c>
      <c r="S411">
        <v>1332</v>
      </c>
      <c r="T411">
        <v>28</v>
      </c>
    </row>
    <row r="412" spans="1:20" x14ac:dyDescent="0.35">
      <c r="A412" s="7" t="s">
        <v>508</v>
      </c>
      <c r="B412" s="12" t="s">
        <v>397</v>
      </c>
      <c r="C412">
        <v>88948602.13624008</v>
      </c>
      <c r="D412">
        <v>83954482.175341725</v>
      </c>
      <c r="E412">
        <v>14864.864864865</v>
      </c>
      <c r="F412">
        <v>199099.099099101</v>
      </c>
      <c r="G412">
        <v>10</v>
      </c>
      <c r="H412">
        <v>13</v>
      </c>
      <c r="K412">
        <v>14</v>
      </c>
      <c r="L412">
        <v>20</v>
      </c>
      <c r="M412">
        <v>8390090.0900900904</v>
      </c>
      <c r="N412">
        <v>9112612.6126126125</v>
      </c>
      <c r="O412">
        <v>12680990.990990991</v>
      </c>
      <c r="P412">
        <v>14137783.783783784</v>
      </c>
      <c r="Q412">
        <v>7482702.7027027048</v>
      </c>
      <c r="R412">
        <v>7422702.7027027048</v>
      </c>
      <c r="S412">
        <v>4404</v>
      </c>
      <c r="T412">
        <v>5064</v>
      </c>
    </row>
    <row r="413" spans="1:20" x14ac:dyDescent="0.35">
      <c r="A413" s="7" t="s">
        <v>509</v>
      </c>
      <c r="B413" s="12" t="s">
        <v>134</v>
      </c>
      <c r="C413">
        <v>96911334.766491696</v>
      </c>
      <c r="D413">
        <v>95394021.497294396</v>
      </c>
      <c r="E413">
        <v>168468.46846847099</v>
      </c>
      <c r="F413">
        <v>531531.53153153602</v>
      </c>
      <c r="G413">
        <v>25</v>
      </c>
      <c r="H413">
        <v>27</v>
      </c>
      <c r="K413">
        <v>28</v>
      </c>
      <c r="L413">
        <v>33</v>
      </c>
      <c r="M413">
        <v>7006306.3063063063</v>
      </c>
      <c r="N413">
        <v>7355855.855855857</v>
      </c>
      <c r="O413">
        <v>14732588.288288288</v>
      </c>
      <c r="P413">
        <v>15156130.630630633</v>
      </c>
      <c r="Q413">
        <v>6417747.74774775</v>
      </c>
      <c r="R413">
        <v>5623063.0630630609</v>
      </c>
      <c r="S413">
        <v>5558</v>
      </c>
      <c r="T413">
        <v>5619</v>
      </c>
    </row>
    <row r="414" spans="1:20" x14ac:dyDescent="0.35">
      <c r="A414" s="7" t="s">
        <v>510</v>
      </c>
      <c r="B414" s="12" t="s">
        <v>134</v>
      </c>
      <c r="C414">
        <v>262449768.49938735</v>
      </c>
      <c r="D414">
        <v>261361253.2105878</v>
      </c>
      <c r="E414">
        <v>707387.38738739002</v>
      </c>
      <c r="F414">
        <v>1351351.351351358</v>
      </c>
      <c r="G414">
        <v>46</v>
      </c>
      <c r="H414">
        <v>42</v>
      </c>
      <c r="K414">
        <v>57</v>
      </c>
      <c r="L414">
        <v>52</v>
      </c>
      <c r="M414">
        <v>15060990.990990989</v>
      </c>
      <c r="N414">
        <v>14587387.387387387</v>
      </c>
      <c r="O414">
        <v>27163234.234234232</v>
      </c>
      <c r="P414">
        <v>27020450.450450458</v>
      </c>
      <c r="Q414">
        <v>12969009.009009004</v>
      </c>
      <c r="R414">
        <v>14812702.702702699</v>
      </c>
      <c r="S414">
        <v>16596</v>
      </c>
      <c r="T414">
        <v>17735</v>
      </c>
    </row>
    <row r="415" spans="1:20" x14ac:dyDescent="0.35">
      <c r="A415" s="7" t="s">
        <v>8</v>
      </c>
      <c r="B415" s="12" t="s">
        <v>158</v>
      </c>
      <c r="C415">
        <v>69406672.01388742</v>
      </c>
      <c r="D415">
        <v>64744262.717331924</v>
      </c>
      <c r="E415">
        <v>932432.43243243301</v>
      </c>
      <c r="F415">
        <v>1016216.216216218</v>
      </c>
      <c r="G415">
        <v>4</v>
      </c>
      <c r="H415">
        <v>1</v>
      </c>
      <c r="K415">
        <v>5</v>
      </c>
      <c r="L415">
        <v>1</v>
      </c>
      <c r="M415">
        <v>9263963.9639639631</v>
      </c>
      <c r="N415">
        <v>8817117.1171171181</v>
      </c>
      <c r="O415">
        <v>19918513.513513513</v>
      </c>
      <c r="P415">
        <v>18743792.792792793</v>
      </c>
      <c r="Q415">
        <v>8684684.6846846845</v>
      </c>
      <c r="R415">
        <v>7440900.9009009004</v>
      </c>
      <c r="S415">
        <v>3676</v>
      </c>
      <c r="T415">
        <v>3534</v>
      </c>
    </row>
    <row r="416" spans="1:20" x14ac:dyDescent="0.35">
      <c r="A416" s="7" t="s">
        <v>511</v>
      </c>
      <c r="B416" s="12" t="s">
        <v>134</v>
      </c>
      <c r="C416">
        <v>44502894.537476808</v>
      </c>
      <c r="D416">
        <v>45873343.28795173</v>
      </c>
      <c r="F416">
        <v>270270.27027027</v>
      </c>
      <c r="G416">
        <v>2</v>
      </c>
      <c r="H416">
        <v>2</v>
      </c>
      <c r="K416">
        <v>3</v>
      </c>
      <c r="L416">
        <v>2</v>
      </c>
      <c r="N416">
        <v>1171171.1711711709</v>
      </c>
      <c r="O416">
        <v>4378819.8198198192</v>
      </c>
      <c r="P416">
        <v>6184567.5675675683</v>
      </c>
      <c r="Q416">
        <v>1077927.927927929</v>
      </c>
      <c r="R416">
        <v>1661621.6216216211</v>
      </c>
      <c r="S416">
        <v>3192</v>
      </c>
      <c r="T416">
        <v>4076</v>
      </c>
    </row>
    <row r="417" spans="1:20" x14ac:dyDescent="0.35">
      <c r="A417" s="7" t="s">
        <v>512</v>
      </c>
      <c r="B417" s="12" t="s">
        <v>62</v>
      </c>
      <c r="C417">
        <v>229453882.13581181</v>
      </c>
      <c r="D417">
        <v>215002453.22843024</v>
      </c>
      <c r="E417">
        <v>92303053.153153151</v>
      </c>
      <c r="F417">
        <v>299499703.6036036</v>
      </c>
      <c r="G417">
        <v>40</v>
      </c>
      <c r="H417">
        <v>37</v>
      </c>
      <c r="K417">
        <v>48</v>
      </c>
      <c r="L417">
        <v>96</v>
      </c>
      <c r="M417">
        <v>29325527.02702703</v>
      </c>
      <c r="N417">
        <v>24915518.018018022</v>
      </c>
      <c r="O417">
        <v>43326531.531531535</v>
      </c>
      <c r="P417">
        <v>46118054.054054059</v>
      </c>
      <c r="Q417">
        <v>10257747.747747747</v>
      </c>
      <c r="R417">
        <v>11276666.666666672</v>
      </c>
      <c r="S417">
        <v>14550</v>
      </c>
      <c r="T417">
        <v>14448</v>
      </c>
    </row>
    <row r="418" spans="1:20" x14ac:dyDescent="0.35">
      <c r="A418" s="7" t="s">
        <v>513</v>
      </c>
      <c r="B418" s="12" t="s">
        <v>117</v>
      </c>
      <c r="C418">
        <v>23946578.278002158</v>
      </c>
      <c r="D418">
        <v>17839446.552918132</v>
      </c>
      <c r="E418">
        <v>2702.7027027029999</v>
      </c>
      <c r="F418">
        <v>198198.19819819901</v>
      </c>
      <c r="G418">
        <v>23</v>
      </c>
      <c r="H418">
        <v>15</v>
      </c>
      <c r="K418">
        <v>23</v>
      </c>
      <c r="L418">
        <v>17</v>
      </c>
      <c r="M418">
        <v>1350990.9909909889</v>
      </c>
      <c r="N418">
        <v>1472522.5225225231</v>
      </c>
      <c r="O418">
        <v>11749189.189189188</v>
      </c>
      <c r="P418">
        <v>7892603.6036036033</v>
      </c>
      <c r="Q418">
        <v>1124864.864864863</v>
      </c>
      <c r="R418">
        <v>467117.11711711797</v>
      </c>
      <c r="S418">
        <v>1732</v>
      </c>
      <c r="T418">
        <v>1975</v>
      </c>
    </row>
    <row r="419" spans="1:20" x14ac:dyDescent="0.35">
      <c r="A419" s="7" t="s">
        <v>514</v>
      </c>
      <c r="B419" s="12" t="s">
        <v>304</v>
      </c>
      <c r="C419">
        <v>45309440.949918814</v>
      </c>
      <c r="D419">
        <v>40850499.016639128</v>
      </c>
      <c r="E419">
        <v>8108.1081081089997</v>
      </c>
      <c r="F419">
        <v>149549.54954954999</v>
      </c>
      <c r="G419">
        <v>10</v>
      </c>
      <c r="H419">
        <v>20</v>
      </c>
      <c r="K419">
        <v>16</v>
      </c>
      <c r="L419">
        <v>20</v>
      </c>
      <c r="M419">
        <v>710810.810810811</v>
      </c>
      <c r="N419">
        <v>6066216.2162162168</v>
      </c>
      <c r="O419">
        <v>2927387.3873873879</v>
      </c>
      <c r="P419">
        <v>3818243.243243244</v>
      </c>
      <c r="Q419">
        <v>1234054.054054054</v>
      </c>
      <c r="R419">
        <v>7138558.5585585581</v>
      </c>
      <c r="S419">
        <v>1527</v>
      </c>
      <c r="T419">
        <v>1466</v>
      </c>
    </row>
    <row r="420" spans="1:20" x14ac:dyDescent="0.35">
      <c r="A420" s="7" t="s">
        <v>515</v>
      </c>
      <c r="B420" s="12" t="s">
        <v>304</v>
      </c>
      <c r="C420">
        <v>13056929.086068584</v>
      </c>
      <c r="D420">
        <v>7639025.7447114931</v>
      </c>
      <c r="E420">
        <v>187747.74774774699</v>
      </c>
      <c r="F420">
        <v>129729.72972973</v>
      </c>
      <c r="L420">
        <v>1</v>
      </c>
      <c r="M420">
        <v>1494054.054054054</v>
      </c>
      <c r="N420">
        <v>963963.96396396402</v>
      </c>
      <c r="O420">
        <v>1866486.4864864871</v>
      </c>
      <c r="P420">
        <v>1176090.090090089</v>
      </c>
      <c r="Q420">
        <v>1435135.1351351349</v>
      </c>
      <c r="R420">
        <v>709909.90990991006</v>
      </c>
      <c r="S420">
        <v>608</v>
      </c>
      <c r="T420">
        <v>583</v>
      </c>
    </row>
    <row r="421" spans="1:20" x14ac:dyDescent="0.35">
      <c r="A421" s="7" t="s">
        <v>516</v>
      </c>
      <c r="B421" s="12" t="s">
        <v>304</v>
      </c>
      <c r="C421">
        <v>24596384.802996945</v>
      </c>
      <c r="D421">
        <v>26338183.965281881</v>
      </c>
      <c r="E421">
        <v>5045.0450450449998</v>
      </c>
      <c r="F421">
        <v>482882.88288288203</v>
      </c>
      <c r="G421">
        <v>10</v>
      </c>
      <c r="H421">
        <v>16</v>
      </c>
      <c r="K421">
        <v>12</v>
      </c>
      <c r="L421">
        <v>17</v>
      </c>
      <c r="M421">
        <v>1878918.9189189179</v>
      </c>
      <c r="N421">
        <v>1527027.027027027</v>
      </c>
      <c r="O421">
        <v>3798153.1531531531</v>
      </c>
      <c r="P421">
        <v>3509198.1981981979</v>
      </c>
      <c r="Q421">
        <v>1606666.666666667</v>
      </c>
      <c r="R421">
        <v>823423.42342342401</v>
      </c>
      <c r="S421">
        <v>1130</v>
      </c>
      <c r="T421">
        <v>1087</v>
      </c>
    </row>
    <row r="422" spans="1:20" x14ac:dyDescent="0.35">
      <c r="A422" s="7" t="s">
        <v>517</v>
      </c>
      <c r="B422" s="12" t="s">
        <v>304</v>
      </c>
      <c r="C422">
        <v>19506139.517689619</v>
      </c>
      <c r="D422">
        <v>18813778.432817187</v>
      </c>
      <c r="E422">
        <v>12612.612612613</v>
      </c>
      <c r="F422">
        <v>81081.081081081007</v>
      </c>
      <c r="G422">
        <v>4</v>
      </c>
      <c r="H422">
        <v>7</v>
      </c>
      <c r="K422">
        <v>4</v>
      </c>
      <c r="L422">
        <v>7</v>
      </c>
      <c r="M422">
        <v>517117.11711711698</v>
      </c>
      <c r="N422">
        <v>459459.459459459</v>
      </c>
      <c r="O422">
        <v>2566351.351351351</v>
      </c>
      <c r="P422">
        <v>2534072.072072072</v>
      </c>
      <c r="Q422">
        <v>370270.27027027</v>
      </c>
      <c r="R422">
        <v>360360.36036036001</v>
      </c>
      <c r="S422">
        <v>731</v>
      </c>
      <c r="T422">
        <v>780</v>
      </c>
    </row>
    <row r="423" spans="1:20" x14ac:dyDescent="0.35">
      <c r="A423" s="7" t="s">
        <v>518</v>
      </c>
      <c r="B423" s="12" t="s">
        <v>448</v>
      </c>
      <c r="C423">
        <v>19787180.90393262</v>
      </c>
      <c r="D423">
        <v>18564929.720620181</v>
      </c>
      <c r="E423">
        <v>27587387.387387387</v>
      </c>
      <c r="F423">
        <v>132240540.54054055</v>
      </c>
      <c r="G423">
        <v>8</v>
      </c>
      <c r="H423">
        <v>3</v>
      </c>
      <c r="K423">
        <v>11</v>
      </c>
      <c r="L423">
        <v>4</v>
      </c>
      <c r="M423">
        <v>1066216.2162162161</v>
      </c>
      <c r="N423">
        <v>1756081.0810810809</v>
      </c>
      <c r="O423">
        <v>6397702.702702703</v>
      </c>
      <c r="P423">
        <v>6030101.3513513505</v>
      </c>
      <c r="Q423">
        <v>612882.88288288203</v>
      </c>
      <c r="R423">
        <v>783333.33333333198</v>
      </c>
      <c r="S423">
        <v>1858</v>
      </c>
      <c r="T423">
        <v>1720</v>
      </c>
    </row>
    <row r="424" spans="1:20" x14ac:dyDescent="0.35">
      <c r="A424" s="7" t="s">
        <v>519</v>
      </c>
      <c r="B424" s="12" t="s">
        <v>85</v>
      </c>
      <c r="C424">
        <v>57666446.483714111</v>
      </c>
      <c r="D424">
        <v>57779230.447574623</v>
      </c>
      <c r="E424">
        <v>6306.3063063070003</v>
      </c>
      <c r="F424">
        <v>418918.91891892097</v>
      </c>
      <c r="G424">
        <v>19</v>
      </c>
      <c r="H424">
        <v>6</v>
      </c>
      <c r="K424">
        <v>23</v>
      </c>
      <c r="L424">
        <v>12</v>
      </c>
      <c r="M424">
        <v>4231531.5315315314</v>
      </c>
      <c r="N424">
        <v>14734234.234234236</v>
      </c>
      <c r="O424">
        <v>14166981.981981983</v>
      </c>
      <c r="P424">
        <v>13776864.864864863</v>
      </c>
      <c r="Q424">
        <v>3349459.4594594599</v>
      </c>
      <c r="R424">
        <v>15474998.198198197</v>
      </c>
      <c r="S424">
        <v>4203</v>
      </c>
      <c r="T424">
        <v>4110</v>
      </c>
    </row>
    <row r="425" spans="1:20" x14ac:dyDescent="0.35">
      <c r="A425" s="7" t="s">
        <v>520</v>
      </c>
      <c r="B425" s="12" t="s">
        <v>304</v>
      </c>
      <c r="C425">
        <v>30078421.998743098</v>
      </c>
      <c r="D425">
        <v>31423543.753878679</v>
      </c>
      <c r="E425">
        <v>900.900900901</v>
      </c>
      <c r="F425">
        <v>17117.117117116999</v>
      </c>
      <c r="G425">
        <v>2</v>
      </c>
      <c r="H425">
        <v>1</v>
      </c>
      <c r="K425">
        <v>2</v>
      </c>
      <c r="L425">
        <v>1</v>
      </c>
      <c r="M425">
        <v>2667567.5675675669</v>
      </c>
      <c r="N425">
        <v>2612612.612612613</v>
      </c>
      <c r="O425">
        <v>4368603.6036036042</v>
      </c>
      <c r="P425">
        <v>5097108.1081081089</v>
      </c>
      <c r="Q425">
        <v>829549.549549549</v>
      </c>
      <c r="R425">
        <v>668648.64864864806</v>
      </c>
      <c r="S425">
        <v>1416</v>
      </c>
      <c r="T425">
        <v>1313</v>
      </c>
    </row>
    <row r="426" spans="1:20" x14ac:dyDescent="0.35">
      <c r="A426" s="7" t="s">
        <v>521</v>
      </c>
      <c r="B426" s="12" t="s">
        <v>399</v>
      </c>
      <c r="C426">
        <v>221906960.5183633</v>
      </c>
      <c r="D426">
        <v>212003831.39830083</v>
      </c>
      <c r="E426">
        <v>136212940.54054055</v>
      </c>
      <c r="F426">
        <v>57115029.729729734</v>
      </c>
      <c r="G426">
        <v>47</v>
      </c>
      <c r="H426">
        <v>32</v>
      </c>
      <c r="K426">
        <v>55</v>
      </c>
      <c r="L426">
        <v>149</v>
      </c>
      <c r="M426">
        <v>75458468.468468457</v>
      </c>
      <c r="N426">
        <v>35983333.333333336</v>
      </c>
      <c r="O426">
        <v>49609729.729729727</v>
      </c>
      <c r="P426">
        <v>51586288.288288288</v>
      </c>
      <c r="Q426">
        <v>57676576.576576576</v>
      </c>
      <c r="R426">
        <v>27755585.585585587</v>
      </c>
      <c r="S426">
        <v>13674</v>
      </c>
      <c r="T426">
        <v>13625</v>
      </c>
    </row>
    <row r="427" spans="1:20" x14ac:dyDescent="0.35">
      <c r="A427" s="7" t="s">
        <v>522</v>
      </c>
      <c r="B427" s="12" t="s">
        <v>143</v>
      </c>
      <c r="C427">
        <v>66242247.158157922</v>
      </c>
      <c r="D427">
        <v>61907873.159542203</v>
      </c>
      <c r="E427">
        <v>2702.7027027029999</v>
      </c>
      <c r="F427">
        <v>189189.18918919101</v>
      </c>
      <c r="G427">
        <v>11</v>
      </c>
      <c r="H427">
        <v>15</v>
      </c>
      <c r="K427">
        <v>12</v>
      </c>
      <c r="L427">
        <v>17</v>
      </c>
      <c r="M427">
        <v>4993693.6936936937</v>
      </c>
      <c r="N427">
        <v>3792792.7927927929</v>
      </c>
      <c r="O427">
        <v>7312972.9729729732</v>
      </c>
      <c r="P427">
        <v>7594009.0090090092</v>
      </c>
      <c r="Q427">
        <v>4017657.6576576568</v>
      </c>
      <c r="R427">
        <v>2751711.7117117131</v>
      </c>
      <c r="S427">
        <v>2987</v>
      </c>
      <c r="T427">
        <v>2918</v>
      </c>
    </row>
    <row r="428" spans="1:20" x14ac:dyDescent="0.35">
      <c r="A428" s="7" t="s">
        <v>523</v>
      </c>
      <c r="B428" s="12" t="s">
        <v>66</v>
      </c>
      <c r="C428">
        <v>40714867.854733184</v>
      </c>
      <c r="D428">
        <v>39317085.518101223</v>
      </c>
      <c r="E428">
        <v>32972.972972973002</v>
      </c>
      <c r="F428">
        <v>380180.18018018099</v>
      </c>
      <c r="G428">
        <v>3</v>
      </c>
      <c r="H428">
        <v>6</v>
      </c>
      <c r="I428">
        <v>1</v>
      </c>
      <c r="K428">
        <v>4</v>
      </c>
      <c r="L428">
        <v>8</v>
      </c>
      <c r="M428">
        <v>3811531.531531529</v>
      </c>
      <c r="N428">
        <v>6472972.9729729732</v>
      </c>
      <c r="O428">
        <v>20303513.513513513</v>
      </c>
      <c r="P428">
        <v>18563396.396396395</v>
      </c>
      <c r="Q428">
        <v>3783063.0630630609</v>
      </c>
      <c r="R428">
        <v>6444684.6846846854</v>
      </c>
      <c r="S428">
        <v>3654</v>
      </c>
      <c r="T428">
        <v>3674</v>
      </c>
    </row>
    <row r="429" spans="1:20" x14ac:dyDescent="0.35">
      <c r="A429" s="7" t="s">
        <v>524</v>
      </c>
      <c r="B429" s="12" t="s">
        <v>220</v>
      </c>
      <c r="C429">
        <v>55655922.132331297</v>
      </c>
      <c r="D429">
        <v>52836658.228140973</v>
      </c>
      <c r="E429">
        <v>7207.207207208</v>
      </c>
      <c r="F429">
        <v>373873.87387387402</v>
      </c>
      <c r="G429">
        <v>19</v>
      </c>
      <c r="H429">
        <v>11</v>
      </c>
      <c r="K429">
        <v>23</v>
      </c>
      <c r="L429">
        <v>15</v>
      </c>
      <c r="M429">
        <v>3515315.3153153141</v>
      </c>
      <c r="N429">
        <v>3709009.0090090092</v>
      </c>
      <c r="O429">
        <v>13013585.585585587</v>
      </c>
      <c r="P429">
        <v>13322261.261261262</v>
      </c>
      <c r="Q429">
        <v>2302972.9729729709</v>
      </c>
      <c r="R429">
        <v>2471711.7117117108</v>
      </c>
      <c r="S429">
        <v>4598</v>
      </c>
      <c r="T429">
        <v>4349</v>
      </c>
    </row>
    <row r="430" spans="1:20" x14ac:dyDescent="0.35">
      <c r="A430" s="7" t="s">
        <v>525</v>
      </c>
      <c r="B430" s="12" t="s">
        <v>413</v>
      </c>
      <c r="C430">
        <v>593511762.87118983</v>
      </c>
      <c r="D430">
        <v>573702770.39525449</v>
      </c>
      <c r="E430">
        <v>31507382.882882886</v>
      </c>
      <c r="F430">
        <v>197055097.2972973</v>
      </c>
      <c r="G430">
        <v>54</v>
      </c>
      <c r="H430">
        <v>49</v>
      </c>
      <c r="K430">
        <v>88</v>
      </c>
      <c r="L430">
        <v>93</v>
      </c>
      <c r="M430">
        <v>64293783.783783793</v>
      </c>
      <c r="N430">
        <v>36487747.747747749</v>
      </c>
      <c r="O430">
        <v>166522495.4954955</v>
      </c>
      <c r="P430">
        <v>165552333.33333334</v>
      </c>
      <c r="Q430">
        <v>46013693.693693697</v>
      </c>
      <c r="R430">
        <v>36823873.873873882</v>
      </c>
      <c r="S430">
        <v>32269</v>
      </c>
      <c r="T430">
        <v>32040</v>
      </c>
    </row>
    <row r="431" spans="1:20" x14ac:dyDescent="0.35">
      <c r="A431" s="7" t="s">
        <v>526</v>
      </c>
      <c r="B431" s="12" t="s">
        <v>413</v>
      </c>
      <c r="C431">
        <v>70669692.317034781</v>
      </c>
      <c r="D431">
        <v>65330995.411976293</v>
      </c>
      <c r="E431">
        <v>11711.711711712</v>
      </c>
      <c r="F431">
        <v>26351.351351351001</v>
      </c>
      <c r="G431">
        <v>12</v>
      </c>
      <c r="H431">
        <v>2</v>
      </c>
      <c r="K431">
        <v>13</v>
      </c>
      <c r="L431">
        <v>3</v>
      </c>
      <c r="M431">
        <v>2399459.4594594589</v>
      </c>
      <c r="N431">
        <v>4449009.0090090102</v>
      </c>
      <c r="O431">
        <v>19393594.59459459</v>
      </c>
      <c r="P431">
        <v>21128693.693693694</v>
      </c>
      <c r="Q431">
        <v>2091621.6216216211</v>
      </c>
      <c r="R431">
        <v>3732702.7027027011</v>
      </c>
      <c r="S431">
        <v>4722</v>
      </c>
      <c r="T431">
        <v>4735</v>
      </c>
    </row>
    <row r="432" spans="1:20" x14ac:dyDescent="0.35">
      <c r="A432" s="7" t="s">
        <v>661</v>
      </c>
      <c r="B432" s="12" t="s">
        <v>189</v>
      </c>
      <c r="C432">
        <v>1048472.57043165</v>
      </c>
      <c r="M432">
        <v>54054.054054054002</v>
      </c>
      <c r="N432">
        <v>351351.35135135101</v>
      </c>
      <c r="O432">
        <v>188738.73873873899</v>
      </c>
      <c r="S432">
        <v>147</v>
      </c>
    </row>
    <row r="433" spans="1:20" x14ac:dyDescent="0.35">
      <c r="A433" s="7" t="s">
        <v>527</v>
      </c>
      <c r="B433" s="12" t="s">
        <v>147</v>
      </c>
      <c r="C433">
        <v>141190499.86740842</v>
      </c>
      <c r="D433">
        <v>135307648.79505134</v>
      </c>
      <c r="E433">
        <v>285585.58558558603</v>
      </c>
      <c r="F433">
        <v>1740765.7657657671</v>
      </c>
      <c r="G433">
        <v>14</v>
      </c>
      <c r="H433">
        <v>24</v>
      </c>
      <c r="K433">
        <v>16</v>
      </c>
      <c r="L433">
        <v>108</v>
      </c>
      <c r="M433">
        <v>2573873.8738738741</v>
      </c>
      <c r="N433">
        <v>14134414.414414419</v>
      </c>
      <c r="O433">
        <v>44916882.882882878</v>
      </c>
      <c r="P433">
        <v>47298331.531531528</v>
      </c>
      <c r="Q433">
        <v>6726936.9369369373</v>
      </c>
      <c r="R433">
        <v>15476936.936936939</v>
      </c>
      <c r="S433">
        <v>10152</v>
      </c>
      <c r="T433">
        <v>12964</v>
      </c>
    </row>
    <row r="434" spans="1:20" x14ac:dyDescent="0.35">
      <c r="A434" s="7" t="s">
        <v>528</v>
      </c>
      <c r="B434" s="12" t="s">
        <v>121</v>
      </c>
      <c r="C434">
        <v>15110133.343594225</v>
      </c>
      <c r="D434">
        <v>14960418.756635176</v>
      </c>
      <c r="E434">
        <v>8108.1081081080001</v>
      </c>
      <c r="F434">
        <v>166666.66666666701</v>
      </c>
      <c r="G434">
        <v>8</v>
      </c>
      <c r="H434">
        <v>6</v>
      </c>
      <c r="K434">
        <v>8</v>
      </c>
      <c r="L434">
        <v>6</v>
      </c>
      <c r="M434">
        <v>458558.55855855899</v>
      </c>
      <c r="N434">
        <v>1801801.8018018019</v>
      </c>
      <c r="O434">
        <v>1830360.3603603609</v>
      </c>
      <c r="P434">
        <v>1757500</v>
      </c>
      <c r="Q434">
        <v>716306.30630630697</v>
      </c>
      <c r="R434">
        <v>1019549.5495495501</v>
      </c>
      <c r="S434">
        <v>989</v>
      </c>
      <c r="T434">
        <v>972</v>
      </c>
    </row>
    <row r="435" spans="1:20" x14ac:dyDescent="0.35">
      <c r="A435" s="7" t="s">
        <v>529</v>
      </c>
      <c r="B435" s="12" t="s">
        <v>448</v>
      </c>
      <c r="C435">
        <v>43455489.363938048</v>
      </c>
      <c r="D435">
        <v>23068703.451093502</v>
      </c>
      <c r="E435">
        <v>907387.38738738804</v>
      </c>
      <c r="F435">
        <v>180180.18018018</v>
      </c>
      <c r="G435">
        <v>22</v>
      </c>
      <c r="H435">
        <v>4</v>
      </c>
      <c r="K435">
        <v>22</v>
      </c>
      <c r="L435">
        <v>4</v>
      </c>
      <c r="M435">
        <v>1676306.3063063079</v>
      </c>
      <c r="N435">
        <v>680630.63063062995</v>
      </c>
      <c r="O435">
        <v>17167099.0990991</v>
      </c>
      <c r="P435">
        <v>11723558.558558561</v>
      </c>
      <c r="Q435">
        <v>1866216.2162162161</v>
      </c>
      <c r="R435">
        <v>532702.70270270295</v>
      </c>
      <c r="S435">
        <v>2657</v>
      </c>
      <c r="T435">
        <v>2155</v>
      </c>
    </row>
    <row r="436" spans="1:20" x14ac:dyDescent="0.35">
      <c r="A436" s="7" t="s">
        <v>530</v>
      </c>
      <c r="B436" s="12" t="s">
        <v>448</v>
      </c>
      <c r="C436">
        <v>64596190.963165358</v>
      </c>
      <c r="D436">
        <v>61527299.913140051</v>
      </c>
      <c r="E436">
        <v>46846.846846847999</v>
      </c>
      <c r="F436">
        <v>267567.56756756798</v>
      </c>
      <c r="G436">
        <v>23</v>
      </c>
      <c r="H436">
        <v>19</v>
      </c>
      <c r="K436">
        <v>25</v>
      </c>
      <c r="L436">
        <v>22</v>
      </c>
      <c r="M436">
        <v>2313963.963963964</v>
      </c>
      <c r="N436">
        <v>2268018.0180180171</v>
      </c>
      <c r="O436">
        <v>29278378.378378376</v>
      </c>
      <c r="P436">
        <v>27667657.657657657</v>
      </c>
      <c r="Q436">
        <v>3940810.810810809</v>
      </c>
      <c r="R436">
        <v>3366306.3063063072</v>
      </c>
      <c r="S436">
        <v>5303</v>
      </c>
      <c r="T436">
        <v>5155</v>
      </c>
    </row>
    <row r="437" spans="1:20" x14ac:dyDescent="0.35">
      <c r="A437" s="7" t="s">
        <v>531</v>
      </c>
      <c r="B437" s="12" t="s">
        <v>123</v>
      </c>
      <c r="C437">
        <v>162517938.47937554</v>
      </c>
      <c r="D437">
        <v>163855548.46314621</v>
      </c>
      <c r="E437">
        <v>45029069.369369365</v>
      </c>
      <c r="F437">
        <v>76444917.117117122</v>
      </c>
      <c r="G437">
        <v>39</v>
      </c>
      <c r="H437">
        <v>65</v>
      </c>
      <c r="I437">
        <v>1</v>
      </c>
      <c r="K437">
        <v>62</v>
      </c>
      <c r="L437">
        <v>97</v>
      </c>
      <c r="M437">
        <v>24651531.531531535</v>
      </c>
      <c r="N437">
        <v>57764234.234234244</v>
      </c>
      <c r="O437">
        <v>56708579.279279277</v>
      </c>
      <c r="P437">
        <v>58018878.378378376</v>
      </c>
      <c r="Q437">
        <v>32551531.531531535</v>
      </c>
      <c r="R437">
        <v>58760360.360360369</v>
      </c>
      <c r="S437">
        <v>11426</v>
      </c>
      <c r="T437">
        <v>11347</v>
      </c>
    </row>
    <row r="438" spans="1:20" x14ac:dyDescent="0.35">
      <c r="A438" s="7" t="s">
        <v>532</v>
      </c>
      <c r="B438" s="12" t="s">
        <v>85</v>
      </c>
      <c r="C438">
        <v>53501716.237860397</v>
      </c>
      <c r="D438">
        <v>53169739.526630893</v>
      </c>
      <c r="E438">
        <v>276576.57657657698</v>
      </c>
      <c r="F438">
        <v>40540.540540540998</v>
      </c>
      <c r="G438">
        <v>8</v>
      </c>
      <c r="H438">
        <v>6</v>
      </c>
      <c r="K438">
        <v>8</v>
      </c>
      <c r="L438">
        <v>35</v>
      </c>
      <c r="M438">
        <v>4330630.630630631</v>
      </c>
      <c r="N438">
        <v>7023963.963963965</v>
      </c>
      <c r="O438">
        <v>11780765.765765766</v>
      </c>
      <c r="P438">
        <v>11174666.666666668</v>
      </c>
      <c r="Q438">
        <v>4756036.036036036</v>
      </c>
      <c r="R438">
        <v>3646576.5765765761</v>
      </c>
      <c r="S438">
        <v>3657</v>
      </c>
      <c r="T438">
        <v>3896</v>
      </c>
    </row>
    <row r="439" spans="1:20" x14ac:dyDescent="0.35">
      <c r="A439" s="7" t="s">
        <v>9</v>
      </c>
      <c r="B439" s="12" t="s">
        <v>158</v>
      </c>
      <c r="C439">
        <v>137588777.46392941</v>
      </c>
      <c r="D439">
        <v>127543451.82436892</v>
      </c>
      <c r="E439">
        <v>991351.35135135194</v>
      </c>
      <c r="F439">
        <v>966666.66666667</v>
      </c>
      <c r="G439">
        <v>23</v>
      </c>
      <c r="H439">
        <v>18</v>
      </c>
      <c r="I439">
        <v>3</v>
      </c>
      <c r="K439">
        <v>27</v>
      </c>
      <c r="L439">
        <v>20</v>
      </c>
      <c r="M439">
        <v>247659819.81981981</v>
      </c>
      <c r="N439">
        <v>135054054.05405405</v>
      </c>
      <c r="O439">
        <v>49064234.234234229</v>
      </c>
      <c r="P439">
        <v>46599018.018018015</v>
      </c>
      <c r="Q439">
        <v>207963783.78378376</v>
      </c>
      <c r="R439">
        <v>112215675.67567568</v>
      </c>
      <c r="S439">
        <v>7273</v>
      </c>
      <c r="T439">
        <v>7034</v>
      </c>
    </row>
    <row r="440" spans="1:20" x14ac:dyDescent="0.35">
      <c r="A440" s="7" t="s">
        <v>533</v>
      </c>
      <c r="B440" s="12" t="s">
        <v>94</v>
      </c>
      <c r="C440">
        <v>130052247.78914739</v>
      </c>
      <c r="D440">
        <v>125165914.37125048</v>
      </c>
      <c r="E440">
        <v>15315.315315316</v>
      </c>
      <c r="F440">
        <v>338738.73873874202</v>
      </c>
      <c r="G440">
        <v>19</v>
      </c>
      <c r="H440">
        <v>21</v>
      </c>
      <c r="K440">
        <v>21</v>
      </c>
      <c r="L440">
        <v>25</v>
      </c>
      <c r="M440">
        <v>11738738.738738736</v>
      </c>
      <c r="N440">
        <v>9843243.2432432435</v>
      </c>
      <c r="O440">
        <v>13356936.936936935</v>
      </c>
      <c r="P440">
        <v>17011477.47747748</v>
      </c>
      <c r="Q440">
        <v>8331261.2612612601</v>
      </c>
      <c r="R440">
        <v>8832252.2522522528</v>
      </c>
      <c r="S440">
        <v>6308</v>
      </c>
      <c r="T440">
        <v>6313</v>
      </c>
    </row>
    <row r="441" spans="1:20" x14ac:dyDescent="0.35">
      <c r="A441" s="7" t="s">
        <v>534</v>
      </c>
      <c r="B441" s="12" t="s">
        <v>304</v>
      </c>
      <c r="C441">
        <v>3827714.3113586199</v>
      </c>
      <c r="D441">
        <v>4523736.1732918173</v>
      </c>
      <c r="G441">
        <v>3</v>
      </c>
      <c r="K441">
        <v>3</v>
      </c>
      <c r="L441">
        <v>1</v>
      </c>
      <c r="O441">
        <v>424459.459459459</v>
      </c>
      <c r="P441">
        <v>560045.04504504497</v>
      </c>
      <c r="S441">
        <v>243</v>
      </c>
      <c r="T441">
        <v>428</v>
      </c>
    </row>
    <row r="442" spans="1:20" x14ac:dyDescent="0.35">
      <c r="A442" s="7" t="s">
        <v>535</v>
      </c>
      <c r="B442" s="12" t="s">
        <v>304</v>
      </c>
      <c r="C442">
        <v>56023395.546265475</v>
      </c>
      <c r="D442">
        <v>52923592.570764177</v>
      </c>
      <c r="E442">
        <v>467567.56756756798</v>
      </c>
      <c r="F442">
        <v>252252.25225225301</v>
      </c>
      <c r="G442">
        <v>12</v>
      </c>
      <c r="H442">
        <v>5</v>
      </c>
      <c r="K442">
        <v>15</v>
      </c>
      <c r="L442">
        <v>7</v>
      </c>
      <c r="M442">
        <v>3485585.5855855849</v>
      </c>
      <c r="N442">
        <v>4621621.6216216218</v>
      </c>
      <c r="O442">
        <v>4406621.6216216218</v>
      </c>
      <c r="P442">
        <v>5603198.1981981983</v>
      </c>
      <c r="Q442">
        <v>2160360.3603603588</v>
      </c>
      <c r="R442">
        <v>2183333.3333333321</v>
      </c>
      <c r="S442">
        <v>2753</v>
      </c>
      <c r="T442">
        <v>2647</v>
      </c>
    </row>
    <row r="443" spans="1:20" x14ac:dyDescent="0.35">
      <c r="A443" s="7" t="s">
        <v>536</v>
      </c>
      <c r="B443" s="12" t="s">
        <v>85</v>
      </c>
      <c r="C443">
        <v>45686973.291137867</v>
      </c>
      <c r="D443">
        <v>45356678.159860872</v>
      </c>
      <c r="E443">
        <v>30630.630630631</v>
      </c>
      <c r="F443">
        <v>323423.423423425</v>
      </c>
      <c r="G443">
        <v>26</v>
      </c>
      <c r="H443">
        <v>16</v>
      </c>
      <c r="K443">
        <v>27</v>
      </c>
      <c r="L443">
        <v>23</v>
      </c>
      <c r="M443">
        <v>10958558.558558557</v>
      </c>
      <c r="N443">
        <v>16507567.567567568</v>
      </c>
      <c r="O443">
        <v>20596441.441441439</v>
      </c>
      <c r="P443">
        <v>20418234.234234232</v>
      </c>
      <c r="Q443">
        <v>12630630.630630629</v>
      </c>
      <c r="R443">
        <v>12285225.225225229</v>
      </c>
      <c r="S443">
        <v>3090</v>
      </c>
      <c r="T443">
        <v>2984</v>
      </c>
    </row>
    <row r="444" spans="1:20" x14ac:dyDescent="0.35">
      <c r="A444" s="7" t="s">
        <v>537</v>
      </c>
      <c r="B444" s="12" t="s">
        <v>448</v>
      </c>
      <c r="C444">
        <v>64562736.144923806</v>
      </c>
      <c r="D444">
        <v>61984358.343910098</v>
      </c>
      <c r="E444">
        <v>118018.01801801899</v>
      </c>
      <c r="F444">
        <v>177477.47747747801</v>
      </c>
      <c r="G444">
        <v>40</v>
      </c>
      <c r="H444">
        <v>13</v>
      </c>
      <c r="K444">
        <v>42</v>
      </c>
      <c r="L444">
        <v>21</v>
      </c>
      <c r="M444">
        <v>2009009.0090090081</v>
      </c>
      <c r="N444">
        <v>886936.93693693599</v>
      </c>
      <c r="O444">
        <v>17646423.423423424</v>
      </c>
      <c r="P444">
        <v>17299926.126126125</v>
      </c>
      <c r="Q444">
        <v>2742792.7927927929</v>
      </c>
      <c r="R444">
        <v>2010540.540540539</v>
      </c>
      <c r="S444">
        <v>5076</v>
      </c>
      <c r="T444">
        <v>5093</v>
      </c>
    </row>
    <row r="445" spans="1:20" x14ac:dyDescent="0.35">
      <c r="A445" s="7" t="s">
        <v>538</v>
      </c>
      <c r="B445" s="12" t="s">
        <v>117</v>
      </c>
      <c r="C445">
        <v>143473272.55118793</v>
      </c>
      <c r="D445">
        <v>142305777.45773262</v>
      </c>
      <c r="E445">
        <v>496666.66666666901</v>
      </c>
      <c r="F445">
        <v>1616216.2162162201</v>
      </c>
      <c r="G445">
        <v>30</v>
      </c>
      <c r="H445">
        <v>30</v>
      </c>
      <c r="K445">
        <v>38</v>
      </c>
      <c r="L445">
        <v>38</v>
      </c>
      <c r="M445">
        <v>24568558.558558561</v>
      </c>
      <c r="N445">
        <v>25430900.000000004</v>
      </c>
      <c r="O445">
        <v>75546126.126126125</v>
      </c>
      <c r="P445">
        <v>77830531.531531543</v>
      </c>
      <c r="Q445">
        <v>22610090.090090089</v>
      </c>
      <c r="R445">
        <v>20879819.819819823</v>
      </c>
      <c r="S445">
        <v>11179</v>
      </c>
      <c r="T445">
        <v>11160</v>
      </c>
    </row>
    <row r="446" spans="1:20" x14ac:dyDescent="0.35">
      <c r="A446" s="7" t="s">
        <v>539</v>
      </c>
      <c r="B446" s="12" t="s">
        <v>83</v>
      </c>
      <c r="C446">
        <v>466692996.44189543</v>
      </c>
      <c r="D446">
        <v>462623766.72668314</v>
      </c>
      <c r="E446">
        <v>907207.20720720896</v>
      </c>
      <c r="F446">
        <v>2195945.9459459512</v>
      </c>
      <c r="G446">
        <v>53</v>
      </c>
      <c r="H446">
        <v>104</v>
      </c>
      <c r="K446">
        <v>64</v>
      </c>
      <c r="L446">
        <v>135</v>
      </c>
      <c r="M446">
        <v>23217567.567567565</v>
      </c>
      <c r="N446">
        <v>28394594.59459459</v>
      </c>
      <c r="O446">
        <v>43609000</v>
      </c>
      <c r="P446">
        <v>48019390.540540546</v>
      </c>
      <c r="Q446">
        <v>20004954.954954956</v>
      </c>
      <c r="R446">
        <v>23203016.216216221</v>
      </c>
      <c r="S446">
        <v>21615</v>
      </c>
      <c r="T446">
        <v>21718</v>
      </c>
    </row>
    <row r="447" spans="1:20" x14ac:dyDescent="0.35">
      <c r="A447" s="7" t="s">
        <v>540</v>
      </c>
      <c r="B447" s="12" t="s">
        <v>315</v>
      </c>
      <c r="C447">
        <v>53948112.538093179</v>
      </c>
      <c r="D447">
        <v>52988049.952469319</v>
      </c>
      <c r="E447">
        <v>1022522.522522523</v>
      </c>
      <c r="F447">
        <v>678603.60360360495</v>
      </c>
      <c r="G447">
        <v>6</v>
      </c>
      <c r="H447">
        <v>6</v>
      </c>
      <c r="K447">
        <v>7</v>
      </c>
      <c r="L447">
        <v>6</v>
      </c>
      <c r="M447">
        <v>5103603.6036036052</v>
      </c>
      <c r="N447">
        <v>3834234.2342342348</v>
      </c>
      <c r="O447">
        <v>9857657.6576576568</v>
      </c>
      <c r="P447">
        <v>10930585.585585585</v>
      </c>
      <c r="Q447">
        <v>4069639.6396396402</v>
      </c>
      <c r="R447">
        <v>2369189.1891891891</v>
      </c>
      <c r="S447">
        <v>2524</v>
      </c>
      <c r="T447">
        <v>2658</v>
      </c>
    </row>
    <row r="448" spans="1:20" x14ac:dyDescent="0.35">
      <c r="A448" s="7" t="s">
        <v>541</v>
      </c>
      <c r="B448" s="12" t="s">
        <v>169</v>
      </c>
      <c r="C448">
        <v>396707195.37872964</v>
      </c>
      <c r="D448">
        <v>363146083.35121703</v>
      </c>
      <c r="E448">
        <v>1681531.5315315321</v>
      </c>
      <c r="F448">
        <v>755855.85585585702</v>
      </c>
      <c r="G448">
        <v>34</v>
      </c>
      <c r="H448">
        <v>41</v>
      </c>
      <c r="K448">
        <v>38</v>
      </c>
      <c r="L448">
        <v>87</v>
      </c>
      <c r="M448">
        <v>19953963.963963967</v>
      </c>
      <c r="N448">
        <v>19902882.882882878</v>
      </c>
      <c r="O448">
        <v>140060207.2072072</v>
      </c>
      <c r="P448">
        <v>134026292.7927928</v>
      </c>
      <c r="Q448">
        <v>16497207.207207212</v>
      </c>
      <c r="R448">
        <v>21222432.432432432</v>
      </c>
      <c r="S448">
        <v>21683</v>
      </c>
      <c r="T448">
        <v>21211</v>
      </c>
    </row>
    <row r="449" spans="1:20" x14ac:dyDescent="0.35">
      <c r="A449" s="7" t="s">
        <v>542</v>
      </c>
      <c r="B449" s="12" t="s">
        <v>479</v>
      </c>
      <c r="C449">
        <v>118200746.87448594</v>
      </c>
      <c r="D449">
        <v>116500312.36790286</v>
      </c>
      <c r="E449">
        <v>1036036.036036036</v>
      </c>
      <c r="F449">
        <v>40540.540540542002</v>
      </c>
      <c r="G449">
        <v>13</v>
      </c>
      <c r="H449">
        <v>8</v>
      </c>
      <c r="K449">
        <v>14</v>
      </c>
      <c r="L449">
        <v>10</v>
      </c>
      <c r="M449">
        <v>1081081.0810810809</v>
      </c>
      <c r="N449">
        <v>40540.540540542002</v>
      </c>
      <c r="O449">
        <v>14725756.756756756</v>
      </c>
      <c r="P449">
        <v>14284261.26126126</v>
      </c>
      <c r="Q449">
        <v>1098648.648648649</v>
      </c>
      <c r="S449">
        <v>6331</v>
      </c>
      <c r="T449">
        <v>5487</v>
      </c>
    </row>
    <row r="450" spans="1:20" x14ac:dyDescent="0.35">
      <c r="A450" s="7" t="s">
        <v>543</v>
      </c>
      <c r="B450" s="12" t="s">
        <v>80</v>
      </c>
      <c r="C450">
        <v>32420456.483628046</v>
      </c>
      <c r="D450">
        <v>23129486.59437843</v>
      </c>
      <c r="E450">
        <v>36036.036036037003</v>
      </c>
      <c r="F450">
        <v>36486.486486487003</v>
      </c>
      <c r="G450">
        <v>6</v>
      </c>
      <c r="H450">
        <v>9</v>
      </c>
      <c r="K450">
        <v>7</v>
      </c>
      <c r="L450">
        <v>9</v>
      </c>
      <c r="M450">
        <v>3100000</v>
      </c>
      <c r="N450">
        <v>2840540.5405405401</v>
      </c>
      <c r="O450">
        <v>11230720.72072072</v>
      </c>
      <c r="P450">
        <v>8788792.7927927934</v>
      </c>
      <c r="Q450">
        <v>2338378.3783783782</v>
      </c>
      <c r="R450">
        <v>2624504.5045045051</v>
      </c>
      <c r="S450">
        <v>2386</v>
      </c>
      <c r="T450">
        <v>2378</v>
      </c>
    </row>
    <row r="451" spans="1:20" x14ac:dyDescent="0.35">
      <c r="A451" s="7" t="s">
        <v>544</v>
      </c>
      <c r="B451" s="12" t="s">
        <v>169</v>
      </c>
      <c r="C451">
        <v>27707505.281412717</v>
      </c>
      <c r="D451">
        <v>30621540.823808663</v>
      </c>
      <c r="F451">
        <v>270270.27027027</v>
      </c>
      <c r="G451">
        <v>5</v>
      </c>
      <c r="H451">
        <v>10</v>
      </c>
      <c r="K451">
        <v>6</v>
      </c>
      <c r="L451">
        <v>11</v>
      </c>
      <c r="M451">
        <v>1801801.801801801</v>
      </c>
      <c r="N451">
        <v>1171171.17117117</v>
      </c>
      <c r="O451">
        <v>12597331.531531531</v>
      </c>
      <c r="P451">
        <v>14256747.747747747</v>
      </c>
      <c r="Q451">
        <v>511981.98198198201</v>
      </c>
      <c r="R451">
        <v>218018.01801801799</v>
      </c>
      <c r="S451">
        <v>2487</v>
      </c>
      <c r="T451">
        <v>2493</v>
      </c>
    </row>
    <row r="452" spans="1:20" x14ac:dyDescent="0.35">
      <c r="A452" s="7" t="s">
        <v>545</v>
      </c>
      <c r="B452" s="12" t="s">
        <v>224</v>
      </c>
      <c r="C452">
        <v>9810.8108108100005</v>
      </c>
      <c r="D452">
        <v>9.0635441009999997</v>
      </c>
    </row>
    <row r="453" spans="1:20" x14ac:dyDescent="0.35">
      <c r="A453" s="7" t="s">
        <v>546</v>
      </c>
      <c r="B453" s="12" t="s">
        <v>136</v>
      </c>
      <c r="C453">
        <v>80118249.350491449</v>
      </c>
      <c r="D453">
        <v>76330320.334625825</v>
      </c>
      <c r="E453">
        <v>259009.00900901001</v>
      </c>
      <c r="F453">
        <v>324324.32432432601</v>
      </c>
      <c r="G453">
        <v>20</v>
      </c>
      <c r="H453">
        <v>22</v>
      </c>
      <c r="K453">
        <v>26</v>
      </c>
      <c r="L453">
        <v>30</v>
      </c>
      <c r="M453">
        <v>15322072.07207207</v>
      </c>
      <c r="N453">
        <v>17225225.225225221</v>
      </c>
      <c r="O453">
        <v>23811432.432432432</v>
      </c>
      <c r="P453">
        <v>24157696.396396395</v>
      </c>
      <c r="Q453">
        <v>13503693.693693692</v>
      </c>
      <c r="R453">
        <v>14136936.936936937</v>
      </c>
      <c r="S453">
        <v>4419</v>
      </c>
      <c r="T453">
        <v>4312</v>
      </c>
    </row>
    <row r="454" spans="1:20" x14ac:dyDescent="0.35">
      <c r="A454" s="7" t="s">
        <v>547</v>
      </c>
      <c r="B454" s="12" t="s">
        <v>136</v>
      </c>
      <c r="C454">
        <v>144603720.25192392</v>
      </c>
      <c r="D454">
        <v>146120999.96822256</v>
      </c>
      <c r="E454">
        <v>66283207.20720721</v>
      </c>
      <c r="F454">
        <v>55873812.612612613</v>
      </c>
      <c r="G454">
        <v>60</v>
      </c>
      <c r="H454">
        <v>74</v>
      </c>
      <c r="K454">
        <v>74</v>
      </c>
      <c r="L454">
        <v>91</v>
      </c>
      <c r="M454">
        <v>30824774.774774771</v>
      </c>
      <c r="N454">
        <v>33090540.540540539</v>
      </c>
      <c r="O454">
        <v>43228331.531531528</v>
      </c>
      <c r="P454">
        <v>49135184.684684686</v>
      </c>
      <c r="Q454">
        <v>27843783.78378379</v>
      </c>
      <c r="R454">
        <v>30782972.972972974</v>
      </c>
      <c r="S454">
        <v>12644</v>
      </c>
      <c r="T454">
        <v>15092</v>
      </c>
    </row>
    <row r="455" spans="1:20" x14ac:dyDescent="0.35">
      <c r="A455" s="7" t="s">
        <v>548</v>
      </c>
      <c r="B455" s="12" t="s">
        <v>136</v>
      </c>
      <c r="C455">
        <v>160092959.78450891</v>
      </c>
      <c r="D455">
        <v>160413145.29717743</v>
      </c>
      <c r="E455">
        <v>905405.40540540603</v>
      </c>
      <c r="F455">
        <v>1121621.621621622</v>
      </c>
      <c r="G455">
        <v>36</v>
      </c>
      <c r="H455">
        <v>13</v>
      </c>
      <c r="K455">
        <v>42</v>
      </c>
      <c r="L455">
        <v>17</v>
      </c>
      <c r="M455">
        <v>6860360.3603603607</v>
      </c>
      <c r="N455">
        <v>6887387.3873873875</v>
      </c>
      <c r="O455">
        <v>24858189.189189192</v>
      </c>
      <c r="P455">
        <v>27046890.090090089</v>
      </c>
      <c r="Q455">
        <v>5162792.7927927924</v>
      </c>
      <c r="R455">
        <v>6323603.6036036033</v>
      </c>
      <c r="S455">
        <v>8177</v>
      </c>
      <c r="T455">
        <v>8768</v>
      </c>
    </row>
    <row r="456" spans="1:20" x14ac:dyDescent="0.35">
      <c r="A456" s="7" t="s">
        <v>549</v>
      </c>
      <c r="B456" s="12" t="s">
        <v>136</v>
      </c>
      <c r="C456">
        <v>76711756.882999808</v>
      </c>
      <c r="D456">
        <v>63378911.784924597</v>
      </c>
      <c r="E456">
        <v>277477.47747747798</v>
      </c>
      <c r="F456">
        <v>81081.081081081997</v>
      </c>
      <c r="G456">
        <v>13</v>
      </c>
      <c r="H456">
        <v>12</v>
      </c>
      <c r="K456">
        <v>19</v>
      </c>
      <c r="L456">
        <v>13</v>
      </c>
      <c r="M456">
        <v>2980180.1801801808</v>
      </c>
      <c r="N456">
        <v>6270270.2702702703</v>
      </c>
      <c r="O456">
        <v>12695000</v>
      </c>
      <c r="P456">
        <v>11421639.63963964</v>
      </c>
      <c r="Q456">
        <v>5113063.0630630627</v>
      </c>
      <c r="R456">
        <v>4696216.2162162168</v>
      </c>
      <c r="S456">
        <v>3799</v>
      </c>
      <c r="T456">
        <v>3674</v>
      </c>
    </row>
    <row r="457" spans="1:20" x14ac:dyDescent="0.35">
      <c r="A457" s="7" t="s">
        <v>550</v>
      </c>
      <c r="B457" s="12" t="s">
        <v>87</v>
      </c>
      <c r="C457">
        <v>32922720.146550737</v>
      </c>
      <c r="D457">
        <v>26009643.290791713</v>
      </c>
      <c r="E457">
        <v>904504.50450450496</v>
      </c>
      <c r="F457">
        <v>54054.054054054002</v>
      </c>
      <c r="G457">
        <v>13</v>
      </c>
      <c r="H457">
        <v>4</v>
      </c>
      <c r="K457">
        <v>13</v>
      </c>
      <c r="L457">
        <v>7</v>
      </c>
      <c r="M457">
        <v>1963063.0630630639</v>
      </c>
      <c r="N457">
        <v>1706306.306306306</v>
      </c>
      <c r="O457">
        <v>5667153.1531531531</v>
      </c>
      <c r="P457">
        <v>4045216.2162162159</v>
      </c>
      <c r="Q457">
        <v>1905495.4954954961</v>
      </c>
      <c r="R457">
        <v>1796396.396396396</v>
      </c>
      <c r="S457">
        <v>1398</v>
      </c>
      <c r="T457">
        <v>2606</v>
      </c>
    </row>
    <row r="458" spans="1:20" x14ac:dyDescent="0.35">
      <c r="A458" s="7" t="s">
        <v>551</v>
      </c>
      <c r="B458" s="12" t="s">
        <v>87</v>
      </c>
      <c r="C458">
        <v>46787479.147266068</v>
      </c>
      <c r="D458">
        <v>41784658.24437464</v>
      </c>
      <c r="E458">
        <v>1801.801801802</v>
      </c>
      <c r="F458">
        <v>117117.117117118</v>
      </c>
      <c r="G458">
        <v>25</v>
      </c>
      <c r="H458">
        <v>13</v>
      </c>
      <c r="I458">
        <v>1</v>
      </c>
      <c r="K458">
        <v>27</v>
      </c>
      <c r="L458">
        <v>20</v>
      </c>
      <c r="M458">
        <v>6818018.0180180166</v>
      </c>
      <c r="N458">
        <v>3419819.8198198201</v>
      </c>
      <c r="O458">
        <v>5555810.81081081</v>
      </c>
      <c r="P458">
        <v>4648160.3603603598</v>
      </c>
      <c r="Q458">
        <v>2434504.5045045041</v>
      </c>
      <c r="R458">
        <v>1628648.648648649</v>
      </c>
      <c r="S458">
        <v>2650</v>
      </c>
      <c r="T458">
        <v>2543</v>
      </c>
    </row>
    <row r="459" spans="1:20" x14ac:dyDescent="0.35">
      <c r="A459" s="7" t="s">
        <v>552</v>
      </c>
      <c r="B459" s="12" t="s">
        <v>66</v>
      </c>
      <c r="C459">
        <v>82002803.989957705</v>
      </c>
      <c r="D459">
        <v>79324797.100388601</v>
      </c>
      <c r="E459">
        <v>1414144.144144146</v>
      </c>
      <c r="F459">
        <v>790990.99099099101</v>
      </c>
      <c r="G459">
        <v>28</v>
      </c>
      <c r="H459">
        <v>22</v>
      </c>
      <c r="K459">
        <v>32</v>
      </c>
      <c r="L459">
        <v>31</v>
      </c>
      <c r="M459">
        <v>14072432.432432428</v>
      </c>
      <c r="N459">
        <v>24952342.342342339</v>
      </c>
      <c r="O459">
        <v>35504459.459459461</v>
      </c>
      <c r="P459">
        <v>32775081.081081085</v>
      </c>
      <c r="Q459">
        <v>11965045.045045044</v>
      </c>
      <c r="R459">
        <v>21577747.747747749</v>
      </c>
      <c r="S459">
        <v>8875</v>
      </c>
      <c r="T459">
        <v>9251</v>
      </c>
    </row>
    <row r="460" spans="1:20" x14ac:dyDescent="0.35">
      <c r="A460" s="7" t="s">
        <v>553</v>
      </c>
      <c r="B460" s="12" t="s">
        <v>554</v>
      </c>
      <c r="C460">
        <v>175596607.74187294</v>
      </c>
      <c r="D460">
        <v>158317050.15556544</v>
      </c>
      <c r="E460">
        <v>2796446.8468468478</v>
      </c>
      <c r="F460">
        <v>23555141.441441443</v>
      </c>
      <c r="G460">
        <v>39</v>
      </c>
      <c r="H460">
        <v>16</v>
      </c>
      <c r="I460">
        <v>1</v>
      </c>
      <c r="K460">
        <v>74</v>
      </c>
      <c r="L460">
        <v>26</v>
      </c>
      <c r="M460">
        <v>18038738.738738734</v>
      </c>
      <c r="N460">
        <v>25997297.297297295</v>
      </c>
      <c r="O460">
        <v>45702882.882882878</v>
      </c>
      <c r="P460">
        <v>41756315.315315314</v>
      </c>
      <c r="Q460">
        <v>12300990.990990989</v>
      </c>
      <c r="R460">
        <v>20469459.459459458</v>
      </c>
      <c r="S460">
        <v>9396</v>
      </c>
      <c r="T460">
        <v>9116</v>
      </c>
    </row>
    <row r="461" spans="1:20" x14ac:dyDescent="0.35">
      <c r="A461" s="7" t="s">
        <v>555</v>
      </c>
      <c r="B461" s="12" t="s">
        <v>554</v>
      </c>
      <c r="C461">
        <v>25698348.598086186</v>
      </c>
      <c r="D461">
        <v>24496692.933115218</v>
      </c>
      <c r="E461">
        <v>16216.216216217001</v>
      </c>
      <c r="F461">
        <v>27027.027027028002</v>
      </c>
      <c r="G461">
        <v>14</v>
      </c>
      <c r="H461">
        <v>2</v>
      </c>
      <c r="K461">
        <v>14</v>
      </c>
      <c r="L461">
        <v>3</v>
      </c>
      <c r="M461">
        <v>2450090.0900900899</v>
      </c>
      <c r="N461">
        <v>2459459.4594594599</v>
      </c>
      <c r="O461">
        <v>10076261.26126126</v>
      </c>
      <c r="P461">
        <v>8550765.7657657657</v>
      </c>
      <c r="Q461">
        <v>2315945.945945946</v>
      </c>
      <c r="R461">
        <v>2818288.2882882878</v>
      </c>
      <c r="S461">
        <v>1662</v>
      </c>
      <c r="T461">
        <v>1512</v>
      </c>
    </row>
    <row r="462" spans="1:20" x14ac:dyDescent="0.35">
      <c r="A462" s="7" t="s">
        <v>556</v>
      </c>
      <c r="B462" s="12" t="s">
        <v>121</v>
      </c>
      <c r="C462">
        <v>20029529.928919312</v>
      </c>
      <c r="D462">
        <v>19286443.968397737</v>
      </c>
      <c r="F462">
        <v>180180.18018018</v>
      </c>
      <c r="G462">
        <v>4</v>
      </c>
      <c r="H462">
        <v>6</v>
      </c>
      <c r="K462">
        <v>5</v>
      </c>
      <c r="L462">
        <v>10</v>
      </c>
      <c r="N462">
        <v>3628399.0990990992</v>
      </c>
      <c r="O462">
        <v>1044144.144144144</v>
      </c>
      <c r="P462">
        <v>1887657.657657658</v>
      </c>
      <c r="Q462">
        <v>92792.792792793</v>
      </c>
      <c r="S462">
        <v>1436</v>
      </c>
      <c r="T462">
        <v>1278</v>
      </c>
    </row>
    <row r="463" spans="1:20" x14ac:dyDescent="0.35">
      <c r="A463" s="7" t="s">
        <v>557</v>
      </c>
      <c r="B463" s="12" t="s">
        <v>70</v>
      </c>
      <c r="C463">
        <v>154002889.27812499</v>
      </c>
      <c r="D463">
        <v>153970665.66029167</v>
      </c>
      <c r="E463">
        <v>493873.87387387402</v>
      </c>
      <c r="F463">
        <v>1701801.8018018061</v>
      </c>
      <c r="G463">
        <v>34</v>
      </c>
      <c r="H463">
        <v>27</v>
      </c>
      <c r="K463">
        <v>36</v>
      </c>
      <c r="L463">
        <v>33</v>
      </c>
      <c r="M463">
        <v>10308288.288288295</v>
      </c>
      <c r="N463">
        <v>29690990.990991</v>
      </c>
      <c r="O463">
        <v>61358225.225225225</v>
      </c>
      <c r="P463">
        <v>62948729.729729727</v>
      </c>
      <c r="Q463">
        <v>19315135.13513514</v>
      </c>
      <c r="R463">
        <v>19176126.126126129</v>
      </c>
      <c r="S463">
        <v>10369</v>
      </c>
      <c r="T463">
        <v>10356</v>
      </c>
    </row>
    <row r="464" spans="1:20" x14ac:dyDescent="0.35">
      <c r="A464" s="7" t="s">
        <v>558</v>
      </c>
      <c r="B464" s="12" t="s">
        <v>62</v>
      </c>
      <c r="C464">
        <v>280365697.02915329</v>
      </c>
      <c r="D464">
        <v>280260392.77210093</v>
      </c>
      <c r="E464">
        <v>3609459.4594594622</v>
      </c>
      <c r="F464">
        <v>4875675.6756756809</v>
      </c>
      <c r="G464">
        <v>57</v>
      </c>
      <c r="H464">
        <v>63</v>
      </c>
      <c r="K464">
        <v>70</v>
      </c>
      <c r="L464">
        <v>128</v>
      </c>
      <c r="M464">
        <v>22532342.342342336</v>
      </c>
      <c r="N464">
        <v>22125405.405405398</v>
      </c>
      <c r="O464">
        <v>61904594.59459459</v>
      </c>
      <c r="P464">
        <v>62384337.837837838</v>
      </c>
      <c r="Q464">
        <v>19154324.324324321</v>
      </c>
      <c r="R464">
        <v>18791081.081081074</v>
      </c>
      <c r="S464">
        <v>18037</v>
      </c>
      <c r="T464">
        <v>18109</v>
      </c>
    </row>
    <row r="465" spans="1:20" x14ac:dyDescent="0.35">
      <c r="A465" s="7" t="s">
        <v>559</v>
      </c>
      <c r="B465" s="12" t="s">
        <v>479</v>
      </c>
      <c r="C465">
        <v>144242651.17979565</v>
      </c>
      <c r="D465">
        <v>126940285.72108911</v>
      </c>
      <c r="E465">
        <v>59361650.450450458</v>
      </c>
      <c r="F465">
        <v>46413008.108108111</v>
      </c>
      <c r="G465">
        <v>65</v>
      </c>
      <c r="H465">
        <v>31</v>
      </c>
      <c r="K465">
        <v>68</v>
      </c>
      <c r="L465">
        <v>38</v>
      </c>
      <c r="M465">
        <v>15703603.603603603</v>
      </c>
      <c r="N465">
        <v>15561306.306306312</v>
      </c>
      <c r="O465">
        <v>39928801.801801801</v>
      </c>
      <c r="P465">
        <v>36717297.297297299</v>
      </c>
      <c r="Q465">
        <v>14400720.720720721</v>
      </c>
      <c r="R465">
        <v>11470810.810810812</v>
      </c>
      <c r="S465">
        <v>7931</v>
      </c>
      <c r="T465">
        <v>7584</v>
      </c>
    </row>
    <row r="466" spans="1:20" x14ac:dyDescent="0.35">
      <c r="A466" s="7" t="s">
        <v>560</v>
      </c>
      <c r="B466" s="12" t="s">
        <v>236</v>
      </c>
      <c r="C466">
        <v>21100022.467169136</v>
      </c>
      <c r="D466">
        <v>21523707.76262968</v>
      </c>
      <c r="E466">
        <v>6306.3063063070003</v>
      </c>
      <c r="F466">
        <v>27027.027027028002</v>
      </c>
      <c r="G466">
        <v>5</v>
      </c>
      <c r="H466">
        <v>4</v>
      </c>
      <c r="K466">
        <v>8</v>
      </c>
      <c r="L466">
        <v>5</v>
      </c>
      <c r="M466">
        <v>2652252.2522522509</v>
      </c>
      <c r="N466">
        <v>477477.47747747798</v>
      </c>
      <c r="O466">
        <v>7614234.2342342334</v>
      </c>
      <c r="P466">
        <v>7693783.7837837841</v>
      </c>
      <c r="Q466">
        <v>2084144.1441441439</v>
      </c>
      <c r="R466">
        <v>623333.33333333395</v>
      </c>
      <c r="S466">
        <v>2184</v>
      </c>
      <c r="T466">
        <v>2051</v>
      </c>
    </row>
    <row r="467" spans="1:20" x14ac:dyDescent="0.35">
      <c r="A467" s="7" t="s">
        <v>561</v>
      </c>
      <c r="B467" s="12" t="s">
        <v>60</v>
      </c>
      <c r="C467">
        <v>21747173.550488278</v>
      </c>
      <c r="D467">
        <v>21494947.430772487</v>
      </c>
      <c r="E467">
        <v>146396.396396397</v>
      </c>
      <c r="F467">
        <v>370270.27027027099</v>
      </c>
      <c r="G467">
        <v>4</v>
      </c>
      <c r="H467">
        <v>13</v>
      </c>
      <c r="K467">
        <v>5</v>
      </c>
      <c r="L467">
        <v>14</v>
      </c>
      <c r="M467">
        <v>4452702.702702703</v>
      </c>
      <c r="N467">
        <v>7018918.9189189188</v>
      </c>
      <c r="O467">
        <v>7773648.6486486495</v>
      </c>
      <c r="P467">
        <v>8169036.0360360369</v>
      </c>
      <c r="Q467">
        <v>3878828.8288288289</v>
      </c>
      <c r="R467">
        <v>6538918.9189189188</v>
      </c>
      <c r="S467">
        <v>1251</v>
      </c>
      <c r="T467">
        <v>1202</v>
      </c>
    </row>
    <row r="468" spans="1:20" x14ac:dyDescent="0.35">
      <c r="A468" s="7" t="s">
        <v>562</v>
      </c>
      <c r="B468" s="12" t="s">
        <v>563</v>
      </c>
      <c r="C468">
        <v>113607194.33594996</v>
      </c>
      <c r="D468">
        <v>115039144.93160816</v>
      </c>
      <c r="E468">
        <v>28494660.360360362</v>
      </c>
      <c r="F468">
        <v>361617388.2882883</v>
      </c>
      <c r="G468">
        <v>43</v>
      </c>
      <c r="H468">
        <v>33</v>
      </c>
      <c r="K468">
        <v>60</v>
      </c>
      <c r="L468">
        <v>47</v>
      </c>
      <c r="M468">
        <v>37980495.495495498</v>
      </c>
      <c r="N468">
        <v>173502920.72072074</v>
      </c>
      <c r="O468">
        <v>44191396.396396399</v>
      </c>
      <c r="P468">
        <v>50023495.495495498</v>
      </c>
      <c r="Q468">
        <v>57022917.117117122</v>
      </c>
      <c r="R468">
        <v>90700666.666666672</v>
      </c>
      <c r="S468">
        <v>8296</v>
      </c>
      <c r="T468">
        <v>8705</v>
      </c>
    </row>
    <row r="469" spans="1:20" x14ac:dyDescent="0.35">
      <c r="A469" s="7" t="s">
        <v>564</v>
      </c>
      <c r="B469" s="12" t="s">
        <v>563</v>
      </c>
      <c r="C469">
        <v>168130120.99121055</v>
      </c>
      <c r="D469">
        <v>153629291.92191717</v>
      </c>
      <c r="E469">
        <v>335045.04504504602</v>
      </c>
      <c r="F469">
        <v>1459459.4594594659</v>
      </c>
      <c r="G469">
        <v>33</v>
      </c>
      <c r="H469">
        <v>88</v>
      </c>
      <c r="K469">
        <v>43</v>
      </c>
      <c r="L469">
        <v>97</v>
      </c>
      <c r="M469">
        <v>14063963.963963969</v>
      </c>
      <c r="N469">
        <v>13885542.342342339</v>
      </c>
      <c r="O469">
        <v>65249639.639639638</v>
      </c>
      <c r="P469">
        <v>64201738.738738738</v>
      </c>
      <c r="Q469">
        <v>14831891.891891891</v>
      </c>
      <c r="R469">
        <v>11667297.297297291</v>
      </c>
      <c r="S469">
        <v>12282</v>
      </c>
      <c r="T469">
        <v>11827</v>
      </c>
    </row>
    <row r="470" spans="1:20" x14ac:dyDescent="0.35">
      <c r="A470" s="7" t="s">
        <v>565</v>
      </c>
      <c r="B470" s="12" t="s">
        <v>563</v>
      </c>
      <c r="C470">
        <v>112968290.65878406</v>
      </c>
      <c r="D470">
        <v>115892629.69407853</v>
      </c>
      <c r="E470">
        <v>11336936.936936939</v>
      </c>
      <c r="F470">
        <v>2397297.2972972989</v>
      </c>
      <c r="G470">
        <v>32</v>
      </c>
      <c r="H470">
        <v>28</v>
      </c>
      <c r="K470">
        <v>50</v>
      </c>
      <c r="L470">
        <v>258</v>
      </c>
      <c r="M470">
        <v>13679369.369369365</v>
      </c>
      <c r="N470">
        <v>21194145.045045048</v>
      </c>
      <c r="O470">
        <v>48379675.675675675</v>
      </c>
      <c r="P470">
        <v>55269657.657657653</v>
      </c>
      <c r="Q470">
        <v>13797927.927927926</v>
      </c>
      <c r="R470">
        <v>11164774.77477478</v>
      </c>
      <c r="S470">
        <v>11829</v>
      </c>
      <c r="T470">
        <v>11485</v>
      </c>
    </row>
    <row r="471" spans="1:20" x14ac:dyDescent="0.35">
      <c r="A471" s="7" t="s">
        <v>566</v>
      </c>
      <c r="B471" s="12" t="s">
        <v>563</v>
      </c>
      <c r="C471">
        <v>76404833.944467038</v>
      </c>
      <c r="D471">
        <v>79214918.026127666</v>
      </c>
      <c r="E471">
        <v>114414.41441441501</v>
      </c>
      <c r="F471">
        <v>317117.11711711698</v>
      </c>
      <c r="G471">
        <v>15</v>
      </c>
      <c r="H471">
        <v>8</v>
      </c>
      <c r="K471">
        <v>15</v>
      </c>
      <c r="L471">
        <v>15</v>
      </c>
      <c r="M471">
        <v>14601081.081081079</v>
      </c>
      <c r="N471">
        <v>13198169.369369367</v>
      </c>
      <c r="O471">
        <v>42669900.9009009</v>
      </c>
      <c r="P471">
        <v>45227108.108108103</v>
      </c>
      <c r="Q471">
        <v>12582522.52252252</v>
      </c>
      <c r="R471">
        <v>9402072.072072072</v>
      </c>
      <c r="S471">
        <v>6439</v>
      </c>
      <c r="T471">
        <v>6171</v>
      </c>
    </row>
    <row r="472" spans="1:20" x14ac:dyDescent="0.35">
      <c r="A472" s="7" t="s">
        <v>567</v>
      </c>
      <c r="B472" s="12" t="s">
        <v>563</v>
      </c>
      <c r="C472">
        <v>44580182.626533121</v>
      </c>
      <c r="D472">
        <v>44536210.628901631</v>
      </c>
      <c r="E472">
        <v>308558.55855856102</v>
      </c>
      <c r="F472">
        <v>392792.79279279499</v>
      </c>
      <c r="G472">
        <v>9</v>
      </c>
      <c r="H472">
        <v>5</v>
      </c>
      <c r="K472">
        <v>12</v>
      </c>
      <c r="L472">
        <v>15</v>
      </c>
      <c r="M472">
        <v>6986981.9819819797</v>
      </c>
      <c r="N472">
        <v>6631974.7747747758</v>
      </c>
      <c r="O472">
        <v>18083963.963963963</v>
      </c>
      <c r="P472">
        <v>18617108.108108107</v>
      </c>
      <c r="Q472">
        <v>9674279.2792792805</v>
      </c>
      <c r="R472">
        <v>4854099.0990990987</v>
      </c>
      <c r="S472">
        <v>4632</v>
      </c>
      <c r="T472">
        <v>4792</v>
      </c>
    </row>
    <row r="473" spans="1:20" x14ac:dyDescent="0.35">
      <c r="A473" s="7" t="s">
        <v>568</v>
      </c>
      <c r="B473" s="12" t="s">
        <v>48</v>
      </c>
      <c r="C473">
        <v>107135508.63173094</v>
      </c>
      <c r="D473">
        <v>99262320.333845764</v>
      </c>
      <c r="E473">
        <v>9459.4594594589998</v>
      </c>
      <c r="F473">
        <v>284684.68468468502</v>
      </c>
      <c r="G473">
        <v>2</v>
      </c>
      <c r="H473">
        <v>3</v>
      </c>
      <c r="K473">
        <v>2</v>
      </c>
      <c r="L473">
        <v>4</v>
      </c>
      <c r="M473">
        <v>4513963.963963964</v>
      </c>
      <c r="N473">
        <v>3888288.2882882878</v>
      </c>
      <c r="O473">
        <v>11864279.279279279</v>
      </c>
      <c r="P473">
        <v>11677774.774774775</v>
      </c>
      <c r="Q473">
        <v>4208918.9189189197</v>
      </c>
      <c r="R473">
        <v>3907117.1171171172</v>
      </c>
      <c r="S473">
        <v>6168</v>
      </c>
      <c r="T473">
        <v>5926</v>
      </c>
    </row>
    <row r="474" spans="1:20" x14ac:dyDescent="0.35">
      <c r="A474" s="7" t="s">
        <v>569</v>
      </c>
      <c r="B474" s="12" t="s">
        <v>169</v>
      </c>
      <c r="C474">
        <v>883154127.74283195</v>
      </c>
      <c r="D474">
        <v>930255952.25729597</v>
      </c>
      <c r="E474">
        <v>424045038.73873878</v>
      </c>
      <c r="F474">
        <v>1201797859.4594595</v>
      </c>
      <c r="G474">
        <v>308</v>
      </c>
      <c r="H474">
        <v>533</v>
      </c>
      <c r="I474">
        <v>3</v>
      </c>
      <c r="K474">
        <v>378</v>
      </c>
      <c r="L474">
        <v>726</v>
      </c>
      <c r="M474">
        <v>174211081.08108109</v>
      </c>
      <c r="N474">
        <v>196586306.3063063</v>
      </c>
      <c r="O474">
        <v>299326981.98198193</v>
      </c>
      <c r="P474">
        <v>386146072.97297299</v>
      </c>
      <c r="Q474">
        <v>140269729.72972974</v>
      </c>
      <c r="R474">
        <v>186650854.05405405</v>
      </c>
      <c r="S474">
        <v>55755</v>
      </c>
      <c r="T474">
        <v>55922</v>
      </c>
    </row>
    <row r="475" spans="1:20" x14ac:dyDescent="0.35">
      <c r="A475" s="7" t="s">
        <v>570</v>
      </c>
      <c r="B475" s="12" t="s">
        <v>220</v>
      </c>
      <c r="C475">
        <v>95170360.0669339</v>
      </c>
      <c r="D475">
        <v>90994380.137851551</v>
      </c>
      <c r="E475">
        <v>302702.702702704</v>
      </c>
      <c r="F475">
        <v>509009.00900901097</v>
      </c>
      <c r="G475">
        <v>11</v>
      </c>
      <c r="H475">
        <v>8</v>
      </c>
      <c r="K475">
        <v>14</v>
      </c>
      <c r="L475">
        <v>10</v>
      </c>
      <c r="M475">
        <v>1742342.3423423441</v>
      </c>
      <c r="N475">
        <v>3482162.1621621591</v>
      </c>
      <c r="O475">
        <v>15176117.117117116</v>
      </c>
      <c r="P475">
        <v>14274351.351351352</v>
      </c>
      <c r="Q475">
        <v>2137207.207207208</v>
      </c>
      <c r="R475">
        <v>3594774.7747747698</v>
      </c>
      <c r="S475">
        <v>5266</v>
      </c>
      <c r="T475">
        <v>5177</v>
      </c>
    </row>
    <row r="476" spans="1:20" x14ac:dyDescent="0.35">
      <c r="A476" s="7" t="s">
        <v>571</v>
      </c>
      <c r="B476" s="12" t="s">
        <v>85</v>
      </c>
      <c r="C476">
        <v>110754057.7678512</v>
      </c>
      <c r="D476">
        <v>108126065.98235582</v>
      </c>
      <c r="E476">
        <v>9009.0090090089998</v>
      </c>
      <c r="F476">
        <v>198198.1981982</v>
      </c>
      <c r="G476">
        <v>14</v>
      </c>
      <c r="H476">
        <v>9</v>
      </c>
      <c r="K476">
        <v>17</v>
      </c>
      <c r="L476">
        <v>11</v>
      </c>
      <c r="M476">
        <v>3207207.2072072071</v>
      </c>
      <c r="N476">
        <v>7004504.5045045111</v>
      </c>
      <c r="O476">
        <v>23592648.648648649</v>
      </c>
      <c r="P476">
        <v>25037990.990990993</v>
      </c>
      <c r="Q476">
        <v>5017927.9279279271</v>
      </c>
      <c r="R476">
        <v>6893603.6036036089</v>
      </c>
      <c r="S476">
        <v>5071</v>
      </c>
      <c r="T476">
        <v>5252</v>
      </c>
    </row>
    <row r="477" spans="1:20" x14ac:dyDescent="0.35">
      <c r="A477" s="7" t="s">
        <v>572</v>
      </c>
      <c r="B477" s="12" t="s">
        <v>479</v>
      </c>
      <c r="C477">
        <v>54203191.090877451</v>
      </c>
      <c r="D477">
        <v>66856122.097629622</v>
      </c>
      <c r="E477">
        <v>1227927.9279279311</v>
      </c>
      <c r="F477">
        <v>1562162.162162168</v>
      </c>
      <c r="G477">
        <v>25</v>
      </c>
      <c r="H477">
        <v>36</v>
      </c>
      <c r="K477">
        <v>33</v>
      </c>
      <c r="L477">
        <v>57</v>
      </c>
      <c r="M477">
        <v>7182702.7027027011</v>
      </c>
      <c r="N477">
        <v>8595495.4954954982</v>
      </c>
      <c r="O477">
        <v>19222477.47747748</v>
      </c>
      <c r="P477">
        <v>27162090.090090092</v>
      </c>
      <c r="Q477">
        <v>9661981.9819819797</v>
      </c>
      <c r="R477">
        <v>8171081.0810810803</v>
      </c>
      <c r="S477">
        <v>5299</v>
      </c>
      <c r="T477">
        <v>7064</v>
      </c>
    </row>
    <row r="478" spans="1:20" x14ac:dyDescent="0.35">
      <c r="A478" s="7" t="s">
        <v>573</v>
      </c>
      <c r="B478" s="12" t="s">
        <v>94</v>
      </c>
      <c r="C478">
        <v>159320221.52382457</v>
      </c>
      <c r="D478">
        <v>141000837.22298235</v>
      </c>
      <c r="E478">
        <v>741441.44144144095</v>
      </c>
      <c r="F478">
        <v>1095495.4954954961</v>
      </c>
      <c r="G478">
        <v>32</v>
      </c>
      <c r="H478">
        <v>18</v>
      </c>
      <c r="K478">
        <v>41</v>
      </c>
      <c r="L478">
        <v>32</v>
      </c>
      <c r="M478">
        <v>190831531.53153151</v>
      </c>
      <c r="N478">
        <v>378545945.94594592</v>
      </c>
      <c r="O478">
        <v>36246527.027027026</v>
      </c>
      <c r="P478">
        <v>35653426.126126125</v>
      </c>
      <c r="Q478">
        <v>10445945.945945948</v>
      </c>
      <c r="R478">
        <v>16875135.135135133</v>
      </c>
      <c r="S478">
        <v>9754</v>
      </c>
      <c r="T478">
        <v>10990</v>
      </c>
    </row>
    <row r="479" spans="1:20" x14ac:dyDescent="0.35">
      <c r="A479" s="7" t="s">
        <v>574</v>
      </c>
      <c r="B479" s="12" t="s">
        <v>307</v>
      </c>
      <c r="C479">
        <v>343843495.90479392</v>
      </c>
      <c r="D479">
        <v>345417152.91514218</v>
      </c>
      <c r="E479">
        <v>85424324.324324325</v>
      </c>
      <c r="F479">
        <v>174381981.98198199</v>
      </c>
      <c r="G479">
        <v>66</v>
      </c>
      <c r="H479">
        <v>89</v>
      </c>
      <c r="K479">
        <v>80</v>
      </c>
      <c r="L479">
        <v>121</v>
      </c>
      <c r="M479">
        <v>32210810.810810812</v>
      </c>
      <c r="N479">
        <v>97720585.585585579</v>
      </c>
      <c r="O479">
        <v>132298891.89189188</v>
      </c>
      <c r="P479">
        <v>133870320.72072072</v>
      </c>
      <c r="Q479">
        <v>24334279.279279288</v>
      </c>
      <c r="R479">
        <v>37343333.333333336</v>
      </c>
      <c r="S479">
        <v>32638</v>
      </c>
      <c r="T479">
        <v>33167</v>
      </c>
    </row>
    <row r="480" spans="1:20" x14ac:dyDescent="0.35">
      <c r="A480" s="7" t="s">
        <v>10</v>
      </c>
      <c r="B480" s="12" t="s">
        <v>193</v>
      </c>
      <c r="C480">
        <v>57400017.612598009</v>
      </c>
      <c r="D480">
        <v>52031619.151048027</v>
      </c>
      <c r="G480">
        <v>6</v>
      </c>
      <c r="H480">
        <v>8</v>
      </c>
      <c r="K480">
        <v>6</v>
      </c>
      <c r="L480">
        <v>11</v>
      </c>
      <c r="O480">
        <v>33303153.153153151</v>
      </c>
      <c r="P480">
        <v>31401207.207207207</v>
      </c>
      <c r="R480">
        <v>11081.081081081</v>
      </c>
      <c r="S480">
        <v>4630</v>
      </c>
      <c r="T480">
        <v>3714</v>
      </c>
    </row>
    <row r="481" spans="1:20" x14ac:dyDescent="0.35">
      <c r="A481" s="7" t="s">
        <v>575</v>
      </c>
      <c r="B481" s="12" t="s">
        <v>87</v>
      </c>
      <c r="C481">
        <v>1342756.6016645599</v>
      </c>
      <c r="D481">
        <v>1371703.9734392201</v>
      </c>
      <c r="H481">
        <v>4</v>
      </c>
      <c r="L481">
        <v>5</v>
      </c>
      <c r="O481">
        <v>493243.24324324302</v>
      </c>
      <c r="P481">
        <v>423800</v>
      </c>
      <c r="S481">
        <v>262</v>
      </c>
      <c r="T481">
        <v>207</v>
      </c>
    </row>
    <row r="482" spans="1:20" x14ac:dyDescent="0.35">
      <c r="A482" s="7" t="s">
        <v>576</v>
      </c>
      <c r="B482" s="12" t="s">
        <v>283</v>
      </c>
      <c r="C482">
        <v>83102338.137417406</v>
      </c>
      <c r="D482">
        <v>80245722.584296212</v>
      </c>
      <c r="E482">
        <v>34234.234234233998</v>
      </c>
      <c r="F482">
        <v>54054.054054054002</v>
      </c>
      <c r="G482">
        <v>12</v>
      </c>
      <c r="H482">
        <v>3</v>
      </c>
      <c r="K482">
        <v>15</v>
      </c>
      <c r="L482">
        <v>6</v>
      </c>
      <c r="M482">
        <v>3187387.3873873879</v>
      </c>
      <c r="N482">
        <v>3657657.6576576582</v>
      </c>
      <c r="O482">
        <v>11553198.198198197</v>
      </c>
      <c r="P482">
        <v>13297954.954954956</v>
      </c>
      <c r="Q482">
        <v>1728468.4684684691</v>
      </c>
      <c r="R482">
        <v>7294864.8648648653</v>
      </c>
      <c r="S482">
        <v>3591</v>
      </c>
      <c r="T482">
        <v>3456</v>
      </c>
    </row>
    <row r="483" spans="1:20" x14ac:dyDescent="0.35">
      <c r="A483" s="7" t="s">
        <v>577</v>
      </c>
      <c r="B483" s="12" t="s">
        <v>307</v>
      </c>
      <c r="C483">
        <v>343858078.14716733</v>
      </c>
      <c r="D483">
        <v>321288319.57985312</v>
      </c>
      <c r="E483">
        <v>402072.07207207597</v>
      </c>
      <c r="F483">
        <v>3028378.3783783861</v>
      </c>
      <c r="G483">
        <v>85</v>
      </c>
      <c r="H483">
        <v>109</v>
      </c>
      <c r="K483">
        <v>123</v>
      </c>
      <c r="L483">
        <v>185</v>
      </c>
      <c r="M483">
        <v>24514369.369369373</v>
      </c>
      <c r="N483">
        <v>30282162.16216217</v>
      </c>
      <c r="O483">
        <v>129989126.12612613</v>
      </c>
      <c r="P483">
        <v>134921378.37837836</v>
      </c>
      <c r="Q483">
        <v>19833513.513513513</v>
      </c>
      <c r="R483">
        <v>25380270.270270277</v>
      </c>
      <c r="S483">
        <v>39533</v>
      </c>
      <c r="T483">
        <v>37969</v>
      </c>
    </row>
    <row r="484" spans="1:20" x14ac:dyDescent="0.35">
      <c r="A484" s="7" t="s">
        <v>578</v>
      </c>
      <c r="B484" s="12" t="s">
        <v>330</v>
      </c>
      <c r="C484">
        <v>327380793.80706012</v>
      </c>
      <c r="D484">
        <v>304327113.17502719</v>
      </c>
      <c r="E484">
        <v>578378.37837837997</v>
      </c>
      <c r="F484">
        <v>3149099.0990991062</v>
      </c>
      <c r="G484">
        <v>88</v>
      </c>
      <c r="H484">
        <v>109</v>
      </c>
      <c r="K484">
        <v>130</v>
      </c>
      <c r="L484">
        <v>157</v>
      </c>
      <c r="M484">
        <v>106726126.12612613</v>
      </c>
      <c r="N484">
        <v>24429729.729729727</v>
      </c>
      <c r="O484">
        <v>64473036.036036029</v>
      </c>
      <c r="P484">
        <v>69945358.108108103</v>
      </c>
      <c r="Q484">
        <v>103229189.18918918</v>
      </c>
      <c r="R484">
        <v>21759729.729729727</v>
      </c>
      <c r="S484">
        <v>28513</v>
      </c>
      <c r="T484">
        <v>27636</v>
      </c>
    </row>
    <row r="485" spans="1:20" x14ac:dyDescent="0.35">
      <c r="A485" s="7" t="s">
        <v>579</v>
      </c>
      <c r="B485" s="12" t="s">
        <v>66</v>
      </c>
      <c r="C485">
        <v>48258230.804605179</v>
      </c>
      <c r="D485">
        <v>45903793.305434726</v>
      </c>
      <c r="E485">
        <v>6756.7567567570004</v>
      </c>
      <c r="F485">
        <v>21621.621621621998</v>
      </c>
      <c r="G485">
        <v>9</v>
      </c>
      <c r="H485">
        <v>8</v>
      </c>
      <c r="K485">
        <v>10</v>
      </c>
      <c r="L485">
        <v>12</v>
      </c>
      <c r="M485">
        <v>403603.60360360402</v>
      </c>
      <c r="N485">
        <v>1304504.504504506</v>
      </c>
      <c r="O485">
        <v>12305990.990990993</v>
      </c>
      <c r="P485">
        <v>11866711.711711712</v>
      </c>
      <c r="Q485">
        <v>671621.62162162096</v>
      </c>
      <c r="R485">
        <v>965675.67567567702</v>
      </c>
      <c r="S485">
        <v>3340</v>
      </c>
      <c r="T485">
        <v>3395</v>
      </c>
    </row>
    <row r="486" spans="1:20" x14ac:dyDescent="0.35">
      <c r="A486" s="7" t="s">
        <v>580</v>
      </c>
      <c r="B486" s="12" t="s">
        <v>236</v>
      </c>
      <c r="C486">
        <v>0</v>
      </c>
      <c r="D486">
        <v>7008.6635105530004</v>
      </c>
      <c r="E486">
        <v>22235861.261261258</v>
      </c>
      <c r="F486">
        <v>3949277.4774774769</v>
      </c>
      <c r="M486">
        <v>17686936.936936937</v>
      </c>
      <c r="N486">
        <v>20045045.045045044</v>
      </c>
    </row>
    <row r="487" spans="1:20" x14ac:dyDescent="0.35">
      <c r="A487" s="7" t="s">
        <v>581</v>
      </c>
      <c r="B487" s="12" t="s">
        <v>62</v>
      </c>
      <c r="C487">
        <v>128529176.46597233</v>
      </c>
      <c r="D487">
        <v>123917744.40262201</v>
      </c>
      <c r="E487">
        <v>316666.66666666698</v>
      </c>
      <c r="F487">
        <v>1329729.7297297351</v>
      </c>
      <c r="G487">
        <v>22</v>
      </c>
      <c r="H487">
        <v>84</v>
      </c>
      <c r="K487">
        <v>27</v>
      </c>
      <c r="L487">
        <v>84</v>
      </c>
      <c r="M487">
        <v>11747297.297297303</v>
      </c>
      <c r="N487">
        <v>7579279.2792792767</v>
      </c>
      <c r="O487">
        <v>26693684.684684683</v>
      </c>
      <c r="P487">
        <v>26380072.072072074</v>
      </c>
      <c r="Q487">
        <v>9088918.9189189244</v>
      </c>
      <c r="R487">
        <v>8588558.5585585553</v>
      </c>
      <c r="S487">
        <v>6735</v>
      </c>
      <c r="T487">
        <v>6589</v>
      </c>
    </row>
    <row r="488" spans="1:20" x14ac:dyDescent="0.35">
      <c r="A488" s="7" t="s">
        <v>582</v>
      </c>
      <c r="B488" s="12" t="s">
        <v>48</v>
      </c>
      <c r="C488">
        <v>120827496.50412574</v>
      </c>
      <c r="D488">
        <v>118483898.58960322</v>
      </c>
      <c r="E488">
        <v>1172612.6126126121</v>
      </c>
      <c r="F488">
        <v>84684.684684685999</v>
      </c>
      <c r="G488">
        <v>10</v>
      </c>
      <c r="H488">
        <v>14</v>
      </c>
      <c r="K488">
        <v>11</v>
      </c>
      <c r="L488">
        <v>17</v>
      </c>
      <c r="M488">
        <v>6838918.9189189207</v>
      </c>
      <c r="N488">
        <v>41062432.432432435</v>
      </c>
      <c r="O488">
        <v>16543513.513513513</v>
      </c>
      <c r="P488">
        <v>16292621.621621622</v>
      </c>
      <c r="Q488">
        <v>8810000.0000000037</v>
      </c>
      <c r="R488">
        <v>15837657.657657657</v>
      </c>
      <c r="S488">
        <v>5386</v>
      </c>
      <c r="T488">
        <v>5325</v>
      </c>
    </row>
    <row r="489" spans="1:20" x14ac:dyDescent="0.35">
      <c r="A489" s="7" t="s">
        <v>583</v>
      </c>
      <c r="B489" s="12" t="s">
        <v>54</v>
      </c>
      <c r="C489">
        <v>21764353.330399103</v>
      </c>
      <c r="D489">
        <v>22173561.403817657</v>
      </c>
      <c r="E489">
        <v>22522.522522523999</v>
      </c>
      <c r="F489">
        <v>218918.91891891899</v>
      </c>
      <c r="G489">
        <v>6</v>
      </c>
      <c r="H489">
        <v>7</v>
      </c>
      <c r="K489">
        <v>7</v>
      </c>
      <c r="L489">
        <v>7</v>
      </c>
      <c r="M489">
        <v>3314414.4144144128</v>
      </c>
      <c r="N489">
        <v>4498468.4684684668</v>
      </c>
      <c r="O489">
        <v>5040315.3153153164</v>
      </c>
      <c r="P489">
        <v>5917918.9189189179</v>
      </c>
      <c r="Q489">
        <v>2472072.072072072</v>
      </c>
      <c r="R489">
        <v>4250450.4504504511</v>
      </c>
      <c r="S489">
        <v>2080</v>
      </c>
      <c r="T489">
        <v>2036</v>
      </c>
    </row>
    <row r="490" spans="1:20" x14ac:dyDescent="0.35">
      <c r="A490" s="7" t="s">
        <v>584</v>
      </c>
      <c r="B490" s="12" t="s">
        <v>70</v>
      </c>
      <c r="C490">
        <v>58699095.845309258</v>
      </c>
      <c r="D490">
        <v>57288295.342253573</v>
      </c>
      <c r="E490">
        <v>315315.31531531498</v>
      </c>
      <c r="F490">
        <v>46846.846846847002</v>
      </c>
      <c r="G490">
        <v>5</v>
      </c>
      <c r="H490">
        <v>14</v>
      </c>
      <c r="K490">
        <v>7</v>
      </c>
      <c r="L490">
        <v>16</v>
      </c>
      <c r="M490">
        <v>315315.31531531498</v>
      </c>
      <c r="N490">
        <v>436036.03603603703</v>
      </c>
      <c r="O490">
        <v>22822927.927927926</v>
      </c>
      <c r="P490">
        <v>25420108.108108107</v>
      </c>
      <c r="Q490">
        <v>360360.36036036001</v>
      </c>
      <c r="R490">
        <v>616576.57657657703</v>
      </c>
      <c r="S490">
        <v>3744</v>
      </c>
      <c r="T490">
        <v>3629</v>
      </c>
    </row>
    <row r="491" spans="1:20" x14ac:dyDescent="0.35">
      <c r="A491" s="7" t="s">
        <v>585</v>
      </c>
      <c r="B491" s="12" t="s">
        <v>330</v>
      </c>
      <c r="C491">
        <v>222359797.32367444</v>
      </c>
      <c r="D491">
        <v>210438649.36040229</v>
      </c>
      <c r="E491">
        <v>99099.0990991</v>
      </c>
      <c r="F491">
        <v>2188288.2882882901</v>
      </c>
      <c r="G491">
        <v>81</v>
      </c>
      <c r="H491">
        <v>83</v>
      </c>
      <c r="K491">
        <v>104</v>
      </c>
      <c r="L491">
        <v>109</v>
      </c>
      <c r="M491">
        <v>10960360.360360356</v>
      </c>
      <c r="N491">
        <v>14355855.855855856</v>
      </c>
      <c r="O491">
        <v>55613054.054054059</v>
      </c>
      <c r="P491">
        <v>53709654.054054059</v>
      </c>
      <c r="Q491">
        <v>10611801.801801803</v>
      </c>
      <c r="R491">
        <v>10792432.432432432</v>
      </c>
      <c r="S491">
        <v>21325</v>
      </c>
      <c r="T491">
        <v>20819</v>
      </c>
    </row>
    <row r="492" spans="1:20" x14ac:dyDescent="0.35">
      <c r="A492" s="7" t="s">
        <v>586</v>
      </c>
      <c r="B492" s="12" t="s">
        <v>66</v>
      </c>
      <c r="C492">
        <v>107769550.76013573</v>
      </c>
      <c r="D492">
        <v>93869390.142059714</v>
      </c>
      <c r="E492">
        <v>68985408.108108118</v>
      </c>
      <c r="F492">
        <v>141247972.97297299</v>
      </c>
      <c r="G492">
        <v>25</v>
      </c>
      <c r="H492">
        <v>34</v>
      </c>
      <c r="K492">
        <v>32</v>
      </c>
      <c r="L492">
        <v>60</v>
      </c>
      <c r="M492">
        <v>10342252.252252253</v>
      </c>
      <c r="N492">
        <v>14200315.315315317</v>
      </c>
      <c r="O492">
        <v>49794225.225225225</v>
      </c>
      <c r="P492">
        <v>47388981.981981985</v>
      </c>
      <c r="Q492">
        <v>9881711.7117117122</v>
      </c>
      <c r="R492">
        <v>13245630.630630633</v>
      </c>
      <c r="S492">
        <v>10718</v>
      </c>
      <c r="T492">
        <v>10461</v>
      </c>
    </row>
    <row r="493" spans="1:20" x14ac:dyDescent="0.35">
      <c r="A493" s="7" t="s">
        <v>11</v>
      </c>
      <c r="B493" s="12" t="s">
        <v>193</v>
      </c>
      <c r="C493">
        <v>45693776.28669633</v>
      </c>
      <c r="D493">
        <v>45013940.094997123</v>
      </c>
      <c r="E493">
        <v>262162.162162163</v>
      </c>
      <c r="F493">
        <v>18018.018018018</v>
      </c>
      <c r="G493">
        <v>9</v>
      </c>
      <c r="H493">
        <v>8</v>
      </c>
      <c r="K493">
        <v>12</v>
      </c>
      <c r="L493">
        <v>11</v>
      </c>
      <c r="M493">
        <v>712612.61261261301</v>
      </c>
      <c r="N493">
        <v>1819819.8198198189</v>
      </c>
      <c r="O493">
        <v>14860270.270270271</v>
      </c>
      <c r="P493">
        <v>15800657.657657657</v>
      </c>
      <c r="Q493">
        <v>1184684.684684685</v>
      </c>
      <c r="R493">
        <v>1335585.585585586</v>
      </c>
      <c r="S493">
        <v>3831</v>
      </c>
      <c r="T493">
        <v>3897</v>
      </c>
    </row>
    <row r="494" spans="1:20" x14ac:dyDescent="0.35">
      <c r="A494" s="7" t="s">
        <v>12</v>
      </c>
      <c r="B494" s="12" t="s">
        <v>193</v>
      </c>
      <c r="C494">
        <v>32990197.229451749</v>
      </c>
      <c r="D494">
        <v>28914082.883511443</v>
      </c>
      <c r="E494">
        <v>26126.126126128998</v>
      </c>
      <c r="F494">
        <v>54954.954954954999</v>
      </c>
      <c r="G494">
        <v>6</v>
      </c>
      <c r="H494">
        <v>3</v>
      </c>
      <c r="K494">
        <v>8</v>
      </c>
      <c r="L494">
        <v>3</v>
      </c>
      <c r="M494">
        <v>3629729.729729732</v>
      </c>
      <c r="N494">
        <v>54954.954954954999</v>
      </c>
      <c r="O494">
        <v>11677117.117117118</v>
      </c>
      <c r="P494">
        <v>12296945.945945946</v>
      </c>
      <c r="Q494">
        <v>700900.90090090001</v>
      </c>
      <c r="R494">
        <v>1597837.837837839</v>
      </c>
      <c r="S494">
        <v>2771</v>
      </c>
      <c r="T494">
        <v>4191</v>
      </c>
    </row>
    <row r="495" spans="1:20" x14ac:dyDescent="0.35">
      <c r="A495" s="7" t="s">
        <v>587</v>
      </c>
      <c r="B495" s="12" t="s">
        <v>60</v>
      </c>
      <c r="C495">
        <v>25021157.966825273</v>
      </c>
      <c r="D495">
        <v>26179599.007608622</v>
      </c>
      <c r="E495">
        <v>29729.729729732</v>
      </c>
      <c r="F495">
        <v>125225.225225227</v>
      </c>
      <c r="G495">
        <v>4</v>
      </c>
      <c r="H495">
        <v>7</v>
      </c>
      <c r="K495">
        <v>5</v>
      </c>
      <c r="L495">
        <v>13</v>
      </c>
      <c r="M495">
        <v>3318018.018018018</v>
      </c>
      <c r="N495">
        <v>4539639.6396396402</v>
      </c>
      <c r="O495">
        <v>9186621.6216216218</v>
      </c>
      <c r="P495">
        <v>10543369.369369371</v>
      </c>
      <c r="Q495">
        <v>2709819.8198198201</v>
      </c>
      <c r="R495">
        <v>3769279.2792792791</v>
      </c>
      <c r="S495">
        <v>1774</v>
      </c>
      <c r="T495">
        <v>1853</v>
      </c>
    </row>
    <row r="496" spans="1:20" x14ac:dyDescent="0.35">
      <c r="A496" s="7" t="s">
        <v>588</v>
      </c>
      <c r="B496" s="12" t="s">
        <v>307</v>
      </c>
      <c r="C496">
        <v>748618920.07413006</v>
      </c>
      <c r="D496">
        <v>711997925.40140343</v>
      </c>
      <c r="E496">
        <v>588041695.49549556</v>
      </c>
      <c r="F496">
        <v>277979384.68468469</v>
      </c>
      <c r="G496">
        <v>178</v>
      </c>
      <c r="H496">
        <v>165</v>
      </c>
      <c r="K496">
        <v>233</v>
      </c>
      <c r="L496">
        <v>273</v>
      </c>
      <c r="M496">
        <v>53208558.558558568</v>
      </c>
      <c r="N496">
        <v>94743513.51351352</v>
      </c>
      <c r="O496">
        <v>231196855.85585585</v>
      </c>
      <c r="P496">
        <v>226772247.74774775</v>
      </c>
      <c r="Q496">
        <v>56489099.099099107</v>
      </c>
      <c r="R496">
        <v>90487927.927927941</v>
      </c>
      <c r="S496">
        <v>65169</v>
      </c>
      <c r="T496">
        <v>63360</v>
      </c>
    </row>
    <row r="497" spans="1:20" x14ac:dyDescent="0.35">
      <c r="A497" s="7" t="s">
        <v>589</v>
      </c>
      <c r="B497" s="12" t="s">
        <v>52</v>
      </c>
      <c r="C497">
        <v>182921214.14005473</v>
      </c>
      <c r="D497">
        <v>168721509.32273522</v>
      </c>
      <c r="E497">
        <v>1598198.198198199</v>
      </c>
      <c r="F497">
        <v>2685585.5855855881</v>
      </c>
      <c r="G497">
        <v>22</v>
      </c>
      <c r="H497">
        <v>46</v>
      </c>
      <c r="K497">
        <v>28</v>
      </c>
      <c r="L497">
        <v>72</v>
      </c>
      <c r="M497">
        <v>12301801.801801801</v>
      </c>
      <c r="N497">
        <v>30709414.414414417</v>
      </c>
      <c r="O497">
        <v>69618968.468468457</v>
      </c>
      <c r="P497">
        <v>68450324.324324325</v>
      </c>
      <c r="Q497">
        <v>12307747.747747744</v>
      </c>
      <c r="R497">
        <v>42485810.810810804</v>
      </c>
      <c r="S497">
        <v>14495</v>
      </c>
      <c r="T497">
        <v>13215</v>
      </c>
    </row>
    <row r="498" spans="1:20" x14ac:dyDescent="0.35">
      <c r="A498" s="7" t="s">
        <v>590</v>
      </c>
      <c r="B498" s="12" t="s">
        <v>54</v>
      </c>
      <c r="C498">
        <v>14663181.58706356</v>
      </c>
      <c r="D498">
        <v>15265549.243055854</v>
      </c>
      <c r="E498">
        <v>19819.819819820001</v>
      </c>
      <c r="F498">
        <v>125225.225225225</v>
      </c>
      <c r="G498">
        <v>3</v>
      </c>
      <c r="H498">
        <v>4</v>
      </c>
      <c r="K498">
        <v>3</v>
      </c>
      <c r="L498">
        <v>7</v>
      </c>
      <c r="M498">
        <v>2064864.8648648639</v>
      </c>
      <c r="N498">
        <v>3827927.9279279271</v>
      </c>
      <c r="O498">
        <v>5123054.0540540544</v>
      </c>
      <c r="P498">
        <v>4704729.7297297288</v>
      </c>
      <c r="Q498">
        <v>3978738.7387387389</v>
      </c>
      <c r="R498">
        <v>1834324.324324324</v>
      </c>
      <c r="S498">
        <v>1532</v>
      </c>
      <c r="T498">
        <v>1585</v>
      </c>
    </row>
    <row r="499" spans="1:20" x14ac:dyDescent="0.35">
      <c r="A499" s="7" t="s">
        <v>591</v>
      </c>
      <c r="B499" s="12" t="s">
        <v>169</v>
      </c>
      <c r="C499">
        <v>438153278.67099839</v>
      </c>
      <c r="D499">
        <v>397349292.52390122</v>
      </c>
      <c r="E499">
        <v>2178558.55855856</v>
      </c>
      <c r="F499">
        <v>2415990.9909909922</v>
      </c>
      <c r="G499">
        <v>48</v>
      </c>
      <c r="H499">
        <v>25</v>
      </c>
      <c r="I499">
        <v>1</v>
      </c>
      <c r="K499">
        <v>58</v>
      </c>
      <c r="L499">
        <v>28</v>
      </c>
      <c r="M499">
        <v>71321981.981981978</v>
      </c>
      <c r="N499">
        <v>102349189.18918918</v>
      </c>
      <c r="O499">
        <v>137986504.5045045</v>
      </c>
      <c r="P499">
        <v>130172900.9009009</v>
      </c>
      <c r="Q499">
        <v>58676306.306306303</v>
      </c>
      <c r="R499">
        <v>78500450.45045045</v>
      </c>
      <c r="S499">
        <v>23486</v>
      </c>
      <c r="T499">
        <v>27126</v>
      </c>
    </row>
    <row r="500" spans="1:20" x14ac:dyDescent="0.35">
      <c r="A500" s="7" t="s">
        <v>592</v>
      </c>
      <c r="B500" s="12" t="s">
        <v>87</v>
      </c>
      <c r="C500">
        <v>2525619.976399851</v>
      </c>
      <c r="D500">
        <v>2072984.716764003</v>
      </c>
      <c r="H500">
        <v>1</v>
      </c>
      <c r="L500">
        <v>1</v>
      </c>
      <c r="O500">
        <v>538279.27927927906</v>
      </c>
      <c r="P500">
        <v>399864.86486486602</v>
      </c>
      <c r="S500">
        <v>366</v>
      </c>
      <c r="T500">
        <v>289</v>
      </c>
    </row>
    <row r="501" spans="1:20" x14ac:dyDescent="0.35">
      <c r="A501" s="7" t="s">
        <v>36</v>
      </c>
      <c r="B501" s="12" t="s">
        <v>158</v>
      </c>
      <c r="E501">
        <v>275537251.35135138</v>
      </c>
      <c r="F501">
        <v>201526634.23423424</v>
      </c>
      <c r="M501">
        <v>14234234.234234234</v>
      </c>
      <c r="N501">
        <v>10180180.180180181</v>
      </c>
    </row>
    <row r="502" spans="1:20" x14ac:dyDescent="0.35">
      <c r="A502" s="7" t="s">
        <v>593</v>
      </c>
      <c r="B502" s="12" t="s">
        <v>143</v>
      </c>
      <c r="C502">
        <v>31770065.556826714</v>
      </c>
      <c r="D502">
        <v>30068049.2802541</v>
      </c>
      <c r="E502">
        <v>5405.4054054059998</v>
      </c>
      <c r="F502">
        <v>94594.594594597002</v>
      </c>
      <c r="G502">
        <v>6</v>
      </c>
      <c r="H502">
        <v>5</v>
      </c>
      <c r="K502">
        <v>6</v>
      </c>
      <c r="L502">
        <v>6</v>
      </c>
      <c r="M502">
        <v>1969369.369369369</v>
      </c>
      <c r="N502">
        <v>3067567.5675675678</v>
      </c>
      <c r="O502">
        <v>3145765.7657657661</v>
      </c>
      <c r="P502">
        <v>2918648.648648649</v>
      </c>
      <c r="Q502">
        <v>1381621.6216216211</v>
      </c>
      <c r="R502">
        <v>1503333.333333333</v>
      </c>
      <c r="S502">
        <v>1573</v>
      </c>
      <c r="T502">
        <v>1574</v>
      </c>
    </row>
    <row r="503" spans="1:20" x14ac:dyDescent="0.35">
      <c r="A503" s="7" t="s">
        <v>594</v>
      </c>
      <c r="B503" s="12" t="s">
        <v>290</v>
      </c>
      <c r="C503">
        <v>9528899.6774213184</v>
      </c>
      <c r="D503">
        <v>6904245.2750650737</v>
      </c>
      <c r="G503">
        <v>1</v>
      </c>
      <c r="H503">
        <v>1</v>
      </c>
      <c r="K503">
        <v>1</v>
      </c>
      <c r="L503">
        <v>1</v>
      </c>
      <c r="O503">
        <v>323558.55855855899</v>
      </c>
      <c r="P503">
        <v>456936.93693693698</v>
      </c>
      <c r="S503">
        <v>599</v>
      </c>
      <c r="T503">
        <v>711</v>
      </c>
    </row>
    <row r="504" spans="1:20" x14ac:dyDescent="0.35">
      <c r="A504" s="7" t="s">
        <v>595</v>
      </c>
      <c r="B504" s="12" t="s">
        <v>92</v>
      </c>
      <c r="C504">
        <v>10972331.228656463</v>
      </c>
      <c r="D504">
        <v>9797475.2882995512</v>
      </c>
      <c r="E504">
        <v>16216.216216216</v>
      </c>
      <c r="F504">
        <v>499099.099099099</v>
      </c>
      <c r="G504">
        <v>5</v>
      </c>
      <c r="H504">
        <v>2</v>
      </c>
      <c r="K504">
        <v>5</v>
      </c>
      <c r="L504">
        <v>11</v>
      </c>
      <c r="M504">
        <v>63783.783783783001</v>
      </c>
      <c r="N504">
        <v>1463063.063063063</v>
      </c>
      <c r="O504">
        <v>1436666.666666666</v>
      </c>
      <c r="P504">
        <v>1665891.8918918921</v>
      </c>
      <c r="Q504">
        <v>107747.747747748</v>
      </c>
      <c r="R504">
        <v>1659459.4594594589</v>
      </c>
      <c r="S504">
        <v>536</v>
      </c>
      <c r="T504">
        <v>688</v>
      </c>
    </row>
    <row r="505" spans="1:20" x14ac:dyDescent="0.35">
      <c r="A505" s="7" t="s">
        <v>596</v>
      </c>
      <c r="B505" s="12" t="s">
        <v>50</v>
      </c>
      <c r="C505">
        <v>41436413.791206755</v>
      </c>
      <c r="D505">
        <v>36117022.543395139</v>
      </c>
      <c r="E505">
        <v>429729.72972973</v>
      </c>
      <c r="F505">
        <v>883558.55855855998</v>
      </c>
      <c r="G505">
        <v>4</v>
      </c>
      <c r="H505">
        <v>5</v>
      </c>
      <c r="K505">
        <v>5</v>
      </c>
      <c r="L505">
        <v>5</v>
      </c>
      <c r="M505">
        <v>1761171.171171173</v>
      </c>
      <c r="N505">
        <v>1405405.4054054071</v>
      </c>
      <c r="O505">
        <v>7809951.3513513505</v>
      </c>
      <c r="P505">
        <v>7360801.8018018017</v>
      </c>
      <c r="Q505">
        <v>1904774.7747747779</v>
      </c>
      <c r="R505">
        <v>1399459.459459458</v>
      </c>
      <c r="S505">
        <v>1690</v>
      </c>
      <c r="T505">
        <v>1692</v>
      </c>
    </row>
    <row r="506" spans="1:20" x14ac:dyDescent="0.35">
      <c r="A506" s="7" t="s">
        <v>597</v>
      </c>
      <c r="B506" s="12" t="s">
        <v>89</v>
      </c>
      <c r="C506">
        <v>57537894.364502706</v>
      </c>
      <c r="D506">
        <v>56304649.257850699</v>
      </c>
      <c r="E506">
        <v>147747.74774774699</v>
      </c>
      <c r="F506">
        <v>261261.26126126299</v>
      </c>
      <c r="G506">
        <v>6</v>
      </c>
      <c r="H506">
        <v>8</v>
      </c>
      <c r="K506">
        <v>7</v>
      </c>
      <c r="L506">
        <v>11</v>
      </c>
      <c r="M506">
        <v>3984684.6846846808</v>
      </c>
      <c r="N506">
        <v>4187747.7477477412</v>
      </c>
      <c r="O506">
        <v>12426214.414414411</v>
      </c>
      <c r="P506">
        <v>13320135.135135137</v>
      </c>
      <c r="Q506">
        <v>3357477.4774774741</v>
      </c>
      <c r="R506">
        <v>3797117.1171171111</v>
      </c>
      <c r="S506">
        <v>3378</v>
      </c>
      <c r="T506">
        <v>4140</v>
      </c>
    </row>
    <row r="507" spans="1:20" x14ac:dyDescent="0.35">
      <c r="A507" s="7" t="s">
        <v>598</v>
      </c>
      <c r="B507" s="12" t="s">
        <v>143</v>
      </c>
      <c r="C507">
        <v>21573331.417967204</v>
      </c>
      <c r="D507">
        <v>21621498.21228544</v>
      </c>
      <c r="E507">
        <v>29729.729729729999</v>
      </c>
      <c r="F507">
        <v>121621.62162162201</v>
      </c>
      <c r="G507">
        <v>2</v>
      </c>
      <c r="K507">
        <v>4</v>
      </c>
      <c r="M507">
        <v>2399099.0990990992</v>
      </c>
      <c r="N507">
        <v>1923423.4234234239</v>
      </c>
      <c r="O507">
        <v>1087477.4774774781</v>
      </c>
      <c r="P507">
        <v>1492846.8468468471</v>
      </c>
      <c r="Q507">
        <v>1857297.2972972961</v>
      </c>
      <c r="R507">
        <v>1313513.5135135129</v>
      </c>
      <c r="S507">
        <v>1160</v>
      </c>
      <c r="T507">
        <v>1137</v>
      </c>
    </row>
    <row r="508" spans="1:20" x14ac:dyDescent="0.35">
      <c r="A508" s="7" t="s">
        <v>599</v>
      </c>
      <c r="B508" s="12" t="s">
        <v>125</v>
      </c>
      <c r="C508">
        <v>55298364.695019811</v>
      </c>
      <c r="D508">
        <v>51550023.196357749</v>
      </c>
      <c r="E508">
        <v>10276772.072072072</v>
      </c>
      <c r="F508">
        <v>20142638.738738742</v>
      </c>
      <c r="G508">
        <v>4</v>
      </c>
      <c r="H508">
        <v>4</v>
      </c>
      <c r="K508">
        <v>5</v>
      </c>
      <c r="L508">
        <v>5</v>
      </c>
      <c r="M508">
        <v>21021216.216216218</v>
      </c>
      <c r="N508">
        <v>15645945.945945945</v>
      </c>
      <c r="O508">
        <v>20020765.765765764</v>
      </c>
      <c r="P508">
        <v>19000324.324324325</v>
      </c>
      <c r="Q508">
        <v>16451171.171171172</v>
      </c>
      <c r="R508">
        <v>3996846.8468468459</v>
      </c>
      <c r="S508">
        <v>3254</v>
      </c>
      <c r="T508">
        <v>3765</v>
      </c>
    </row>
    <row r="509" spans="1:20" x14ac:dyDescent="0.35">
      <c r="A509" s="7" t="s">
        <v>600</v>
      </c>
      <c r="B509" s="12" t="s">
        <v>50</v>
      </c>
      <c r="C509">
        <v>141770532.05725068</v>
      </c>
      <c r="D509">
        <v>137328468.26480025</v>
      </c>
      <c r="E509">
        <v>1093333.333333334</v>
      </c>
      <c r="F509">
        <v>909009.00900901202</v>
      </c>
      <c r="G509">
        <v>20</v>
      </c>
      <c r="H509">
        <v>14</v>
      </c>
      <c r="K509">
        <v>23</v>
      </c>
      <c r="L509">
        <v>16</v>
      </c>
      <c r="M509">
        <v>13452612.612612613</v>
      </c>
      <c r="N509">
        <v>13605495.495495496</v>
      </c>
      <c r="O509">
        <v>56408450.45045045</v>
      </c>
      <c r="P509">
        <v>55733774.774774775</v>
      </c>
      <c r="Q509">
        <v>13470000</v>
      </c>
      <c r="R509">
        <v>12951981.981981982</v>
      </c>
      <c r="S509">
        <v>7765</v>
      </c>
      <c r="T509">
        <v>7655</v>
      </c>
    </row>
    <row r="510" spans="1:20" x14ac:dyDescent="0.35">
      <c r="A510" s="7" t="s">
        <v>601</v>
      </c>
      <c r="B510" s="12" t="s">
        <v>89</v>
      </c>
      <c r="C510">
        <v>40913850.876780599</v>
      </c>
      <c r="D510">
        <v>41284857.290880799</v>
      </c>
      <c r="E510">
        <v>74774.774774774996</v>
      </c>
      <c r="F510">
        <v>51351.351351352998</v>
      </c>
      <c r="G510">
        <v>5</v>
      </c>
      <c r="H510">
        <v>5</v>
      </c>
      <c r="K510">
        <v>6</v>
      </c>
      <c r="L510">
        <v>5</v>
      </c>
      <c r="M510">
        <v>2850450.4504504502</v>
      </c>
      <c r="N510">
        <v>21613873.873873871</v>
      </c>
      <c r="O510">
        <v>10782432.432432432</v>
      </c>
      <c r="P510">
        <v>12536846.846846849</v>
      </c>
      <c r="Q510">
        <v>2617027.0270270281</v>
      </c>
      <c r="R510">
        <v>20175225.225225229</v>
      </c>
      <c r="S510">
        <v>2522</v>
      </c>
      <c r="T510">
        <v>2444</v>
      </c>
    </row>
    <row r="511" spans="1:20" x14ac:dyDescent="0.35">
      <c r="A511" s="7" t="s">
        <v>602</v>
      </c>
      <c r="B511" s="12" t="s">
        <v>87</v>
      </c>
      <c r="C511">
        <v>38227750.850198552</v>
      </c>
      <c r="D511">
        <v>35847597.498613529</v>
      </c>
      <c r="E511">
        <v>4504.5045045050001</v>
      </c>
      <c r="G511">
        <v>4</v>
      </c>
      <c r="H511">
        <v>1</v>
      </c>
      <c r="K511">
        <v>4</v>
      </c>
      <c r="L511">
        <v>1</v>
      </c>
      <c r="M511">
        <v>409909.90990991</v>
      </c>
      <c r="N511">
        <v>9009.0090090089998</v>
      </c>
      <c r="O511">
        <v>2499953.1531531531</v>
      </c>
      <c r="P511">
        <v>1966801.8018018019</v>
      </c>
      <c r="Q511">
        <v>444457.65765765798</v>
      </c>
      <c r="R511">
        <v>375675.67567567597</v>
      </c>
      <c r="S511">
        <v>1225</v>
      </c>
      <c r="T511">
        <v>1228</v>
      </c>
    </row>
    <row r="512" spans="1:20" x14ac:dyDescent="0.35">
      <c r="A512" s="7" t="s">
        <v>603</v>
      </c>
      <c r="B512" s="12" t="s">
        <v>140</v>
      </c>
      <c r="C512">
        <v>286243970.56732577</v>
      </c>
      <c r="D512">
        <v>288778840.59655017</v>
      </c>
      <c r="E512">
        <v>239180945.94594595</v>
      </c>
      <c r="F512">
        <v>94259792.792792797</v>
      </c>
      <c r="G512">
        <v>62</v>
      </c>
      <c r="H512">
        <v>82</v>
      </c>
      <c r="K512">
        <v>84</v>
      </c>
      <c r="L512">
        <v>123</v>
      </c>
      <c r="M512">
        <v>48297207.207207203</v>
      </c>
      <c r="N512">
        <v>46211801.801801801</v>
      </c>
      <c r="O512">
        <v>64765536.936936937</v>
      </c>
      <c r="P512">
        <v>69912027.027027026</v>
      </c>
      <c r="Q512">
        <v>41040450.450450458</v>
      </c>
      <c r="R512">
        <v>44443243.24324324</v>
      </c>
      <c r="S512">
        <v>18890</v>
      </c>
      <c r="T512">
        <v>18878</v>
      </c>
    </row>
    <row r="513" spans="1:20" x14ac:dyDescent="0.35">
      <c r="A513" s="7" t="s">
        <v>675</v>
      </c>
      <c r="B513" s="12" t="s">
        <v>214</v>
      </c>
      <c r="E513">
        <v>675675.67567567597</v>
      </c>
      <c r="M513">
        <v>27027.027027027001</v>
      </c>
    </row>
    <row r="514" spans="1:20" x14ac:dyDescent="0.35">
      <c r="A514" s="7" t="s">
        <v>604</v>
      </c>
      <c r="B514" s="12" t="s">
        <v>224</v>
      </c>
      <c r="C514">
        <v>54033674.413110361</v>
      </c>
      <c r="D514">
        <v>47933407.928114474</v>
      </c>
      <c r="E514">
        <v>6306.3063063059999</v>
      </c>
      <c r="G514">
        <v>8</v>
      </c>
      <c r="H514">
        <v>9</v>
      </c>
      <c r="K514">
        <v>11</v>
      </c>
      <c r="L514">
        <v>9</v>
      </c>
      <c r="M514">
        <v>2258558.5585585581</v>
      </c>
      <c r="O514">
        <v>15786990.990990993</v>
      </c>
      <c r="P514">
        <v>16091909.90990991</v>
      </c>
      <c r="Q514">
        <v>797027.02702702698</v>
      </c>
      <c r="R514">
        <v>1785585.5855855851</v>
      </c>
      <c r="S514">
        <v>3570</v>
      </c>
      <c r="T514">
        <v>3694</v>
      </c>
    </row>
    <row r="515" spans="1:20" x14ac:dyDescent="0.35">
      <c r="A515" s="7" t="s">
        <v>605</v>
      </c>
      <c r="B515" s="12" t="s">
        <v>224</v>
      </c>
      <c r="C515">
        <v>31193860.924862951</v>
      </c>
      <c r="D515">
        <v>31140564.768153302</v>
      </c>
      <c r="E515">
        <v>3603.603603604</v>
      </c>
      <c r="F515">
        <v>13513.513513514001</v>
      </c>
      <c r="G515">
        <v>10</v>
      </c>
      <c r="H515">
        <v>4</v>
      </c>
      <c r="K515">
        <v>10</v>
      </c>
      <c r="L515">
        <v>7</v>
      </c>
      <c r="M515">
        <v>904504.50450450496</v>
      </c>
      <c r="N515">
        <v>13513.513513514001</v>
      </c>
      <c r="O515">
        <v>8649234.2342342343</v>
      </c>
      <c r="P515">
        <v>8851981.9819819815</v>
      </c>
      <c r="Q515">
        <v>1067747.747747747</v>
      </c>
      <c r="R515">
        <v>1578648.648648649</v>
      </c>
      <c r="S515">
        <v>3242</v>
      </c>
      <c r="T515">
        <v>3945</v>
      </c>
    </row>
    <row r="516" spans="1:20" x14ac:dyDescent="0.35">
      <c r="A516" s="7" t="s">
        <v>606</v>
      </c>
      <c r="B516" s="12" t="s">
        <v>241</v>
      </c>
      <c r="C516">
        <v>28377390.724469267</v>
      </c>
      <c r="D516">
        <v>26163978.854629569</v>
      </c>
      <c r="E516">
        <v>4504.5045045050001</v>
      </c>
      <c r="F516">
        <v>31391891.891891893</v>
      </c>
      <c r="G516">
        <v>9</v>
      </c>
      <c r="H516">
        <v>10</v>
      </c>
      <c r="K516">
        <v>11</v>
      </c>
      <c r="L516">
        <v>11</v>
      </c>
      <c r="M516">
        <v>1030090.090090091</v>
      </c>
      <c r="N516">
        <v>1574324.324324324</v>
      </c>
      <c r="O516">
        <v>7818783.7837837841</v>
      </c>
      <c r="P516">
        <v>7375963.963963964</v>
      </c>
      <c r="Q516">
        <v>1025135.135135137</v>
      </c>
      <c r="R516">
        <v>660270.27027026995</v>
      </c>
      <c r="S516">
        <v>2338</v>
      </c>
      <c r="T516">
        <v>2292</v>
      </c>
    </row>
    <row r="517" spans="1:20" x14ac:dyDescent="0.35">
      <c r="A517" s="7" t="s">
        <v>607</v>
      </c>
      <c r="B517" s="12" t="s">
        <v>140</v>
      </c>
      <c r="C517">
        <v>8502284.6085860059</v>
      </c>
      <c r="D517">
        <v>8117831.496925585</v>
      </c>
      <c r="H517">
        <v>1</v>
      </c>
      <c r="L517">
        <v>2</v>
      </c>
      <c r="O517">
        <v>867072.07207207195</v>
      </c>
      <c r="P517">
        <v>711162.16216216201</v>
      </c>
      <c r="Q517">
        <v>95855.855855856003</v>
      </c>
      <c r="R517">
        <v>111711.71171171201</v>
      </c>
      <c r="S517">
        <v>353</v>
      </c>
      <c r="T517">
        <v>343</v>
      </c>
    </row>
    <row r="518" spans="1:20" x14ac:dyDescent="0.35">
      <c r="A518" s="7" t="s">
        <v>608</v>
      </c>
      <c r="B518" s="12" t="s">
        <v>189</v>
      </c>
      <c r="C518">
        <v>32995317.646369215</v>
      </c>
      <c r="D518">
        <v>28544536.090796631</v>
      </c>
      <c r="E518">
        <v>330630.63063063001</v>
      </c>
      <c r="F518">
        <v>680180.18018018105</v>
      </c>
      <c r="G518">
        <v>9</v>
      </c>
      <c r="H518">
        <v>20</v>
      </c>
      <c r="K518">
        <v>10</v>
      </c>
      <c r="L518">
        <v>20</v>
      </c>
      <c r="M518">
        <v>3809009.0090090092</v>
      </c>
      <c r="N518">
        <v>2752252.2522522528</v>
      </c>
      <c r="O518">
        <v>6144486.4864864862</v>
      </c>
      <c r="P518">
        <v>7430887.3873873884</v>
      </c>
      <c r="Q518">
        <v>2746216.2162162159</v>
      </c>
      <c r="R518">
        <v>2613423.4234234239</v>
      </c>
      <c r="S518">
        <v>1622</v>
      </c>
      <c r="T518">
        <v>1591</v>
      </c>
    </row>
    <row r="519" spans="1:20" x14ac:dyDescent="0.35">
      <c r="A519" s="7" t="s">
        <v>609</v>
      </c>
      <c r="B519" s="12" t="s">
        <v>189</v>
      </c>
      <c r="C519">
        <v>97580372.434568703</v>
      </c>
      <c r="D519">
        <v>90494515.101495326</v>
      </c>
      <c r="E519">
        <v>7207.2072072069996</v>
      </c>
      <c r="F519">
        <v>247747.747747749</v>
      </c>
      <c r="G519">
        <v>26</v>
      </c>
      <c r="H519">
        <v>29</v>
      </c>
      <c r="K519">
        <v>27</v>
      </c>
      <c r="L519">
        <v>32</v>
      </c>
      <c r="M519">
        <v>3544144.1441441439</v>
      </c>
      <c r="N519">
        <v>4932432.4324324327</v>
      </c>
      <c r="O519">
        <v>14015585.585585587</v>
      </c>
      <c r="P519">
        <v>15954693.693693694</v>
      </c>
      <c r="Q519">
        <v>3094234.2342342329</v>
      </c>
      <c r="R519">
        <v>2652072.072072071</v>
      </c>
      <c r="S519">
        <v>5029</v>
      </c>
      <c r="T519">
        <v>5085</v>
      </c>
    </row>
    <row r="520" spans="1:20" x14ac:dyDescent="0.35">
      <c r="A520" s="7" t="s">
        <v>610</v>
      </c>
      <c r="B520" s="12" t="s">
        <v>189</v>
      </c>
      <c r="C520">
        <v>37424526.854704864</v>
      </c>
      <c r="D520">
        <v>34920854.994121067</v>
      </c>
      <c r="E520">
        <v>144144.144144144</v>
      </c>
      <c r="F520">
        <v>362837.83783783898</v>
      </c>
      <c r="G520">
        <v>5</v>
      </c>
      <c r="H520">
        <v>9</v>
      </c>
      <c r="K520">
        <v>6</v>
      </c>
      <c r="L520">
        <v>9</v>
      </c>
      <c r="M520">
        <v>3258558.5585585581</v>
      </c>
      <c r="N520">
        <v>2774774.7747747749</v>
      </c>
      <c r="O520">
        <v>4275045.0450450461</v>
      </c>
      <c r="P520">
        <v>3936306.3063063072</v>
      </c>
      <c r="Q520">
        <v>2184774.774774774</v>
      </c>
      <c r="R520">
        <v>2573963.963963964</v>
      </c>
      <c r="S520">
        <v>1682</v>
      </c>
      <c r="T520">
        <v>1698</v>
      </c>
    </row>
    <row r="521" spans="1:20" x14ac:dyDescent="0.35">
      <c r="A521" s="7" t="s">
        <v>611</v>
      </c>
      <c r="B521" s="12" t="s">
        <v>189</v>
      </c>
      <c r="C521">
        <v>11152049.825102989</v>
      </c>
      <c r="D521">
        <v>14647902.394265927</v>
      </c>
      <c r="E521">
        <v>4504.5045045050001</v>
      </c>
      <c r="F521">
        <v>134684.68468468499</v>
      </c>
      <c r="G521">
        <v>5</v>
      </c>
      <c r="H521">
        <v>5</v>
      </c>
      <c r="K521">
        <v>9</v>
      </c>
      <c r="L521">
        <v>6</v>
      </c>
      <c r="M521">
        <v>870270.27027026995</v>
      </c>
      <c r="N521">
        <v>2797657.6576576582</v>
      </c>
      <c r="O521">
        <v>1818243.243243244</v>
      </c>
      <c r="P521">
        <v>2794900.9009009008</v>
      </c>
      <c r="Q521">
        <v>501351.35135135101</v>
      </c>
      <c r="R521">
        <v>2512972.9729729728</v>
      </c>
      <c r="S521">
        <v>853</v>
      </c>
      <c r="T521">
        <v>955</v>
      </c>
    </row>
    <row r="522" spans="1:20" x14ac:dyDescent="0.35">
      <c r="A522" s="7" t="s">
        <v>612</v>
      </c>
      <c r="B522" s="12" t="s">
        <v>143</v>
      </c>
      <c r="C522">
        <v>89516953.91084832</v>
      </c>
      <c r="D522">
        <v>97189692.853604704</v>
      </c>
      <c r="E522">
        <v>44000.000000000997</v>
      </c>
      <c r="F522">
        <v>695025.22522522602</v>
      </c>
      <c r="G522">
        <v>21</v>
      </c>
      <c r="H522">
        <v>25</v>
      </c>
      <c r="K522">
        <v>30</v>
      </c>
      <c r="L522">
        <v>33</v>
      </c>
      <c r="M522">
        <v>7152252.25225225</v>
      </c>
      <c r="N522">
        <v>4540540.5405405397</v>
      </c>
      <c r="O522">
        <v>10873736.936936935</v>
      </c>
      <c r="P522">
        <v>12219864.864864865</v>
      </c>
      <c r="Q522">
        <v>9741081.0810810793</v>
      </c>
      <c r="R522">
        <v>8561351.3513513505</v>
      </c>
      <c r="S522">
        <v>6859</v>
      </c>
      <c r="T522">
        <v>7287</v>
      </c>
    </row>
    <row r="523" spans="1:20" x14ac:dyDescent="0.35">
      <c r="A523" s="7" t="s">
        <v>613</v>
      </c>
      <c r="B523" s="12" t="s">
        <v>189</v>
      </c>
      <c r="C523">
        <v>124213035.36735103</v>
      </c>
      <c r="D523">
        <v>115510543.14694431</v>
      </c>
      <c r="E523">
        <v>56756.756756757997</v>
      </c>
      <c r="F523">
        <v>797072.07207207498</v>
      </c>
      <c r="G523">
        <v>27</v>
      </c>
      <c r="H523">
        <v>31</v>
      </c>
      <c r="K523">
        <v>37</v>
      </c>
      <c r="L523">
        <v>42</v>
      </c>
      <c r="M523">
        <v>3650450.4504504502</v>
      </c>
      <c r="N523">
        <v>7752252.2522522528</v>
      </c>
      <c r="O523">
        <v>10823673.873873876</v>
      </c>
      <c r="P523">
        <v>10773178.37837838</v>
      </c>
      <c r="Q523">
        <v>3268781.9819819811</v>
      </c>
      <c r="R523">
        <v>7716349.5495495489</v>
      </c>
      <c r="S523">
        <v>7605</v>
      </c>
      <c r="T523">
        <v>7336</v>
      </c>
    </row>
    <row r="524" spans="1:20" x14ac:dyDescent="0.35">
      <c r="A524" s="7" t="s">
        <v>614</v>
      </c>
      <c r="B524" s="12" t="s">
        <v>54</v>
      </c>
      <c r="C524">
        <v>84212256.075858429</v>
      </c>
      <c r="D524">
        <v>79163181.823019519</v>
      </c>
      <c r="E524">
        <v>1172522.522522524</v>
      </c>
      <c r="F524">
        <v>1542342.342342345</v>
      </c>
      <c r="G524">
        <v>18</v>
      </c>
      <c r="H524">
        <v>18</v>
      </c>
      <c r="K524">
        <v>23</v>
      </c>
      <c r="L524">
        <v>22</v>
      </c>
      <c r="M524">
        <v>9370720.7207207195</v>
      </c>
      <c r="N524">
        <v>15974774.774774775</v>
      </c>
      <c r="O524">
        <v>24563243.24324324</v>
      </c>
      <c r="P524">
        <v>25106396.396396395</v>
      </c>
      <c r="Q524">
        <v>13434594.594594596</v>
      </c>
      <c r="R524">
        <v>14103873.873873873</v>
      </c>
      <c r="S524">
        <v>6449</v>
      </c>
      <c r="T524">
        <v>6310</v>
      </c>
    </row>
    <row r="525" spans="1:20" x14ac:dyDescent="0.35">
      <c r="A525" s="7" t="s">
        <v>615</v>
      </c>
      <c r="B525" s="12" t="s">
        <v>54</v>
      </c>
      <c r="C525">
        <v>43619853.360346995</v>
      </c>
      <c r="D525">
        <v>42972159.815812759</v>
      </c>
      <c r="E525">
        <v>9009.0090090100002</v>
      </c>
      <c r="F525">
        <v>27027.027027027001</v>
      </c>
      <c r="G525">
        <v>8</v>
      </c>
      <c r="H525">
        <v>4</v>
      </c>
      <c r="K525">
        <v>8</v>
      </c>
      <c r="L525">
        <v>4</v>
      </c>
      <c r="M525">
        <v>1990990.990990991</v>
      </c>
      <c r="N525">
        <v>1108108.108108107</v>
      </c>
      <c r="O525">
        <v>7182243.2432432426</v>
      </c>
      <c r="P525">
        <v>7072099.0990990987</v>
      </c>
      <c r="Q525">
        <v>1967477.4774774769</v>
      </c>
      <c r="R525">
        <v>1114324.324324325</v>
      </c>
      <c r="S525">
        <v>2692</v>
      </c>
      <c r="T525">
        <v>2722</v>
      </c>
    </row>
    <row r="526" spans="1:20" x14ac:dyDescent="0.35">
      <c r="A526" s="7" t="s">
        <v>616</v>
      </c>
      <c r="B526" s="12" t="s">
        <v>60</v>
      </c>
      <c r="C526">
        <v>65704687.472063631</v>
      </c>
      <c r="D526">
        <v>65291571.793565929</v>
      </c>
      <c r="E526">
        <v>74774.774774776</v>
      </c>
      <c r="F526">
        <v>1920720.7207207261</v>
      </c>
      <c r="G526">
        <v>8</v>
      </c>
      <c r="H526">
        <v>20</v>
      </c>
      <c r="K526">
        <v>10</v>
      </c>
      <c r="L526">
        <v>100</v>
      </c>
      <c r="M526">
        <v>9229729.7297297288</v>
      </c>
      <c r="N526">
        <v>12876756.756756756</v>
      </c>
      <c r="O526">
        <v>19239279.27927928</v>
      </c>
      <c r="P526">
        <v>20619720.72072072</v>
      </c>
      <c r="Q526">
        <v>8389909.9099099115</v>
      </c>
      <c r="R526">
        <v>10331531.531531531</v>
      </c>
      <c r="S526">
        <v>4254</v>
      </c>
      <c r="T526">
        <v>2207</v>
      </c>
    </row>
    <row r="527" spans="1:20" x14ac:dyDescent="0.35">
      <c r="A527" s="7" t="s">
        <v>617</v>
      </c>
      <c r="B527" s="12" t="s">
        <v>60</v>
      </c>
      <c r="C527">
        <v>73579219.310248643</v>
      </c>
      <c r="D527">
        <v>71348221.296525568</v>
      </c>
      <c r="E527">
        <v>290990.99099099298</v>
      </c>
      <c r="F527">
        <v>280180.18018018198</v>
      </c>
      <c r="G527">
        <v>11</v>
      </c>
      <c r="H527">
        <v>19</v>
      </c>
      <c r="K527">
        <v>12</v>
      </c>
      <c r="L527">
        <v>25</v>
      </c>
      <c r="M527">
        <v>5011711.7117117113</v>
      </c>
      <c r="N527">
        <v>8301801.8018018007</v>
      </c>
      <c r="O527">
        <v>36380855.855855852</v>
      </c>
      <c r="P527">
        <v>35212603.603603601</v>
      </c>
      <c r="Q527">
        <v>6974594.5945945932</v>
      </c>
      <c r="R527">
        <v>8723513.5135135129</v>
      </c>
      <c r="S527">
        <v>5393</v>
      </c>
      <c r="T527">
        <v>7600</v>
      </c>
    </row>
    <row r="528" spans="1:20" x14ac:dyDescent="0.35">
      <c r="A528" s="7" t="s">
        <v>618</v>
      </c>
      <c r="B528" s="12" t="s">
        <v>60</v>
      </c>
      <c r="C528">
        <v>94817064.965040758</v>
      </c>
      <c r="D528">
        <v>91208530.791133553</v>
      </c>
      <c r="E528">
        <v>333333.33333333401</v>
      </c>
      <c r="F528">
        <v>996396.39639639901</v>
      </c>
      <c r="G528">
        <v>16</v>
      </c>
      <c r="H528">
        <v>15</v>
      </c>
      <c r="K528">
        <v>17</v>
      </c>
      <c r="L528">
        <v>18</v>
      </c>
      <c r="M528">
        <v>3432432.4324324308</v>
      </c>
      <c r="N528">
        <v>15207207.207207212</v>
      </c>
      <c r="O528">
        <v>28917288.288288288</v>
      </c>
      <c r="P528">
        <v>29967855.855855856</v>
      </c>
      <c r="Q528">
        <v>3403783.7837837841</v>
      </c>
      <c r="R528">
        <v>12704324.324324327</v>
      </c>
      <c r="S528">
        <v>5768</v>
      </c>
      <c r="T528">
        <v>5359</v>
      </c>
    </row>
    <row r="529" spans="1:20" x14ac:dyDescent="0.35">
      <c r="A529" s="7" t="s">
        <v>619</v>
      </c>
      <c r="B529" s="12" t="s">
        <v>620</v>
      </c>
      <c r="C529">
        <v>108460489.06639996</v>
      </c>
      <c r="D529">
        <v>108639479.87658025</v>
      </c>
      <c r="E529">
        <v>829459.45945945894</v>
      </c>
      <c r="F529">
        <v>1546621.6216216241</v>
      </c>
      <c r="G529">
        <v>35</v>
      </c>
      <c r="H529">
        <v>33</v>
      </c>
      <c r="K529">
        <v>47</v>
      </c>
      <c r="L529">
        <v>73</v>
      </c>
      <c r="M529">
        <v>9514144.144144142</v>
      </c>
      <c r="N529">
        <v>6089189.18918919</v>
      </c>
      <c r="O529">
        <v>13398036.036036037</v>
      </c>
      <c r="P529">
        <v>12355657.657657659</v>
      </c>
      <c r="Q529">
        <v>6792972.9729729723</v>
      </c>
      <c r="R529">
        <v>9213243.2432432398</v>
      </c>
      <c r="S529">
        <v>7453</v>
      </c>
      <c r="T529">
        <v>7672</v>
      </c>
    </row>
    <row r="530" spans="1:20" x14ac:dyDescent="0.35">
      <c r="A530" s="7" t="s">
        <v>621</v>
      </c>
      <c r="B530" s="12" t="s">
        <v>620</v>
      </c>
      <c r="C530">
        <v>84230502.603752643</v>
      </c>
      <c r="D530">
        <v>79456523.065035939</v>
      </c>
      <c r="E530">
        <v>567412.61261261301</v>
      </c>
      <c r="F530">
        <v>20724554.054054055</v>
      </c>
      <c r="G530">
        <v>23</v>
      </c>
      <c r="H530">
        <v>25</v>
      </c>
      <c r="I530">
        <v>2</v>
      </c>
      <c r="K530">
        <v>34</v>
      </c>
      <c r="L530">
        <v>36</v>
      </c>
      <c r="M530">
        <v>8889049.5495495461</v>
      </c>
      <c r="N530">
        <v>9692719.8198198192</v>
      </c>
      <c r="O530">
        <v>11705653.153153151</v>
      </c>
      <c r="P530">
        <v>13044281.981981982</v>
      </c>
      <c r="Q530">
        <v>5597387.3873873884</v>
      </c>
      <c r="R530">
        <v>5775495.4954954954</v>
      </c>
      <c r="S530">
        <v>6189</v>
      </c>
      <c r="T530">
        <v>5982</v>
      </c>
    </row>
    <row r="531" spans="1:20" x14ac:dyDescent="0.35">
      <c r="A531" s="7" t="s">
        <v>622</v>
      </c>
      <c r="B531" s="12" t="s">
        <v>620</v>
      </c>
      <c r="C531">
        <v>89994088.317035452</v>
      </c>
      <c r="D531">
        <v>83980347.015560851</v>
      </c>
      <c r="E531">
        <v>311711.711711713</v>
      </c>
      <c r="F531">
        <v>800900.90090090397</v>
      </c>
      <c r="G531">
        <v>27</v>
      </c>
      <c r="H531">
        <v>29</v>
      </c>
      <c r="I531">
        <v>1</v>
      </c>
      <c r="K531">
        <v>41</v>
      </c>
      <c r="L531">
        <v>33</v>
      </c>
      <c r="M531">
        <v>8472072.072072072</v>
      </c>
      <c r="N531">
        <v>5896396.3963963958</v>
      </c>
      <c r="O531">
        <v>12447387.387387387</v>
      </c>
      <c r="P531">
        <v>13288842.342342343</v>
      </c>
      <c r="Q531">
        <v>7794594.594594595</v>
      </c>
      <c r="R531">
        <v>3837657.6576576582</v>
      </c>
      <c r="S531">
        <v>5889</v>
      </c>
      <c r="T531">
        <v>5491</v>
      </c>
    </row>
    <row r="532" spans="1:20" x14ac:dyDescent="0.35">
      <c r="A532" s="7" t="s">
        <v>623</v>
      </c>
      <c r="B532" s="12" t="s">
        <v>620</v>
      </c>
      <c r="C532">
        <v>61797452.935603745</v>
      </c>
      <c r="D532">
        <v>58909611.786216103</v>
      </c>
      <c r="E532">
        <v>145045.04504504599</v>
      </c>
      <c r="F532">
        <v>199099.09909910001</v>
      </c>
      <c r="G532">
        <v>29</v>
      </c>
      <c r="H532">
        <v>12</v>
      </c>
      <c r="K532">
        <v>39</v>
      </c>
      <c r="L532">
        <v>20</v>
      </c>
      <c r="M532">
        <v>5713063.0630630637</v>
      </c>
      <c r="N532">
        <v>5589189.1891891891</v>
      </c>
      <c r="O532">
        <v>7823603.6036036033</v>
      </c>
      <c r="P532">
        <v>7891959.4594594594</v>
      </c>
      <c r="Q532">
        <v>4931171.1711711697</v>
      </c>
      <c r="R532">
        <v>5211891.8918918921</v>
      </c>
      <c r="S532">
        <v>3618</v>
      </c>
      <c r="T532">
        <v>3492</v>
      </c>
    </row>
    <row r="533" spans="1:20" x14ac:dyDescent="0.35">
      <c r="A533" s="7" t="s">
        <v>624</v>
      </c>
      <c r="B533" s="12" t="s">
        <v>260</v>
      </c>
      <c r="C533">
        <v>35040177.368280306</v>
      </c>
      <c r="D533">
        <v>30279507.830264095</v>
      </c>
      <c r="E533">
        <v>18018.018018018</v>
      </c>
      <c r="F533">
        <v>61261.261261261003</v>
      </c>
      <c r="G533">
        <v>1</v>
      </c>
      <c r="H533">
        <v>2</v>
      </c>
      <c r="K533">
        <v>1</v>
      </c>
      <c r="L533">
        <v>2</v>
      </c>
      <c r="M533">
        <v>5513513.5135135138</v>
      </c>
      <c r="N533">
        <v>702702.70270270202</v>
      </c>
      <c r="O533">
        <v>10755756.756756756</v>
      </c>
      <c r="P533">
        <v>10022306.306306306</v>
      </c>
      <c r="Q533">
        <v>5043513.5135135129</v>
      </c>
      <c r="R533">
        <v>3550000</v>
      </c>
      <c r="S533">
        <v>2113</v>
      </c>
      <c r="T533">
        <v>2064</v>
      </c>
    </row>
    <row r="534" spans="1:20" x14ac:dyDescent="0.35">
      <c r="A534" s="7" t="s">
        <v>625</v>
      </c>
      <c r="B534" s="12" t="s">
        <v>52</v>
      </c>
      <c r="C534">
        <v>50826811.443984635</v>
      </c>
      <c r="D534">
        <v>50234245.258555993</v>
      </c>
      <c r="E534">
        <v>9189.1891891890009</v>
      </c>
      <c r="F534">
        <v>27027.027027027001</v>
      </c>
      <c r="G534">
        <v>8</v>
      </c>
      <c r="H534">
        <v>15</v>
      </c>
      <c r="K534">
        <v>10</v>
      </c>
      <c r="L534">
        <v>45</v>
      </c>
      <c r="M534">
        <v>130360.36036036001</v>
      </c>
      <c r="N534">
        <v>1828828.8288288291</v>
      </c>
      <c r="O534">
        <v>17333189.189189188</v>
      </c>
      <c r="P534">
        <v>18188018.018018015</v>
      </c>
      <c r="Q534">
        <v>1425675.675675676</v>
      </c>
      <c r="R534">
        <v>1170360.36036036</v>
      </c>
      <c r="S534">
        <v>4429</v>
      </c>
      <c r="T534">
        <v>4450</v>
      </c>
    </row>
    <row r="535" spans="1:20" x14ac:dyDescent="0.35">
      <c r="A535" s="7" t="s">
        <v>626</v>
      </c>
      <c r="B535" s="12" t="s">
        <v>96</v>
      </c>
      <c r="C535">
        <v>123079007.61992507</v>
      </c>
      <c r="D535">
        <v>118984471.53601393</v>
      </c>
      <c r="E535">
        <v>1092252.252252257</v>
      </c>
      <c r="F535">
        <v>1541441.4414414431</v>
      </c>
      <c r="G535">
        <v>56</v>
      </c>
      <c r="H535">
        <v>57</v>
      </c>
      <c r="I535">
        <v>1</v>
      </c>
      <c r="K535">
        <v>74</v>
      </c>
      <c r="L535">
        <v>76</v>
      </c>
      <c r="M535">
        <v>18368828.828828823</v>
      </c>
      <c r="N535">
        <v>22588288.288288288</v>
      </c>
      <c r="O535">
        <v>39117297.297297299</v>
      </c>
      <c r="P535">
        <v>39460382.882882878</v>
      </c>
      <c r="Q535">
        <v>20633063.063063055</v>
      </c>
      <c r="R535">
        <v>19667927.927927922</v>
      </c>
      <c r="S535">
        <v>10895</v>
      </c>
      <c r="T535">
        <v>10645</v>
      </c>
    </row>
    <row r="536" spans="1:20" x14ac:dyDescent="0.35">
      <c r="A536" s="7" t="s">
        <v>627</v>
      </c>
      <c r="B536" s="12" t="s">
        <v>96</v>
      </c>
      <c r="C536">
        <v>215456548.27126595</v>
      </c>
      <c r="D536">
        <v>197911723.7218596</v>
      </c>
      <c r="E536">
        <v>41372852.252252258</v>
      </c>
      <c r="F536">
        <v>83632633.333333328</v>
      </c>
      <c r="G536">
        <v>50</v>
      </c>
      <c r="H536">
        <v>27</v>
      </c>
      <c r="I536">
        <v>1</v>
      </c>
      <c r="K536">
        <v>72</v>
      </c>
      <c r="L536">
        <v>41</v>
      </c>
      <c r="M536">
        <v>26305675.675675679</v>
      </c>
      <c r="N536">
        <v>79082873.873873875</v>
      </c>
      <c r="O536">
        <v>84534558.558558553</v>
      </c>
      <c r="P536">
        <v>78522380.630630627</v>
      </c>
      <c r="Q536">
        <v>33723513.513513513</v>
      </c>
      <c r="R536">
        <v>53992432.432432435</v>
      </c>
      <c r="S536">
        <v>13789</v>
      </c>
      <c r="T536">
        <v>13836</v>
      </c>
    </row>
    <row r="537" spans="1:20" x14ac:dyDescent="0.35">
      <c r="A537" s="7" t="s">
        <v>628</v>
      </c>
      <c r="B537" s="12" t="s">
        <v>448</v>
      </c>
      <c r="C537">
        <v>156025309.65464815</v>
      </c>
      <c r="D537">
        <v>143907338.4710688</v>
      </c>
      <c r="E537">
        <v>106583782.88288288</v>
      </c>
      <c r="F537">
        <v>123723529.72972973</v>
      </c>
      <c r="G537">
        <v>68</v>
      </c>
      <c r="H537">
        <v>29</v>
      </c>
      <c r="K537">
        <v>88</v>
      </c>
      <c r="L537">
        <v>42</v>
      </c>
      <c r="M537">
        <v>52582882.882882878</v>
      </c>
      <c r="N537">
        <v>30268018.018018015</v>
      </c>
      <c r="O537">
        <v>43611378.378378376</v>
      </c>
      <c r="P537">
        <v>43005691.891891897</v>
      </c>
      <c r="Q537">
        <v>36472612.612612613</v>
      </c>
      <c r="R537">
        <v>26498828.828828823</v>
      </c>
      <c r="S537">
        <v>11551</v>
      </c>
      <c r="T537">
        <v>11207</v>
      </c>
    </row>
    <row r="538" spans="1:20" x14ac:dyDescent="0.35">
      <c r="A538" s="7" t="s">
        <v>629</v>
      </c>
      <c r="B538" s="12" t="s">
        <v>78</v>
      </c>
      <c r="C538">
        <v>7280078.43888875</v>
      </c>
      <c r="D538">
        <v>6805026.0040738676</v>
      </c>
      <c r="E538">
        <v>180180.18018018</v>
      </c>
      <c r="F538">
        <v>278378.37837837799</v>
      </c>
      <c r="G538">
        <v>2</v>
      </c>
      <c r="H538">
        <v>1</v>
      </c>
      <c r="K538">
        <v>2</v>
      </c>
      <c r="L538">
        <v>1</v>
      </c>
      <c r="M538">
        <v>180180.18018018</v>
      </c>
      <c r="N538">
        <v>638738.738738738</v>
      </c>
      <c r="O538">
        <v>1947792.7927927929</v>
      </c>
      <c r="P538">
        <v>2090711.7117117119</v>
      </c>
      <c r="Q538">
        <v>267567.56756756798</v>
      </c>
      <c r="R538">
        <v>542792.79279279301</v>
      </c>
      <c r="S538">
        <v>415</v>
      </c>
      <c r="T538">
        <v>350</v>
      </c>
    </row>
    <row r="539" spans="1:20" x14ac:dyDescent="0.35">
      <c r="A539" s="7" t="s">
        <v>630</v>
      </c>
      <c r="B539" s="12" t="s">
        <v>241</v>
      </c>
      <c r="C539">
        <v>41003402.074584879</v>
      </c>
      <c r="D539">
        <v>37487715.168435939</v>
      </c>
      <c r="E539">
        <v>16396.396396397002</v>
      </c>
      <c r="F539">
        <v>106081.081081083</v>
      </c>
      <c r="G539">
        <v>15</v>
      </c>
      <c r="H539">
        <v>14</v>
      </c>
      <c r="K539">
        <v>17</v>
      </c>
      <c r="L539">
        <v>20</v>
      </c>
      <c r="M539">
        <v>5820990.9909909898</v>
      </c>
      <c r="N539">
        <v>3734954.9549549511</v>
      </c>
      <c r="O539">
        <v>9602297.2972972952</v>
      </c>
      <c r="P539">
        <v>8016396.3963963958</v>
      </c>
      <c r="Q539">
        <v>6603513.5135135138</v>
      </c>
      <c r="R539">
        <v>3743063.0630630571</v>
      </c>
      <c r="S539">
        <v>2598</v>
      </c>
      <c r="T539">
        <v>2602</v>
      </c>
    </row>
    <row r="540" spans="1:20" x14ac:dyDescent="0.35">
      <c r="A540" s="7" t="s">
        <v>631</v>
      </c>
      <c r="B540" s="12" t="s">
        <v>68</v>
      </c>
      <c r="C540">
        <v>179238568.23708406</v>
      </c>
      <c r="D540">
        <v>166340201.8828907</v>
      </c>
      <c r="E540">
        <v>26965659.459459465</v>
      </c>
      <c r="F540">
        <v>33104693.693693697</v>
      </c>
      <c r="G540">
        <v>30</v>
      </c>
      <c r="H540">
        <v>26</v>
      </c>
      <c r="K540">
        <v>38</v>
      </c>
      <c r="L540">
        <v>31</v>
      </c>
      <c r="M540">
        <v>16166576.576576576</v>
      </c>
      <c r="N540">
        <v>22027027.02702703</v>
      </c>
      <c r="O540">
        <v>29652072.072072074</v>
      </c>
      <c r="P540">
        <v>27938175.675675675</v>
      </c>
      <c r="Q540">
        <v>12565225.225225221</v>
      </c>
      <c r="R540">
        <v>13673153.153153151</v>
      </c>
      <c r="S540">
        <v>8996</v>
      </c>
      <c r="T540">
        <v>8974</v>
      </c>
    </row>
    <row r="541" spans="1:20" x14ac:dyDescent="0.35">
      <c r="A541" s="7" t="s">
        <v>632</v>
      </c>
      <c r="B541" s="12" t="s">
        <v>70</v>
      </c>
      <c r="C541">
        <v>1423960.200290414</v>
      </c>
      <c r="D541">
        <v>1340101.400453158</v>
      </c>
      <c r="F541">
        <v>40540.540540540998</v>
      </c>
      <c r="G541">
        <v>1</v>
      </c>
      <c r="K541">
        <v>1</v>
      </c>
      <c r="L541">
        <v>1</v>
      </c>
      <c r="N541">
        <v>40540.540540540998</v>
      </c>
      <c r="O541">
        <v>794234.23423423397</v>
      </c>
      <c r="P541">
        <v>709639.63963963999</v>
      </c>
      <c r="Q541">
        <v>27297.297297296998</v>
      </c>
      <c r="R541">
        <v>164864.864864865</v>
      </c>
      <c r="S541">
        <v>193</v>
      </c>
      <c r="T541">
        <v>192</v>
      </c>
    </row>
    <row r="542" spans="1:20" x14ac:dyDescent="0.35">
      <c r="A542" s="7" t="s">
        <v>633</v>
      </c>
      <c r="B542" s="12" t="s">
        <v>60</v>
      </c>
      <c r="C542">
        <v>13755886.147868184</v>
      </c>
      <c r="D542">
        <v>13666533.160362752</v>
      </c>
      <c r="E542">
        <v>900.900900901</v>
      </c>
      <c r="F542">
        <v>2702.7027027029999</v>
      </c>
      <c r="G542">
        <v>2</v>
      </c>
      <c r="H542">
        <v>5</v>
      </c>
      <c r="K542">
        <v>2</v>
      </c>
      <c r="L542">
        <v>6</v>
      </c>
      <c r="M542">
        <v>271171.17117117101</v>
      </c>
      <c r="N542">
        <v>687387.38738738699</v>
      </c>
      <c r="O542">
        <v>4879774.774774774</v>
      </c>
      <c r="P542">
        <v>6103063.0630630627</v>
      </c>
      <c r="Q542">
        <v>76126.126126125993</v>
      </c>
      <c r="R542">
        <v>140990.99099099101</v>
      </c>
      <c r="S542">
        <v>1008</v>
      </c>
      <c r="T542">
        <v>1040</v>
      </c>
    </row>
    <row r="543" spans="1:20" x14ac:dyDescent="0.35">
      <c r="A543" s="7" t="s">
        <v>634</v>
      </c>
      <c r="B543" s="12" t="s">
        <v>80</v>
      </c>
      <c r="C543">
        <v>141166330.99861369</v>
      </c>
      <c r="D543">
        <v>132440487.07700473</v>
      </c>
      <c r="E543">
        <v>1666666.6666666679</v>
      </c>
      <c r="F543">
        <v>1346846.846846849</v>
      </c>
      <c r="G543">
        <v>32</v>
      </c>
      <c r="H543">
        <v>13</v>
      </c>
      <c r="K543">
        <v>41</v>
      </c>
      <c r="L543">
        <v>17</v>
      </c>
      <c r="M543">
        <v>15805765.765765766</v>
      </c>
      <c r="N543">
        <v>14017117.117117116</v>
      </c>
      <c r="O543">
        <v>26046477.47747748</v>
      </c>
      <c r="P543">
        <v>27045265.765765764</v>
      </c>
      <c r="Q543">
        <v>17491171.171171173</v>
      </c>
      <c r="R543">
        <v>12666666.666666668</v>
      </c>
      <c r="S543">
        <v>6563</v>
      </c>
      <c r="T543">
        <v>6620</v>
      </c>
    </row>
    <row r="544" spans="1:20" x14ac:dyDescent="0.35">
      <c r="A544" s="7" t="s">
        <v>635</v>
      </c>
      <c r="B544" s="12" t="s">
        <v>134</v>
      </c>
      <c r="C544">
        <v>22500222.178584557</v>
      </c>
      <c r="D544">
        <v>23816956.088298324</v>
      </c>
      <c r="G544">
        <v>1</v>
      </c>
      <c r="H544">
        <v>2</v>
      </c>
      <c r="K544">
        <v>3</v>
      </c>
      <c r="L544">
        <v>4</v>
      </c>
      <c r="N544">
        <v>630630.630630631</v>
      </c>
      <c r="O544">
        <v>1623648.6486486481</v>
      </c>
      <c r="P544">
        <v>1688648.648648649</v>
      </c>
      <c r="Q544">
        <v>386036.03603603598</v>
      </c>
      <c r="R544">
        <v>266666.66666666698</v>
      </c>
      <c r="S544">
        <v>1424</v>
      </c>
      <c r="T544">
        <v>1493</v>
      </c>
    </row>
    <row r="545" spans="1:20" x14ac:dyDescent="0.35">
      <c r="A545" s="7" t="s">
        <v>636</v>
      </c>
      <c r="B545" s="12" t="s">
        <v>479</v>
      </c>
      <c r="C545">
        <v>80560284.987431094</v>
      </c>
      <c r="D545">
        <v>71047308.018467575</v>
      </c>
      <c r="E545">
        <v>22972.972972973999</v>
      </c>
      <c r="F545">
        <v>512612.61261261301</v>
      </c>
      <c r="G545">
        <v>3</v>
      </c>
      <c r="H545">
        <v>5</v>
      </c>
      <c r="K545">
        <v>4</v>
      </c>
      <c r="L545">
        <v>6</v>
      </c>
      <c r="M545">
        <v>8977567.5675675664</v>
      </c>
      <c r="N545">
        <v>16987387.387387384</v>
      </c>
      <c r="O545">
        <v>24994247.747747749</v>
      </c>
      <c r="P545">
        <v>23089261.261261258</v>
      </c>
      <c r="Q545">
        <v>9844414.4144144151</v>
      </c>
      <c r="R545">
        <v>17074594.59459459</v>
      </c>
      <c r="S545">
        <v>5782</v>
      </c>
      <c r="T545">
        <v>5645</v>
      </c>
    </row>
    <row r="546" spans="1:20" x14ac:dyDescent="0.35">
      <c r="A546" s="7" t="s">
        <v>637</v>
      </c>
      <c r="B546" s="12" t="s">
        <v>143</v>
      </c>
      <c r="C546">
        <v>134436994.96977699</v>
      </c>
      <c r="D546">
        <v>127728134.18945849</v>
      </c>
      <c r="E546">
        <v>585585.58558558603</v>
      </c>
      <c r="F546">
        <v>2004954.9549549581</v>
      </c>
      <c r="G546">
        <v>17</v>
      </c>
      <c r="H546">
        <v>14</v>
      </c>
      <c r="K546">
        <v>28</v>
      </c>
      <c r="L546">
        <v>31</v>
      </c>
      <c r="M546">
        <v>10553153.153153151</v>
      </c>
      <c r="N546">
        <v>6648648.6486486522</v>
      </c>
      <c r="O546">
        <v>12528405.405405404</v>
      </c>
      <c r="P546">
        <v>16061099.099099098</v>
      </c>
      <c r="Q546">
        <v>7523513.513513511</v>
      </c>
      <c r="R546">
        <v>5098288.288288286</v>
      </c>
      <c r="S546">
        <v>9435</v>
      </c>
      <c r="T546">
        <v>9443</v>
      </c>
    </row>
    <row r="547" spans="1:20" x14ac:dyDescent="0.35">
      <c r="A547" s="7" t="s">
        <v>638</v>
      </c>
      <c r="B547" s="12" t="s">
        <v>241</v>
      </c>
      <c r="C547">
        <v>144282399.0925737</v>
      </c>
      <c r="D547">
        <v>131879027.35496446</v>
      </c>
      <c r="E547">
        <v>310810.81081081298</v>
      </c>
      <c r="F547">
        <v>876576.57657657994</v>
      </c>
      <c r="G547">
        <v>60</v>
      </c>
      <c r="H547">
        <v>70</v>
      </c>
      <c r="K547">
        <v>71</v>
      </c>
      <c r="L547">
        <v>84</v>
      </c>
      <c r="M547">
        <v>4826756.7567567592</v>
      </c>
      <c r="N547">
        <v>6836036.0360360341</v>
      </c>
      <c r="O547">
        <v>46609333.333333336</v>
      </c>
      <c r="P547">
        <v>41737090.090090089</v>
      </c>
      <c r="Q547">
        <v>6190720.7207207214</v>
      </c>
      <c r="R547">
        <v>5575945.9459459446</v>
      </c>
      <c r="S547">
        <v>12547</v>
      </c>
      <c r="T547">
        <v>13057</v>
      </c>
    </row>
    <row r="548" spans="1:20" x14ac:dyDescent="0.35">
      <c r="A548" s="7" t="s">
        <v>639</v>
      </c>
      <c r="B548" s="12" t="s">
        <v>132</v>
      </c>
      <c r="C548">
        <v>58851137.665189929</v>
      </c>
      <c r="D548">
        <v>51513978.407247923</v>
      </c>
      <c r="E548">
        <v>14778860.36036036</v>
      </c>
      <c r="F548">
        <v>14898700.9009009</v>
      </c>
      <c r="G548">
        <v>18</v>
      </c>
      <c r="H548">
        <v>14</v>
      </c>
      <c r="K548">
        <v>25</v>
      </c>
      <c r="L548">
        <v>20</v>
      </c>
      <c r="M548">
        <v>5129729.7297297288</v>
      </c>
      <c r="N548">
        <v>738738.738738738</v>
      </c>
      <c r="O548">
        <v>20295783.783783782</v>
      </c>
      <c r="P548">
        <v>17542990.990990989</v>
      </c>
      <c r="Q548">
        <v>4111261.2612612611</v>
      </c>
      <c r="R548">
        <v>396936.93693693698</v>
      </c>
      <c r="S548">
        <v>5696</v>
      </c>
      <c r="T548">
        <v>5118</v>
      </c>
    </row>
    <row r="549" spans="1:20" x14ac:dyDescent="0.35">
      <c r="A549" s="7" t="s">
        <v>640</v>
      </c>
      <c r="B549" s="12" t="s">
        <v>134</v>
      </c>
      <c r="C549">
        <v>165511552.16605219</v>
      </c>
      <c r="D549">
        <v>159754465.78236595</v>
      </c>
      <c r="E549">
        <v>67300900</v>
      </c>
      <c r="F549">
        <v>95281128.828828827</v>
      </c>
      <c r="G549">
        <v>21</v>
      </c>
      <c r="H549">
        <v>11</v>
      </c>
      <c r="K549">
        <v>23</v>
      </c>
      <c r="L549">
        <v>17</v>
      </c>
      <c r="M549">
        <v>17257657.657657661</v>
      </c>
      <c r="N549">
        <v>17251531.531531528</v>
      </c>
      <c r="O549">
        <v>18348941.441441439</v>
      </c>
      <c r="P549">
        <v>20490723.423423424</v>
      </c>
      <c r="Q549">
        <v>9270180.1801801827</v>
      </c>
      <c r="R549">
        <v>9416980.1801801808</v>
      </c>
      <c r="S549">
        <v>7599</v>
      </c>
      <c r="T549">
        <v>7479</v>
      </c>
    </row>
    <row r="550" spans="1:20" x14ac:dyDescent="0.35">
      <c r="A550" s="7" t="s">
        <v>641</v>
      </c>
      <c r="B550" s="12" t="s">
        <v>80</v>
      </c>
      <c r="C550">
        <v>85946585.949934781</v>
      </c>
      <c r="D550">
        <v>82295136.843044922</v>
      </c>
      <c r="E550">
        <v>1801.801801802</v>
      </c>
      <c r="F550">
        <v>62162.162162162997</v>
      </c>
      <c r="G550">
        <v>8</v>
      </c>
      <c r="H550">
        <v>11</v>
      </c>
      <c r="I550">
        <v>1</v>
      </c>
      <c r="K550">
        <v>9</v>
      </c>
      <c r="L550">
        <v>12</v>
      </c>
      <c r="M550">
        <v>8103603.6036036042</v>
      </c>
      <c r="N550">
        <v>7198198.1981981974</v>
      </c>
      <c r="O550">
        <v>28407043.243243244</v>
      </c>
      <c r="P550">
        <v>29173247.747747745</v>
      </c>
      <c r="Q550">
        <v>7328918.9189189179</v>
      </c>
      <c r="R550">
        <v>6931531.5315315323</v>
      </c>
      <c r="S550">
        <v>4980</v>
      </c>
      <c r="T550">
        <v>4991</v>
      </c>
    </row>
    <row r="551" spans="1:20" x14ac:dyDescent="0.35">
      <c r="A551" s="7" t="s">
        <v>642</v>
      </c>
      <c r="B551" s="12" t="s">
        <v>169</v>
      </c>
      <c r="C551">
        <v>152075755.28458887</v>
      </c>
      <c r="D551">
        <v>133214521.94738236</v>
      </c>
      <c r="E551">
        <v>301351.35135135101</v>
      </c>
      <c r="F551">
        <v>684684.68468468601</v>
      </c>
      <c r="G551">
        <v>17</v>
      </c>
      <c r="H551">
        <v>16</v>
      </c>
      <c r="I551">
        <v>1</v>
      </c>
      <c r="K551">
        <v>19</v>
      </c>
      <c r="L551">
        <v>17</v>
      </c>
      <c r="M551">
        <v>9220270.2702702712</v>
      </c>
      <c r="N551">
        <v>8387387.3873873884</v>
      </c>
      <c r="O551">
        <v>48377180.180180177</v>
      </c>
      <c r="P551">
        <v>48140459.459459454</v>
      </c>
      <c r="Q551">
        <v>9998378.3783783782</v>
      </c>
      <c r="R551">
        <v>9701801.8018018026</v>
      </c>
      <c r="S551">
        <v>8969</v>
      </c>
      <c r="T551">
        <v>9582</v>
      </c>
    </row>
    <row r="552" spans="1:20" x14ac:dyDescent="0.35">
      <c r="A552" s="7" t="s">
        <v>643</v>
      </c>
      <c r="B552" s="12" t="s">
        <v>58</v>
      </c>
      <c r="C552">
        <v>249612980.39915445</v>
      </c>
      <c r="D552">
        <v>235873125.82998237</v>
      </c>
      <c r="E552">
        <v>788738.73873873998</v>
      </c>
      <c r="F552">
        <v>12600900.900900902</v>
      </c>
      <c r="G552">
        <v>55</v>
      </c>
      <c r="H552">
        <v>43</v>
      </c>
      <c r="K552">
        <v>61</v>
      </c>
      <c r="L552">
        <v>51</v>
      </c>
      <c r="M552">
        <v>21068018.018018015</v>
      </c>
      <c r="N552">
        <v>17441891.891891893</v>
      </c>
      <c r="O552">
        <v>49150216.216216214</v>
      </c>
      <c r="P552">
        <v>49022981.981981985</v>
      </c>
      <c r="Q552">
        <v>14051711.711711712</v>
      </c>
      <c r="R552">
        <v>15503693.693693694</v>
      </c>
      <c r="S552">
        <v>17429</v>
      </c>
      <c r="T552">
        <v>17630</v>
      </c>
    </row>
    <row r="553" spans="1:20" x14ac:dyDescent="0.35">
      <c r="A553" s="7" t="s">
        <v>644</v>
      </c>
      <c r="B553" s="12" t="s">
        <v>58</v>
      </c>
      <c r="C553">
        <v>311916148.19858062</v>
      </c>
      <c r="D553">
        <v>303611032.90795451</v>
      </c>
      <c r="E553">
        <v>125251228.82882883</v>
      </c>
      <c r="F553">
        <v>4721171.1711711762</v>
      </c>
      <c r="G553">
        <v>71</v>
      </c>
      <c r="H553">
        <v>76</v>
      </c>
      <c r="K553">
        <v>91</v>
      </c>
      <c r="L553">
        <v>105</v>
      </c>
      <c r="M553">
        <v>41900450.45045045</v>
      </c>
      <c r="N553">
        <v>51146846.846846849</v>
      </c>
      <c r="O553">
        <v>81505754.954954967</v>
      </c>
      <c r="P553">
        <v>83307405.405405402</v>
      </c>
      <c r="Q553">
        <v>34647387.387387387</v>
      </c>
      <c r="R553">
        <v>42261711.711711705</v>
      </c>
      <c r="S553">
        <v>21972</v>
      </c>
      <c r="T553">
        <v>23058</v>
      </c>
    </row>
    <row r="554" spans="1:20" x14ac:dyDescent="0.35">
      <c r="A554" s="7" t="s">
        <v>645</v>
      </c>
      <c r="B554" s="12" t="s">
        <v>307</v>
      </c>
      <c r="C554">
        <v>97184140.362279996</v>
      </c>
      <c r="D554">
        <v>94925531.683281645</v>
      </c>
      <c r="E554">
        <v>459459.459459459</v>
      </c>
      <c r="F554">
        <v>854054.05405405501</v>
      </c>
      <c r="G554">
        <v>11</v>
      </c>
      <c r="H554">
        <v>6</v>
      </c>
      <c r="K554">
        <v>12</v>
      </c>
      <c r="L554">
        <v>7</v>
      </c>
      <c r="M554">
        <v>1598198.198198199</v>
      </c>
      <c r="N554">
        <v>2015315.315315315</v>
      </c>
      <c r="O554">
        <v>16515045.045045046</v>
      </c>
      <c r="P554">
        <v>16023362.612612613</v>
      </c>
      <c r="Q554">
        <v>1984684.6846846859</v>
      </c>
      <c r="R554">
        <v>2030720.72072072</v>
      </c>
      <c r="S554">
        <v>5190</v>
      </c>
      <c r="T554">
        <v>5154</v>
      </c>
    </row>
    <row r="555" spans="1:20" x14ac:dyDescent="0.35">
      <c r="A555" s="7" t="s">
        <v>13</v>
      </c>
      <c r="B555" s="12" t="s">
        <v>158</v>
      </c>
      <c r="C555">
        <v>117220946.34881377</v>
      </c>
      <c r="D555">
        <v>104777150.21955962</v>
      </c>
      <c r="E555">
        <v>3750000.0000000028</v>
      </c>
      <c r="F555">
        <v>76745945.945945948</v>
      </c>
      <c r="G555">
        <v>11</v>
      </c>
      <c r="H555">
        <v>8</v>
      </c>
      <c r="K555">
        <v>32</v>
      </c>
      <c r="L555">
        <v>93</v>
      </c>
      <c r="M555">
        <v>30856531.531531531</v>
      </c>
      <c r="N555">
        <v>28175630.630630631</v>
      </c>
      <c r="O555">
        <v>65109824.324324325</v>
      </c>
      <c r="P555">
        <v>58492702.702702701</v>
      </c>
      <c r="Q555">
        <v>22733333.333333332</v>
      </c>
      <c r="R555">
        <v>24503423.423423424</v>
      </c>
      <c r="S555">
        <v>7350</v>
      </c>
      <c r="T555">
        <v>6854</v>
      </c>
    </row>
    <row r="556" spans="1:20" x14ac:dyDescent="0.35">
      <c r="A556" s="7" t="s">
        <v>646</v>
      </c>
      <c r="B556" s="12" t="s">
        <v>121</v>
      </c>
      <c r="C556">
        <v>77360276.353108779</v>
      </c>
      <c r="D556">
        <v>82105693.509299874</v>
      </c>
      <c r="E556">
        <v>900.900900901</v>
      </c>
      <c r="F556">
        <v>68468.468468467996</v>
      </c>
      <c r="G556">
        <v>17</v>
      </c>
      <c r="H556">
        <v>14</v>
      </c>
      <c r="K556">
        <v>18</v>
      </c>
      <c r="L556">
        <v>16</v>
      </c>
      <c r="M556">
        <v>181081.08108108101</v>
      </c>
      <c r="N556">
        <v>252252.25225225199</v>
      </c>
      <c r="O556">
        <v>6381603.6036036033</v>
      </c>
      <c r="P556">
        <v>6740292.7927927924</v>
      </c>
      <c r="Q556">
        <v>61261.261261261003</v>
      </c>
      <c r="R556">
        <v>213963.96396396399</v>
      </c>
      <c r="S556">
        <v>3058</v>
      </c>
      <c r="T556">
        <v>3288</v>
      </c>
    </row>
    <row r="557" spans="1:20" x14ac:dyDescent="0.35">
      <c r="A557" s="7" t="s">
        <v>647</v>
      </c>
      <c r="B557" s="12" t="s">
        <v>315</v>
      </c>
      <c r="C557">
        <v>28602700.789155118</v>
      </c>
      <c r="D557">
        <v>24857744.646520354</v>
      </c>
      <c r="E557">
        <v>323423.42342342302</v>
      </c>
      <c r="F557">
        <v>274774.77477477398</v>
      </c>
      <c r="G557">
        <v>5</v>
      </c>
      <c r="H557">
        <v>2</v>
      </c>
      <c r="K557">
        <v>5</v>
      </c>
      <c r="L557">
        <v>4</v>
      </c>
      <c r="M557">
        <v>668018.01801801997</v>
      </c>
      <c r="N557">
        <v>2278378.3783783768</v>
      </c>
      <c r="O557">
        <v>6166824.3243243247</v>
      </c>
      <c r="P557">
        <v>6342225.225225226</v>
      </c>
      <c r="Q557">
        <v>2245315.3153153169</v>
      </c>
      <c r="R557">
        <v>3567927.927927929</v>
      </c>
      <c r="S557">
        <v>1369</v>
      </c>
      <c r="T557">
        <v>1239</v>
      </c>
    </row>
    <row r="558" spans="1:20" x14ac:dyDescent="0.35">
      <c r="A558" s="7" t="s">
        <v>648</v>
      </c>
      <c r="B558" s="12" t="s">
        <v>260</v>
      </c>
      <c r="C558">
        <v>70440653.223622873</v>
      </c>
      <c r="D558">
        <v>67146742.677724451</v>
      </c>
      <c r="E558">
        <v>146216.21621621601</v>
      </c>
      <c r="F558">
        <v>519144.14414414502</v>
      </c>
      <c r="G558">
        <v>16</v>
      </c>
      <c r="H558">
        <v>17</v>
      </c>
      <c r="K558">
        <v>17</v>
      </c>
      <c r="L558">
        <v>22</v>
      </c>
      <c r="M558">
        <v>12758828.828828828</v>
      </c>
      <c r="N558">
        <v>13645045.045045044</v>
      </c>
      <c r="O558">
        <v>21887927.927927926</v>
      </c>
      <c r="P558">
        <v>22065054.054054055</v>
      </c>
      <c r="Q558">
        <v>10138738.738738738</v>
      </c>
      <c r="R558">
        <v>11179909.90990991</v>
      </c>
      <c r="S558">
        <v>4327</v>
      </c>
      <c r="T558">
        <v>4278</v>
      </c>
    </row>
    <row r="559" spans="1:20" x14ac:dyDescent="0.35">
      <c r="A559" s="7" t="s">
        <v>649</v>
      </c>
      <c r="B559" s="12" t="s">
        <v>224</v>
      </c>
      <c r="C559">
        <v>73659069.147101462</v>
      </c>
      <c r="D559">
        <v>65137179.034466296</v>
      </c>
      <c r="E559">
        <v>25675.675675676001</v>
      </c>
      <c r="F559">
        <v>331306.30630630802</v>
      </c>
      <c r="G559">
        <v>12</v>
      </c>
      <c r="H559">
        <v>12</v>
      </c>
      <c r="K559">
        <v>16</v>
      </c>
      <c r="L559">
        <v>17</v>
      </c>
      <c r="M559">
        <v>4120990.9909909889</v>
      </c>
      <c r="N559">
        <v>6696396.3963963939</v>
      </c>
      <c r="O559">
        <v>14887927.927927928</v>
      </c>
      <c r="P559">
        <v>15422468.468468469</v>
      </c>
      <c r="Q559">
        <v>3338558.5585585572</v>
      </c>
      <c r="R559">
        <v>6996306.3063063025</v>
      </c>
      <c r="S559">
        <v>5481</v>
      </c>
      <c r="T559">
        <v>5843</v>
      </c>
    </row>
    <row r="560" spans="1:20" x14ac:dyDescent="0.35">
      <c r="A560" s="7" t="s">
        <v>650</v>
      </c>
      <c r="B560" s="12" t="s">
        <v>224</v>
      </c>
      <c r="C560">
        <v>62127659.963984765</v>
      </c>
      <c r="D560">
        <v>53437968.846092105</v>
      </c>
      <c r="E560">
        <v>17117.117117116999</v>
      </c>
      <c r="F560">
        <v>27027.027027028002</v>
      </c>
      <c r="G560">
        <v>4</v>
      </c>
      <c r="H560">
        <v>8</v>
      </c>
      <c r="K560">
        <v>5</v>
      </c>
      <c r="L560">
        <v>9</v>
      </c>
      <c r="M560">
        <v>2008108.108108107</v>
      </c>
      <c r="N560">
        <v>837837.83783783799</v>
      </c>
      <c r="O560">
        <v>7895360.3603603607</v>
      </c>
      <c r="P560">
        <v>8467693.6936936956</v>
      </c>
      <c r="Q560">
        <v>1441351.3513513519</v>
      </c>
      <c r="R560">
        <v>1291171.1711711721</v>
      </c>
      <c r="S560">
        <v>3118</v>
      </c>
      <c r="T560">
        <v>3174</v>
      </c>
    </row>
    <row r="561" spans="1:20" x14ac:dyDescent="0.35">
      <c r="A561" s="7" t="s">
        <v>651</v>
      </c>
      <c r="B561" s="12" t="s">
        <v>224</v>
      </c>
      <c r="C561">
        <v>228929873.86874002</v>
      </c>
      <c r="D561">
        <v>206116031.51721233</v>
      </c>
      <c r="E561">
        <v>2325207.2072072132</v>
      </c>
      <c r="F561">
        <v>2552475.675675679</v>
      </c>
      <c r="G561">
        <v>51</v>
      </c>
      <c r="H561">
        <v>50</v>
      </c>
      <c r="I561">
        <v>2</v>
      </c>
      <c r="K561">
        <v>78</v>
      </c>
      <c r="L561">
        <v>77</v>
      </c>
      <c r="M561">
        <v>32242972.972972974</v>
      </c>
      <c r="N561">
        <v>28389009.009009007</v>
      </c>
      <c r="O561">
        <v>51651414.414414413</v>
      </c>
      <c r="P561">
        <v>53291828.828828834</v>
      </c>
      <c r="Q561">
        <v>23180810.810810819</v>
      </c>
      <c r="R561">
        <v>22233513.513513513</v>
      </c>
      <c r="S561">
        <v>18330</v>
      </c>
      <c r="T561">
        <v>17841</v>
      </c>
    </row>
    <row r="562" spans="1:20" x14ac:dyDescent="0.35">
      <c r="A562" s="7" t="s">
        <v>652</v>
      </c>
      <c r="B562" s="12" t="s">
        <v>224</v>
      </c>
      <c r="C562">
        <v>27756413.682903241</v>
      </c>
      <c r="D562">
        <v>26858404.647620611</v>
      </c>
      <c r="E562">
        <v>41891891.891891889</v>
      </c>
      <c r="F562">
        <v>13513.513513514001</v>
      </c>
      <c r="G562">
        <v>8</v>
      </c>
      <c r="H562">
        <v>7</v>
      </c>
      <c r="K562">
        <v>10</v>
      </c>
      <c r="L562">
        <v>8</v>
      </c>
      <c r="M562">
        <v>2270495.4954954949</v>
      </c>
      <c r="N562">
        <v>756306.30630630697</v>
      </c>
      <c r="O562">
        <v>4306036.036036036</v>
      </c>
      <c r="P562">
        <v>4301945.9459459456</v>
      </c>
      <c r="Q562">
        <v>338468.468468468</v>
      </c>
      <c r="R562">
        <v>322792.79279279202</v>
      </c>
      <c r="S562">
        <v>1800</v>
      </c>
      <c r="T562">
        <v>1728</v>
      </c>
    </row>
    <row r="563" spans="1:20" x14ac:dyDescent="0.35">
      <c r="A563" s="7" t="s">
        <v>653</v>
      </c>
      <c r="B563" s="12" t="s">
        <v>96</v>
      </c>
      <c r="C563">
        <v>137153805.72827148</v>
      </c>
      <c r="D563">
        <v>131059647.17763601</v>
      </c>
      <c r="E563">
        <v>36036.036036037003</v>
      </c>
      <c r="F563">
        <v>94594.594594594993</v>
      </c>
      <c r="G563">
        <v>23</v>
      </c>
      <c r="H563">
        <v>48</v>
      </c>
      <c r="K563">
        <v>25</v>
      </c>
      <c r="L563">
        <v>60</v>
      </c>
      <c r="M563">
        <v>4587387.3873873856</v>
      </c>
      <c r="N563">
        <v>3992792.7927927952</v>
      </c>
      <c r="O563">
        <v>16947918.918918919</v>
      </c>
      <c r="P563">
        <v>18094504.504504506</v>
      </c>
      <c r="Q563">
        <v>5750270.2702702703</v>
      </c>
      <c r="R563">
        <v>2675585.5855855881</v>
      </c>
      <c r="S563">
        <v>8870</v>
      </c>
      <c r="T563">
        <v>8605</v>
      </c>
    </row>
    <row r="564" spans="1:20" x14ac:dyDescent="0.35">
      <c r="A564" s="7" t="s">
        <v>654</v>
      </c>
      <c r="B564" s="12" t="s">
        <v>66</v>
      </c>
      <c r="C564">
        <v>79608231.285883516</v>
      </c>
      <c r="D564">
        <v>84366765.195013449</v>
      </c>
      <c r="E564">
        <v>1648648.6486486481</v>
      </c>
      <c r="F564">
        <v>921621.62162162201</v>
      </c>
      <c r="G564">
        <v>23</v>
      </c>
      <c r="H564">
        <v>30</v>
      </c>
      <c r="K564">
        <v>27</v>
      </c>
      <c r="L564">
        <v>61</v>
      </c>
      <c r="M564">
        <v>8104774.7747747749</v>
      </c>
      <c r="N564">
        <v>11846846.846846849</v>
      </c>
      <c r="O564">
        <v>51399954.954954952</v>
      </c>
      <c r="P564">
        <v>52318639.639639638</v>
      </c>
      <c r="Q564">
        <v>8405045.0450450461</v>
      </c>
      <c r="R564">
        <v>13078108.108108111</v>
      </c>
      <c r="S564">
        <v>5439</v>
      </c>
      <c r="T564">
        <v>5463</v>
      </c>
    </row>
    <row r="565" spans="1:20" x14ac:dyDescent="0.35">
      <c r="A565" s="7" t="s">
        <v>655</v>
      </c>
      <c r="B565" s="12" t="s">
        <v>68</v>
      </c>
      <c r="C565">
        <v>138243622.16131255</v>
      </c>
      <c r="D565">
        <v>116391984.9203632</v>
      </c>
      <c r="E565">
        <v>369189.189189189</v>
      </c>
      <c r="F565">
        <v>496396.39639639697</v>
      </c>
      <c r="G565">
        <v>30</v>
      </c>
      <c r="H565">
        <v>15</v>
      </c>
      <c r="K565">
        <v>34</v>
      </c>
      <c r="L565">
        <v>18</v>
      </c>
      <c r="M565">
        <v>10752792.792792792</v>
      </c>
      <c r="N565">
        <v>5427477.4774774769</v>
      </c>
      <c r="O565">
        <v>18024878.37837838</v>
      </c>
      <c r="P565">
        <v>16554648.648648649</v>
      </c>
      <c r="Q565">
        <v>6560180.1801801808</v>
      </c>
      <c r="R565">
        <v>4257747.7477477482</v>
      </c>
      <c r="S565">
        <v>7197</v>
      </c>
      <c r="T565">
        <v>6901</v>
      </c>
    </row>
    <row r="566" spans="1:20" x14ac:dyDescent="0.35">
      <c r="A566" s="7" t="s">
        <v>14</v>
      </c>
      <c r="B566" s="12" t="s">
        <v>158</v>
      </c>
      <c r="C566">
        <v>61332323.80188451</v>
      </c>
      <c r="D566">
        <v>53905301.196377218</v>
      </c>
      <c r="E566">
        <v>40540.540540542002</v>
      </c>
      <c r="F566">
        <v>657657.65765765903</v>
      </c>
      <c r="G566">
        <v>7</v>
      </c>
      <c r="H566">
        <v>7</v>
      </c>
      <c r="K566">
        <v>7</v>
      </c>
      <c r="L566">
        <v>9</v>
      </c>
      <c r="M566">
        <v>4184684.684684685</v>
      </c>
      <c r="N566">
        <v>22231531.531531531</v>
      </c>
      <c r="O566">
        <v>20043144.144144144</v>
      </c>
      <c r="P566">
        <v>18619711.711711712</v>
      </c>
      <c r="Q566">
        <v>3512342.3423423418</v>
      </c>
      <c r="R566">
        <v>24953783.783783782</v>
      </c>
      <c r="S566">
        <v>4042</v>
      </c>
      <c r="T566">
        <v>4038</v>
      </c>
    </row>
    <row r="567" spans="1:20" x14ac:dyDescent="0.35">
      <c r="A567" s="7" t="s">
        <v>656</v>
      </c>
      <c r="B567" s="12" t="s">
        <v>304</v>
      </c>
      <c r="C567">
        <v>47854224.443817824</v>
      </c>
      <c r="D567">
        <v>62348745.103773855</v>
      </c>
      <c r="E567">
        <v>11711.711711712</v>
      </c>
      <c r="F567">
        <v>473873.87387387297</v>
      </c>
      <c r="G567">
        <v>21</v>
      </c>
      <c r="H567">
        <v>10</v>
      </c>
      <c r="K567">
        <v>23</v>
      </c>
      <c r="L567">
        <v>12</v>
      </c>
      <c r="M567">
        <v>11858558.558558557</v>
      </c>
      <c r="N567">
        <v>11229729.729729729</v>
      </c>
      <c r="O567">
        <v>16450486.486486485</v>
      </c>
      <c r="P567">
        <v>15360531.531531531</v>
      </c>
      <c r="Q567">
        <v>10109549.549549552</v>
      </c>
      <c r="R567">
        <v>8801711.7117117122</v>
      </c>
      <c r="S567">
        <v>3356</v>
      </c>
      <c r="T567">
        <v>3033</v>
      </c>
    </row>
    <row r="568" spans="1:20" x14ac:dyDescent="0.35">
      <c r="A568" s="7" t="s">
        <v>657</v>
      </c>
      <c r="B568" s="12" t="s">
        <v>48</v>
      </c>
      <c r="C568">
        <v>87160599.810498253</v>
      </c>
      <c r="D568">
        <v>74213411.914980933</v>
      </c>
      <c r="E568">
        <v>283783.78378378402</v>
      </c>
      <c r="F568">
        <v>698198.19819819904</v>
      </c>
      <c r="G568">
        <v>2</v>
      </c>
      <c r="H568">
        <v>7</v>
      </c>
      <c r="K568">
        <v>3</v>
      </c>
      <c r="L568">
        <v>18</v>
      </c>
      <c r="M568">
        <v>6053873.8738738745</v>
      </c>
      <c r="N568">
        <v>17063603.603603601</v>
      </c>
      <c r="O568">
        <v>25534270.270270273</v>
      </c>
      <c r="P568">
        <v>21876513.513513513</v>
      </c>
      <c r="Q568">
        <v>6443873.8738738764</v>
      </c>
      <c r="R568">
        <v>11820900.900900897</v>
      </c>
      <c r="S568">
        <v>3332</v>
      </c>
      <c r="T568">
        <v>3103</v>
      </c>
    </row>
    <row r="569" spans="1:20" x14ac:dyDescent="0.35">
      <c r="A569" s="7" t="s">
        <v>658</v>
      </c>
      <c r="B569" s="12" t="s">
        <v>54</v>
      </c>
      <c r="C569">
        <v>25699668.581035916</v>
      </c>
      <c r="D569">
        <v>25324130.967851713</v>
      </c>
      <c r="E569">
        <v>194594.59459459499</v>
      </c>
      <c r="F569">
        <v>46846.846846847002</v>
      </c>
      <c r="G569">
        <v>4</v>
      </c>
      <c r="K569">
        <v>4</v>
      </c>
      <c r="M569">
        <v>3890090.090090089</v>
      </c>
      <c r="N569">
        <v>1871171.1711711709</v>
      </c>
      <c r="O569">
        <v>5149819.8198198201</v>
      </c>
      <c r="P569">
        <v>5944108.1081081079</v>
      </c>
      <c r="Q569">
        <v>2824144.1441441448</v>
      </c>
      <c r="R569">
        <v>2114504.5045045041</v>
      </c>
      <c r="S569">
        <v>1622</v>
      </c>
      <c r="T569">
        <v>1584</v>
      </c>
    </row>
    <row r="570" spans="1:20" x14ac:dyDescent="0.35">
      <c r="A570" s="7" t="s">
        <v>659</v>
      </c>
      <c r="B570" s="12" t="s">
        <v>50</v>
      </c>
      <c r="C570">
        <v>114045865.65448868</v>
      </c>
      <c r="D570">
        <v>109535305.16254662</v>
      </c>
      <c r="E570">
        <v>247477.47747747801</v>
      </c>
      <c r="F570">
        <v>188288.28828829099</v>
      </c>
      <c r="G570">
        <v>9</v>
      </c>
      <c r="H570">
        <v>12</v>
      </c>
      <c r="K570">
        <v>12</v>
      </c>
      <c r="L570">
        <v>25</v>
      </c>
      <c r="M570">
        <v>31606846.846846849</v>
      </c>
      <c r="N570">
        <v>28037297.297297295</v>
      </c>
      <c r="O570">
        <v>53046216.216216214</v>
      </c>
      <c r="P570">
        <v>50948144.144144148</v>
      </c>
      <c r="Q570">
        <v>28000900.900900904</v>
      </c>
      <c r="R570">
        <v>21749459.459459461</v>
      </c>
      <c r="S570">
        <v>5869</v>
      </c>
      <c r="T570">
        <v>5797</v>
      </c>
    </row>
    <row r="571" spans="1:20" x14ac:dyDescent="0.35">
      <c r="A571" s="7" t="s">
        <v>660</v>
      </c>
      <c r="B571" s="12" t="s">
        <v>83</v>
      </c>
      <c r="C571">
        <v>129423295.5094423</v>
      </c>
      <c r="D571">
        <v>137118044.1253657</v>
      </c>
      <c r="E571">
        <v>9119009.0090090074</v>
      </c>
      <c r="F571">
        <v>933333.33333333395</v>
      </c>
      <c r="G571">
        <v>32</v>
      </c>
      <c r="H571">
        <v>35</v>
      </c>
      <c r="I571">
        <v>2</v>
      </c>
      <c r="K571">
        <v>38</v>
      </c>
      <c r="L571">
        <v>44</v>
      </c>
      <c r="M571">
        <v>10952342.342342339</v>
      </c>
      <c r="N571">
        <v>38442792.79279279</v>
      </c>
      <c r="O571">
        <v>30253756.756756756</v>
      </c>
      <c r="P571">
        <v>35648090.090090089</v>
      </c>
      <c r="Q571">
        <v>9273873.8738738727</v>
      </c>
      <c r="R571">
        <v>12243153.153153157</v>
      </c>
      <c r="S571">
        <v>8593</v>
      </c>
      <c r="T571">
        <v>9482</v>
      </c>
    </row>
    <row r="572" spans="1:20" x14ac:dyDescent="0.35">
      <c r="A572" s="14" t="s">
        <v>667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667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667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2026-09-09T10:39:51Z</dcterms:modified>
</cp:coreProperties>
</file>