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Sheet1!$A$5:$K$11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" l="1"/>
  <c r="K17" i="2"/>
  <c r="I17" i="2" l="1"/>
  <c r="H17" i="2"/>
  <c r="G17" i="2"/>
  <c r="F17" i="2"/>
  <c r="E17" i="2"/>
  <c r="D17" i="2"/>
  <c r="C17" i="2"/>
  <c r="B17" i="2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L6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D6" i="1"/>
  <c r="C6" i="1"/>
</calcChain>
</file>

<file path=xl/sharedStrings.xml><?xml version="1.0" encoding="utf-8"?>
<sst xmlns="http://schemas.openxmlformats.org/spreadsheetml/2006/main" count="66" uniqueCount="40">
  <si>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</si>
  <si>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</si>
  <si>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</si>
  <si>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</si>
  <si>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</si>
  <si>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</si>
  <si>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</si>
  <si>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</si>
  <si>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</si>
  <si>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</si>
  <si>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</si>
  <si>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</si>
  <si>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</si>
  <si>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</si>
  <si>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</si>
  <si>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</si>
  <si>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</si>
  <si>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</si>
  <si>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</si>
  <si>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</si>
  <si>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</si>
  <si>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</si>
  <si>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</si>
  <si>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</si>
  <si>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</si>
  <si>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</si>
  <si>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</si>
  <si>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</si>
  <si>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Row Labels</t>
  </si>
  <si>
    <t>Sum of Trade Supply</t>
  </si>
  <si>
    <t>Sum of Tertiary B#</t>
  </si>
  <si>
    <t>Sum of Secondary</t>
  </si>
  <si>
    <t>Sum of Primary</t>
  </si>
  <si>
    <t>Sum of Prepaid Rev</t>
  </si>
  <si>
    <t>Grand Total</t>
  </si>
  <si>
    <t>Sum of Trade Supply2 LMTD</t>
  </si>
  <si>
    <t>Sum of Tertiary B#2 LMTD</t>
  </si>
  <si>
    <t xml:space="preserve"> LMTD Sum of Secondary2</t>
  </si>
  <si>
    <t>Sum of Primary2 LMTD</t>
  </si>
  <si>
    <t>Sum of Prepaid Rev2 LMTD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</si>
</sst>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right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5" fillId="5" borderId="2" xfId="1" applyNumberFormat="1" applyFont="1" applyFill="1" applyBorder="1"/>
    <xf numFmtId="164" fontId="0" fillId="0" borderId="0" xfId="1" applyNumberFormat="1" applyFont="1" applyAlignment="1">
      <alignment horizontal="left"/>
    </xf>
    <xf numFmtId="164" fontId="5" fillId="5" borderId="3" xfId="1" applyNumberFormat="1" applyFont="1" applyFill="1" applyBorder="1" applyAlignment="1">
      <alignment horizontal="left"/>
    </xf>
    <xf numFmtId="164" fontId="5" fillId="5" borderId="3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L19"/>
  <sheetViews>
    <sheetView topLeftCell="A5" zoomScale="44" workbookViewId="0">
      <selection activeCell="A16" sqref="A16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6" bestFit="1" customWidth="1"/>
    <col min="3" max="12" width="28.6328125" style="6" customWidth="1"/>
    <col min="13" max="16384" width="11.7265625" style="2"/>
  </cols>
  <sheetData>
    <row r="4" spans="1:12" ht="64.5" customHeight="1" x14ac:dyDescent="0.35"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19</v>
      </c>
      <c r="F5" s="3" t="s">
        <v>24</v>
      </c>
      <c r="G5" s="3" t="s">
        <v>20</v>
      </c>
      <c r="H5" s="3" t="s">
        <v>25</v>
      </c>
      <c r="I5" s="3" t="s">
        <v>21</v>
      </c>
      <c r="J5" s="3" t="s">
        <v>26</v>
      </c>
      <c r="K5" s="3" t="s">
        <v>22</v>
      </c>
      <c r="L5" s="3" t="s">
        <v>27</v>
      </c>
    </row>
    <row r="6" spans="1:12" ht="64.5" customHeight="1" x14ac:dyDescent="0.35">
      <c r="A6" s="4" t="s">
        <v>2</v>
      </c>
      <c r="B6" s="1" t="s">
        <v>17</v>
      </c>
      <c r="C6" s="5">
        <f>VLOOKUP(A:A,MASTER!A:J,10,0)</f>
        <v>8660479.7989407126</v>
      </c>
      <c r="D6" s="5">
        <f>VLOOKUP(A:A,MASTER!A:K,11,0)</f>
        <v>7510668.6871368838</v>
      </c>
      <c r="E6" s="5">
        <f>VLOOKUP(A:A,MASTER!A:H,8,0)</f>
        <v>232469742.34234235</v>
      </c>
      <c r="F6" s="5">
        <f>VLOOKUP(A:A,MASTER!A:I,9,0)</f>
        <v>148396432.43243244</v>
      </c>
      <c r="G6" s="5">
        <f>VLOOKUP(A:A,MASTER!A:F,6,0)</f>
        <v>533558.55855855905</v>
      </c>
      <c r="H6" s="5">
        <f>VLOOKUP(A:A,MASTER!A:G,7,0)</f>
        <v>158558.558558558</v>
      </c>
      <c r="I6" s="5">
        <f>VLOOKUP(A:A,MASTER!A:D,4,0)</f>
        <v>4872702.702702703</v>
      </c>
      <c r="J6" s="5">
        <f>VLOOKUP(A:A,MASTER!A:E,5,0)</f>
        <v>4088639.6396396402</v>
      </c>
      <c r="K6" s="5">
        <f>VLOOKUP(A:A,MASTER!A:B,2,0)</f>
        <v>157657.65765765801</v>
      </c>
      <c r="L6" s="5">
        <f>VLOOKUP(A:A,MASTER!A:C,3,0)</f>
        <v>118918.91891891899</v>
      </c>
    </row>
    <row r="7" spans="1:12" ht="64.5" customHeight="1" x14ac:dyDescent="0.35">
      <c r="A7" s="4" t="s">
        <v>6</v>
      </c>
      <c r="B7" s="1" t="s">
        <v>17</v>
      </c>
      <c r="C7" s="5">
        <f>VLOOKUP(A:A,MASTER!A:J,10,0)</f>
        <v>221769958.63266039</v>
      </c>
      <c r="D7" s="5">
        <f>VLOOKUP(A:A,MASTER!A:K,11,0)</f>
        <v>229044753.07596684</v>
      </c>
      <c r="E7" s="5">
        <f>VLOOKUP(A:A,MASTER!A:H,8,0)</f>
        <v>4406306.3063063063</v>
      </c>
      <c r="F7" s="5">
        <f>VLOOKUP(A:A,MASTER!A:I,9,0)</f>
        <v>4004504.5045045</v>
      </c>
      <c r="G7" s="5">
        <f>VLOOKUP(A:A,MASTER!A:F,6,0)</f>
        <v>112500000</v>
      </c>
      <c r="H7" s="5">
        <f>VLOOKUP(A:A,MASTER!A:G,7,0)</f>
        <v>155177207.2072072</v>
      </c>
      <c r="I7" s="5">
        <f>VLOOKUP(A:A,MASTER!A:D,4,0)</f>
        <v>152323765.76576576</v>
      </c>
      <c r="J7" s="5">
        <f>VLOOKUP(A:A,MASTER!A:E,5,0)</f>
        <v>150183072.07207206</v>
      </c>
      <c r="K7" s="5">
        <f>VLOOKUP(A:A,MASTER!A:B,2,0)</f>
        <v>105400720.72072072</v>
      </c>
      <c r="L7" s="5">
        <f>VLOOKUP(A:A,MASTER!A:C,3,0)</f>
        <v>140731621.62162161</v>
      </c>
    </row>
    <row r="8" spans="1:12" ht="64.5" customHeight="1" x14ac:dyDescent="0.35">
      <c r="A8" s="4" t="s">
        <v>7</v>
      </c>
      <c r="B8" s="1" t="s">
        <v>17</v>
      </c>
      <c r="C8" s="5">
        <f>VLOOKUP(A:A,MASTER!A:J,10,0)</f>
        <v>55784970.612387374</v>
      </c>
      <c r="D8" s="5">
        <f>VLOOKUP(A:A,MASTER!A:K,11,0)</f>
        <v>55050728.680071183</v>
      </c>
      <c r="E8" s="5">
        <f>VLOOKUP(A:A,MASTER!A:H,8,0)</f>
        <v>152252.25225225301</v>
      </c>
      <c r="F8" s="5">
        <f>VLOOKUP(A:A,MASTER!A:I,9,0)</f>
        <v>37837.837837838</v>
      </c>
      <c r="G8" s="5">
        <f>VLOOKUP(A:A,MASTER!A:F,6,0)</f>
        <v>7012612.6126126107</v>
      </c>
      <c r="H8" s="5">
        <f>VLOOKUP(A:A,MASTER!A:G,7,0)</f>
        <v>19690990.990990993</v>
      </c>
      <c r="I8" s="5">
        <f>VLOOKUP(A:A,MASTER!A:D,4,0)</f>
        <v>39424072.072072074</v>
      </c>
      <c r="J8" s="5">
        <f>VLOOKUP(A:A,MASTER!A:E,5,0)</f>
        <v>35650486.486486487</v>
      </c>
      <c r="K8" s="5">
        <f>VLOOKUP(A:A,MASTER!A:B,2,0)</f>
        <v>8717387.3873873875</v>
      </c>
      <c r="L8" s="5">
        <f>VLOOKUP(A:A,MASTER!A:C,3,0)</f>
        <v>20225225.225225225</v>
      </c>
    </row>
    <row r="9" spans="1:12" ht="64.5" customHeight="1" x14ac:dyDescent="0.35">
      <c r="A9" s="4" t="s">
        <v>10</v>
      </c>
      <c r="B9" s="1" t="s">
        <v>17</v>
      </c>
      <c r="C9" s="5">
        <f>VLOOKUP(A:A,MASTER!A:J,10,0)</f>
        <v>59447255.050917439</v>
      </c>
      <c r="D9" s="5">
        <f>VLOOKUP(A:A,MASTER!A:K,11,0)</f>
        <v>64839617.028884411</v>
      </c>
      <c r="E9" s="5">
        <f>VLOOKUP(A:A,MASTER!A:H,8,0)</f>
        <v>0</v>
      </c>
      <c r="F9" s="5">
        <f>VLOOKUP(A:A,MASTER!A:I,9,0)</f>
        <v>0</v>
      </c>
      <c r="G9" s="5">
        <f>VLOOKUP(A:A,MASTER!A:F,6,0)</f>
        <v>0</v>
      </c>
      <c r="H9" s="5">
        <f>VLOOKUP(A:A,MASTER!A:G,7,0)</f>
        <v>0</v>
      </c>
      <c r="I9" s="5">
        <f>VLOOKUP(A:A,MASTER!A:D,4,0)</f>
        <v>35940792.79279279</v>
      </c>
      <c r="J9" s="5">
        <f>VLOOKUP(A:A,MASTER!A:E,5,0)</f>
        <v>39796477.477477483</v>
      </c>
      <c r="K9" s="5">
        <f>VLOOKUP(A:A,MASTER!A:B,2,0)</f>
        <v>11081.081081081</v>
      </c>
      <c r="L9" s="5">
        <f>VLOOKUP(A:A,MASTER!A:C,3,0)</f>
        <v>250720.72072072001</v>
      </c>
    </row>
    <row r="10" spans="1:12" ht="64.5" customHeight="1" x14ac:dyDescent="0.35">
      <c r="A10" s="4" t="s">
        <v>11</v>
      </c>
      <c r="B10" s="1" t="s">
        <v>17</v>
      </c>
      <c r="C10" s="5">
        <f>VLOOKUP(A:A,MASTER!A:J,10,0)</f>
        <v>51389036.302047253</v>
      </c>
      <c r="D10" s="5">
        <f>VLOOKUP(A:A,MASTER!A:K,11,0)</f>
        <v>51054003.623513147</v>
      </c>
      <c r="E10" s="5">
        <f>VLOOKUP(A:A,MASTER!A:H,8,0)</f>
        <v>18018.018018018</v>
      </c>
      <c r="F10" s="5">
        <f>VLOOKUP(A:A,MASTER!A:I,9,0)</f>
        <v>18018.018018018</v>
      </c>
      <c r="G10" s="5">
        <f>VLOOKUP(A:A,MASTER!A:F,6,0)</f>
        <v>1819819.8198198189</v>
      </c>
      <c r="H10" s="5">
        <f>VLOOKUP(A:A,MASTER!A:G,7,0)</f>
        <v>648648.64864864899</v>
      </c>
      <c r="I10" s="5">
        <f>VLOOKUP(A:A,MASTER!A:D,4,0)</f>
        <v>17627540.540540539</v>
      </c>
      <c r="J10" s="5">
        <f>VLOOKUP(A:A,MASTER!A:E,5,0)</f>
        <v>21593117.117117114</v>
      </c>
      <c r="K10" s="5">
        <f>VLOOKUP(A:A,MASTER!A:B,2,0)</f>
        <v>1335585.585585586</v>
      </c>
      <c r="L10" s="5">
        <f>VLOOKUP(A:A,MASTER!A:C,3,0)</f>
        <v>849729.72972973005</v>
      </c>
    </row>
    <row r="11" spans="1:12" ht="64.5" customHeight="1" x14ac:dyDescent="0.35">
      <c r="A11" s="4" t="s">
        <v>12</v>
      </c>
      <c r="B11" s="1" t="s">
        <v>17</v>
      </c>
      <c r="C11" s="5">
        <f>VLOOKUP(A:A,MASTER!A:J,10,0)</f>
        <v>33166530.840455465</v>
      </c>
      <c r="D11" s="5">
        <f>VLOOKUP(A:A,MASTER!A:K,11,0)</f>
        <v>35688394.586691581</v>
      </c>
      <c r="E11" s="5">
        <f>VLOOKUP(A:A,MASTER!A:H,8,0)</f>
        <v>279279.27927927999</v>
      </c>
      <c r="F11" s="5">
        <f>VLOOKUP(A:A,MASTER!A:I,9,0)</f>
        <v>100900.900900901</v>
      </c>
      <c r="G11" s="5">
        <f>VLOOKUP(A:A,MASTER!A:F,6,0)</f>
        <v>2981981.981981982</v>
      </c>
      <c r="H11" s="5">
        <f>VLOOKUP(A:A,MASTER!A:G,7,0)</f>
        <v>551351.35135135101</v>
      </c>
      <c r="I11" s="5">
        <f>VLOOKUP(A:A,MASTER!A:D,4,0)</f>
        <v>13945720.72072072</v>
      </c>
      <c r="J11" s="5">
        <f>VLOOKUP(A:A,MASTER!A:E,5,0)</f>
        <v>16015612.612612613</v>
      </c>
      <c r="K11" s="5">
        <f>VLOOKUP(A:A,MASTER!A:B,2,0)</f>
        <v>4705675.6756756762</v>
      </c>
      <c r="L11" s="5">
        <f>VLOOKUP(A:A,MASTER!A:C,3,0)</f>
        <v>1931531.5315315309</v>
      </c>
    </row>
    <row r="12" spans="1:12" ht="64.5" customHeight="1" x14ac:dyDescent="0.35">
      <c r="A12" s="4" t="s">
        <v>1</v>
      </c>
      <c r="B12" s="1" t="s">
        <v>16</v>
      </c>
      <c r="C12" s="5">
        <f>VLOOKUP(A:A,MASTER!A:J,10,0)</f>
        <v>132264920.29211617</v>
      </c>
      <c r="D12" s="5">
        <f>VLOOKUP(A:A,MASTER!A:K,11,0)</f>
        <v>142994835.09886238</v>
      </c>
      <c r="E12" s="5">
        <f>VLOOKUP(A:A,MASTER!A:H,8,0)</f>
        <v>315073894.5945946</v>
      </c>
      <c r="F12" s="5">
        <f>VLOOKUP(A:A,MASTER!A:I,9,0)</f>
        <v>256209569.36936939</v>
      </c>
      <c r="G12" s="5">
        <f>VLOOKUP(A:A,MASTER!A:F,6,0)</f>
        <v>41743063.063063063</v>
      </c>
      <c r="H12" s="5">
        <f>VLOOKUP(A:A,MASTER!A:G,7,0)</f>
        <v>57606306.306306303</v>
      </c>
      <c r="I12" s="5">
        <f>VLOOKUP(A:A,MASTER!A:D,4,0)</f>
        <v>64046747.747747742</v>
      </c>
      <c r="J12" s="5">
        <f>VLOOKUP(A:A,MASTER!A:E,5,0)</f>
        <v>65476054.054054059</v>
      </c>
      <c r="K12" s="5">
        <f>VLOOKUP(A:A,MASTER!A:B,2,0)</f>
        <v>16552522.522522526</v>
      </c>
      <c r="L12" s="5">
        <f>VLOOKUP(A:A,MASTER!A:C,3,0)</f>
        <v>19355630.630630631</v>
      </c>
    </row>
    <row r="13" spans="1:12" ht="64.5" customHeight="1" x14ac:dyDescent="0.35">
      <c r="A13" s="4" t="s">
        <v>3</v>
      </c>
      <c r="B13" s="1" t="s">
        <v>16</v>
      </c>
      <c r="C13" s="5">
        <f>VLOOKUP(A:A,MASTER!A:J,10,0)</f>
        <v>98339581.103002876</v>
      </c>
      <c r="D13" s="5">
        <f>VLOOKUP(A:A,MASTER!A:K,11,0)</f>
        <v>88025424.340662733</v>
      </c>
      <c r="E13" s="5">
        <f>VLOOKUP(A:A,MASTER!A:H,8,0)</f>
        <v>1364864.864864866</v>
      </c>
      <c r="F13" s="5">
        <f>VLOOKUP(A:A,MASTER!A:I,9,0)</f>
        <v>517567.56756756699</v>
      </c>
      <c r="G13" s="5">
        <f>VLOOKUP(A:A,MASTER!A:F,6,0)</f>
        <v>17967567.567567568</v>
      </c>
      <c r="H13" s="5">
        <f>VLOOKUP(A:A,MASTER!A:G,7,0)</f>
        <v>35318468.468468465</v>
      </c>
      <c r="I13" s="5">
        <f>VLOOKUP(A:A,MASTER!A:D,4,0)</f>
        <v>28004486.486486487</v>
      </c>
      <c r="J13" s="5">
        <f>VLOOKUP(A:A,MASTER!A:E,5,0)</f>
        <v>24938810.810810812</v>
      </c>
      <c r="K13" s="5">
        <f>VLOOKUP(A:A,MASTER!A:B,2,0)</f>
        <v>16709189.189189188</v>
      </c>
      <c r="L13" s="5">
        <f>VLOOKUP(A:A,MASTER!A:C,3,0)</f>
        <v>31392342.342342339</v>
      </c>
    </row>
    <row r="14" spans="1:12" ht="64.5" customHeight="1" x14ac:dyDescent="0.35">
      <c r="A14" s="4" t="s">
        <v>4</v>
      </c>
      <c r="B14" s="1" t="s">
        <v>16</v>
      </c>
      <c r="C14" s="5">
        <f>VLOOKUP(A:A,MASTER!A:J,10,0)</f>
        <v>62404702.44519119</v>
      </c>
      <c r="D14" s="5">
        <f>VLOOKUP(A:A,MASTER!A:K,11,0)</f>
        <v>59767927.222687922</v>
      </c>
      <c r="E14" s="5">
        <f>VLOOKUP(A:A,MASTER!A:H,8,0)</f>
        <v>581081.08108108304</v>
      </c>
      <c r="F14" s="5">
        <f>VLOOKUP(A:A,MASTER!A:I,9,0)</f>
        <v>681081.08108108095</v>
      </c>
      <c r="G14" s="5">
        <f>VLOOKUP(A:A,MASTER!A:F,6,0)</f>
        <v>18331531.531531531</v>
      </c>
      <c r="H14" s="5">
        <f>VLOOKUP(A:A,MASTER!A:G,7,0)</f>
        <v>17289189.189189188</v>
      </c>
      <c r="I14" s="5">
        <f>VLOOKUP(A:A,MASTER!A:D,4,0)</f>
        <v>21517324.324324325</v>
      </c>
      <c r="J14" s="5">
        <f>VLOOKUP(A:A,MASTER!A:E,5,0)</f>
        <v>23160972.972972974</v>
      </c>
      <c r="K14" s="5">
        <f>VLOOKUP(A:A,MASTER!A:B,2,0)</f>
        <v>18255495.495495494</v>
      </c>
      <c r="L14" s="5">
        <f>VLOOKUP(A:A,MASTER!A:C,3,0)</f>
        <v>18200990.990990993</v>
      </c>
    </row>
    <row r="15" spans="1:12" ht="64.5" customHeight="1" x14ac:dyDescent="0.35">
      <c r="A15" s="4" t="s">
        <v>5</v>
      </c>
      <c r="B15" s="1" t="s">
        <v>16</v>
      </c>
      <c r="C15" s="5">
        <f>VLOOKUP(A:A,MASTER!A:J,10,0)</f>
        <v>66338717.994545102</v>
      </c>
      <c r="D15" s="5">
        <f>VLOOKUP(A:A,MASTER!A:K,11,0)</f>
        <v>66872358.581491873</v>
      </c>
      <c r="E15" s="5">
        <f>VLOOKUP(A:A,MASTER!A:H,8,0)</f>
        <v>133333.33333333401</v>
      </c>
      <c r="F15" s="5">
        <f>VLOOKUP(A:A,MASTER!A:I,9,0)</f>
        <v>13513.513513514001</v>
      </c>
      <c r="G15" s="5">
        <f>VLOOKUP(A:A,MASTER!A:F,6,0)</f>
        <v>5870270.2702702703</v>
      </c>
      <c r="H15" s="5">
        <f>VLOOKUP(A:A,MASTER!A:G,7,0)</f>
        <v>10545045.045045046</v>
      </c>
      <c r="I15" s="5">
        <f>VLOOKUP(A:A,MASTER!A:D,4,0)</f>
        <v>26884432.432432432</v>
      </c>
      <c r="J15" s="5">
        <f>VLOOKUP(A:A,MASTER!A:E,5,0)</f>
        <v>27272828.828828827</v>
      </c>
      <c r="K15" s="5">
        <f>VLOOKUP(A:A,MASTER!A:B,2,0)</f>
        <v>5072072.072072072</v>
      </c>
      <c r="L15" s="5">
        <f>VLOOKUP(A:A,MASTER!A:C,3,0)</f>
        <v>9064594.594594596</v>
      </c>
    </row>
    <row r="16" spans="1:12" ht="64.5" customHeight="1" x14ac:dyDescent="0.35">
      <c r="A16" s="4" t="s">
        <v>8</v>
      </c>
      <c r="B16" s="1" t="s">
        <v>16</v>
      </c>
      <c r="C16" s="5">
        <f>VLOOKUP(A:A,MASTER!A:J,10,0)</f>
        <v>73767078.653999969</v>
      </c>
      <c r="D16" s="5">
        <f>VLOOKUP(A:A,MASTER!A:K,11,0)</f>
        <v>82122878.510911092</v>
      </c>
      <c r="E16" s="5">
        <f>VLOOKUP(A:A,MASTER!A:H,8,0)</f>
        <v>1076576.5765765789</v>
      </c>
      <c r="F16" s="5">
        <f>VLOOKUP(A:A,MASTER!A:I,9,0)</f>
        <v>1043243.243243242</v>
      </c>
      <c r="G16" s="5">
        <f>VLOOKUP(A:A,MASTER!A:F,6,0)</f>
        <v>12693693.693693696</v>
      </c>
      <c r="H16" s="5">
        <f>VLOOKUP(A:A,MASTER!A:G,7,0)</f>
        <v>15003153.153153153</v>
      </c>
      <c r="I16" s="5">
        <f>VLOOKUP(A:A,MASTER!A:D,4,0)</f>
        <v>21991135.135135137</v>
      </c>
      <c r="J16" s="5">
        <f>VLOOKUP(A:A,MASTER!A:E,5,0)</f>
        <v>24521081.081081081</v>
      </c>
      <c r="K16" s="5">
        <f>VLOOKUP(A:A,MASTER!A:B,2,0)</f>
        <v>10061801.801801801</v>
      </c>
      <c r="L16" s="5">
        <f>VLOOKUP(A:A,MASTER!A:C,3,0)</f>
        <v>14082162.162162162</v>
      </c>
    </row>
    <row r="17" spans="1:12" ht="64.5" customHeight="1" x14ac:dyDescent="0.35">
      <c r="A17" s="4" t="s">
        <v>9</v>
      </c>
      <c r="B17" s="1" t="s">
        <v>16</v>
      </c>
      <c r="C17" s="5">
        <f>VLOOKUP(A:A,MASTER!A:J,10,0)</f>
        <v>145409761.07349011</v>
      </c>
      <c r="D17" s="5">
        <f>VLOOKUP(A:A,MASTER!A:K,11,0)</f>
        <v>146328695.43384358</v>
      </c>
      <c r="E17" s="5">
        <f>VLOOKUP(A:A,MASTER!A:H,8,0)</f>
        <v>1290090.0900900951</v>
      </c>
      <c r="F17" s="5">
        <f>VLOOKUP(A:A,MASTER!A:I,9,0)</f>
        <v>806306.30630630604</v>
      </c>
      <c r="G17" s="5">
        <f>VLOOKUP(A:A,MASTER!A:F,6,0)</f>
        <v>156094594.5945946</v>
      </c>
      <c r="H17" s="5">
        <f>VLOOKUP(A:A,MASTER!A:G,7,0)</f>
        <v>234180990.99099097</v>
      </c>
      <c r="I17" s="5">
        <f>VLOOKUP(A:A,MASTER!A:D,4,0)</f>
        <v>52621846.846846849</v>
      </c>
      <c r="J17" s="5">
        <f>VLOOKUP(A:A,MASTER!A:E,5,0)</f>
        <v>52213945.945945941</v>
      </c>
      <c r="K17" s="5">
        <f>VLOOKUP(A:A,MASTER!A:B,2,0)</f>
        <v>138257117.11711711</v>
      </c>
      <c r="L17" s="5">
        <f>VLOOKUP(A:A,MASTER!A:C,3,0)</f>
        <v>203271891.8918919</v>
      </c>
    </row>
    <row r="18" spans="1:12" ht="64.5" customHeight="1" x14ac:dyDescent="0.35">
      <c r="A18" s="4" t="s">
        <v>13</v>
      </c>
      <c r="B18" s="1" t="s">
        <v>16</v>
      </c>
      <c r="C18" s="5">
        <f>VLOOKUP(A:A,MASTER!A:J,10,0)</f>
        <v>119450143.23495574</v>
      </c>
      <c r="D18" s="5">
        <f>VLOOKUP(A:A,MASTER!A:K,11,0)</f>
        <v>120834377.32331549</v>
      </c>
      <c r="E18" s="5">
        <f>VLOOKUP(A:A,MASTER!A:H,8,0)</f>
        <v>725225.22522522497</v>
      </c>
      <c r="F18" s="5">
        <f>VLOOKUP(A:A,MASTER!A:I,9,0)</f>
        <v>130180.180180182</v>
      </c>
      <c r="G18" s="5">
        <f>VLOOKUP(A:A,MASTER!A:F,6,0)</f>
        <v>26844054.054054055</v>
      </c>
      <c r="H18" s="5">
        <f>VLOOKUP(A:A,MASTER!A:G,7,0)</f>
        <v>29228378.378378384</v>
      </c>
      <c r="I18" s="5">
        <f>VLOOKUP(A:A,MASTER!A:D,4,0)</f>
        <v>67946792.792792797</v>
      </c>
      <c r="J18" s="5">
        <f>VLOOKUP(A:A,MASTER!A:E,5,0)</f>
        <v>67848189.189189181</v>
      </c>
      <c r="K18" s="5">
        <f>VLOOKUP(A:A,MASTER!A:B,2,0)</f>
        <v>29070360.360360362</v>
      </c>
      <c r="L18" s="5">
        <f>VLOOKUP(A:A,MASTER!A:C,3,0)</f>
        <v>27853423.423423424</v>
      </c>
    </row>
    <row r="19" spans="1:12" ht="64.5" customHeight="1" x14ac:dyDescent="0.35">
      <c r="A19" s="4" t="s">
        <v>14</v>
      </c>
      <c r="B19" s="1" t="s">
        <v>16</v>
      </c>
      <c r="C19" s="5">
        <f>VLOOKUP(A:A,MASTER!A:J,10,0)</f>
        <v>61961269.757889666</v>
      </c>
      <c r="D19" s="5">
        <f>VLOOKUP(A:A,MASTER!A:K,11,0)</f>
        <v>68884930.57055968</v>
      </c>
      <c r="E19" s="5">
        <f>VLOOKUP(A:A,MASTER!A:H,8,0)</f>
        <v>669369.36936937098</v>
      </c>
      <c r="F19" s="5">
        <f>VLOOKUP(A:A,MASTER!A:I,9,0)</f>
        <v>101801.80180180199</v>
      </c>
      <c r="G19" s="5">
        <f>VLOOKUP(A:A,MASTER!A:F,6,0)</f>
        <v>22243243.243243244</v>
      </c>
      <c r="H19" s="5">
        <f>VLOOKUP(A:A,MASTER!A:G,7,0)</f>
        <v>6840540.5405405406</v>
      </c>
      <c r="I19" s="5">
        <f>VLOOKUP(A:A,MASTER!A:D,4,0)</f>
        <v>21682549.54954955</v>
      </c>
      <c r="J19" s="5">
        <f>VLOOKUP(A:A,MASTER!A:E,5,0)</f>
        <v>23622765.765765768</v>
      </c>
      <c r="K19" s="5">
        <f>VLOOKUP(A:A,MASTER!A:B,2,0)</f>
        <v>25825225.225225225</v>
      </c>
      <c r="L19" s="5">
        <f>VLOOKUP(A:A,MASTER!A:C,3,0)</f>
        <v>4760720.7207207195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7"/>
  <sheetViews>
    <sheetView tabSelected="1" workbookViewId="0">
      <pane xSplit="1" ySplit="2" topLeftCell="D3" activePane="bottomRight" state="frozen"/>
      <selection pane="topRight" activeCell="B1" sqref="B1"/>
      <selection pane="bottomLeft" activeCell="A3" sqref="A3"/>
      <selection pane="bottomRight" activeCell="J3" sqref="J3:K1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bestFit="1" customWidth="1"/>
    <col min="8" max="8" width="15" bestFit="1" customWidth="1"/>
    <col min="9" max="9" width="16" bestFit="1" customWidth="1"/>
    <col min="10" max="10" width="18.453125" bestFit="1" customWidth="1"/>
    <col min="11" max="11" width="19.453125" bestFit="1" customWidth="1"/>
  </cols>
  <sheetData>
    <row r="2" spans="1:11" x14ac:dyDescent="0.35">
      <c r="A2" s="8" t="s">
        <v>28</v>
      </c>
      <c r="B2" s="8" t="s">
        <v>29</v>
      </c>
      <c r="C2" s="8" t="s">
        <v>35</v>
      </c>
      <c r="D2" s="8" t="s">
        <v>30</v>
      </c>
      <c r="E2" s="8" t="s">
        <v>36</v>
      </c>
      <c r="F2" s="8" t="s">
        <v>31</v>
      </c>
      <c r="G2" s="8" t="s">
        <v>37</v>
      </c>
      <c r="H2" s="8" t="s">
        <v>32</v>
      </c>
      <c r="I2" s="8" t="s">
        <v>38</v>
      </c>
      <c r="J2" s="8" t="s">
        <v>33</v>
      </c>
      <c r="K2" s="8" t="s">
        <v>39</v>
      </c>
    </row>
    <row r="3" spans="1:11" x14ac:dyDescent="0.35">
      <c r="A3" s="9" t="s">
        <v>1</v>
      </c>
      <c r="B3">
        <v>16552522.522522526</v>
      </c>
      <c r="C3">
        <v>19355630.630630631</v>
      </c>
      <c r="D3">
        <v>64046747.747747742</v>
      </c>
      <c r="E3">
        <v>65476054.054054059</v>
      </c>
      <c r="F3">
        <v>41743063.063063063</v>
      </c>
      <c r="G3">
        <v>57606306.306306303</v>
      </c>
      <c r="H3">
        <v>315073894.5945946</v>
      </c>
      <c r="I3">
        <v>256209569.36936939</v>
      </c>
      <c r="J3">
        <v>132264920.29211617</v>
      </c>
      <c r="K3">
        <v>142994835.09886238</v>
      </c>
    </row>
    <row r="4" spans="1:11" x14ac:dyDescent="0.35">
      <c r="A4" s="9" t="s">
        <v>2</v>
      </c>
      <c r="B4">
        <v>157657.65765765801</v>
      </c>
      <c r="C4">
        <v>118918.91891891899</v>
      </c>
      <c r="D4">
        <v>4872702.702702703</v>
      </c>
      <c r="E4">
        <v>4088639.6396396402</v>
      </c>
      <c r="F4">
        <v>533558.55855855905</v>
      </c>
      <c r="G4">
        <v>158558.558558558</v>
      </c>
      <c r="H4">
        <v>232469742.34234235</v>
      </c>
      <c r="I4">
        <v>148396432.43243244</v>
      </c>
      <c r="J4">
        <v>8660479.7989407126</v>
      </c>
      <c r="K4">
        <v>7510668.6871368838</v>
      </c>
    </row>
    <row r="5" spans="1:11" x14ac:dyDescent="0.35">
      <c r="A5" s="9" t="s">
        <v>3</v>
      </c>
      <c r="B5">
        <v>16709189.189189188</v>
      </c>
      <c r="C5">
        <v>31392342.342342339</v>
      </c>
      <c r="D5">
        <v>28004486.486486487</v>
      </c>
      <c r="E5">
        <v>24938810.810810812</v>
      </c>
      <c r="F5">
        <v>17967567.567567568</v>
      </c>
      <c r="G5">
        <v>35318468.468468465</v>
      </c>
      <c r="H5">
        <v>1364864.864864866</v>
      </c>
      <c r="I5">
        <v>517567.56756756699</v>
      </c>
      <c r="J5">
        <v>98339581.103002876</v>
      </c>
      <c r="K5">
        <v>88025424.340662733</v>
      </c>
    </row>
    <row r="6" spans="1:11" x14ac:dyDescent="0.35">
      <c r="A6" s="9" t="s">
        <v>4</v>
      </c>
      <c r="B6">
        <v>18255495.495495494</v>
      </c>
      <c r="C6">
        <v>18200990.990990993</v>
      </c>
      <c r="D6">
        <v>21517324.324324325</v>
      </c>
      <c r="E6">
        <v>23160972.972972974</v>
      </c>
      <c r="F6">
        <v>18331531.531531531</v>
      </c>
      <c r="G6">
        <v>17289189.189189188</v>
      </c>
      <c r="H6">
        <v>581081.08108108304</v>
      </c>
      <c r="I6">
        <v>681081.08108108095</v>
      </c>
      <c r="J6">
        <v>62404702.44519119</v>
      </c>
      <c r="K6">
        <v>59767927.222687922</v>
      </c>
    </row>
    <row r="7" spans="1:11" x14ac:dyDescent="0.35">
      <c r="A7" s="9" t="s">
        <v>5</v>
      </c>
      <c r="B7">
        <v>5072072.072072072</v>
      </c>
      <c r="C7">
        <v>9064594.594594596</v>
      </c>
      <c r="D7">
        <v>26884432.432432432</v>
      </c>
      <c r="E7">
        <v>27272828.828828827</v>
      </c>
      <c r="F7">
        <v>5870270.2702702703</v>
      </c>
      <c r="G7">
        <v>10545045.045045046</v>
      </c>
      <c r="H7">
        <v>133333.33333333401</v>
      </c>
      <c r="I7">
        <v>13513.513513514001</v>
      </c>
      <c r="J7">
        <v>66338717.994545102</v>
      </c>
      <c r="K7">
        <v>66872358.581491873</v>
      </c>
    </row>
    <row r="8" spans="1:11" x14ac:dyDescent="0.35">
      <c r="A8" s="9" t="s">
        <v>6</v>
      </c>
      <c r="B8">
        <v>105400720.72072072</v>
      </c>
      <c r="C8">
        <v>140731621.62162161</v>
      </c>
      <c r="D8">
        <v>152323765.76576576</v>
      </c>
      <c r="E8">
        <v>150183072.07207206</v>
      </c>
      <c r="F8">
        <v>112500000</v>
      </c>
      <c r="G8">
        <v>155177207.2072072</v>
      </c>
      <c r="H8">
        <v>4406306.3063063063</v>
      </c>
      <c r="I8">
        <v>4004504.5045045</v>
      </c>
      <c r="J8">
        <v>221769958.63266039</v>
      </c>
      <c r="K8">
        <v>229044753.07596684</v>
      </c>
    </row>
    <row r="9" spans="1:11" x14ac:dyDescent="0.35">
      <c r="A9" s="9" t="s">
        <v>7</v>
      </c>
      <c r="B9">
        <v>8717387.3873873875</v>
      </c>
      <c r="C9">
        <v>20225225.225225225</v>
      </c>
      <c r="D9">
        <v>39424072.072072074</v>
      </c>
      <c r="E9">
        <v>35650486.486486487</v>
      </c>
      <c r="F9">
        <v>7012612.6126126107</v>
      </c>
      <c r="G9">
        <v>19690990.990990993</v>
      </c>
      <c r="H9">
        <v>152252.25225225301</v>
      </c>
      <c r="I9">
        <v>37837.837837838</v>
      </c>
      <c r="J9">
        <v>55784970.612387374</v>
      </c>
      <c r="K9">
        <v>55050728.680071183</v>
      </c>
    </row>
    <row r="10" spans="1:11" x14ac:dyDescent="0.35">
      <c r="A10" s="9" t="s">
        <v>8</v>
      </c>
      <c r="B10">
        <v>10061801.801801801</v>
      </c>
      <c r="C10">
        <v>14082162.162162162</v>
      </c>
      <c r="D10">
        <v>21991135.135135137</v>
      </c>
      <c r="E10">
        <v>24521081.081081081</v>
      </c>
      <c r="F10">
        <v>12693693.693693696</v>
      </c>
      <c r="G10">
        <v>15003153.153153153</v>
      </c>
      <c r="H10">
        <v>1076576.5765765789</v>
      </c>
      <c r="I10">
        <v>1043243.243243242</v>
      </c>
      <c r="J10">
        <v>73767078.653999969</v>
      </c>
      <c r="K10">
        <v>82122878.510911092</v>
      </c>
    </row>
    <row r="11" spans="1:11" x14ac:dyDescent="0.35">
      <c r="A11" s="9" t="s">
        <v>9</v>
      </c>
      <c r="B11">
        <v>138257117.11711711</v>
      </c>
      <c r="C11">
        <v>203271891.8918919</v>
      </c>
      <c r="D11">
        <v>52621846.846846849</v>
      </c>
      <c r="E11">
        <v>52213945.945945941</v>
      </c>
      <c r="F11">
        <v>156094594.5945946</v>
      </c>
      <c r="G11">
        <v>234180990.99099097</v>
      </c>
      <c r="H11">
        <v>1290090.0900900951</v>
      </c>
      <c r="I11">
        <v>806306.30630630604</v>
      </c>
      <c r="J11">
        <v>145409761.07349011</v>
      </c>
      <c r="K11">
        <v>146328695.43384358</v>
      </c>
    </row>
    <row r="12" spans="1:11" x14ac:dyDescent="0.35">
      <c r="A12" s="9" t="s">
        <v>10</v>
      </c>
      <c r="B12">
        <v>11081.081081081</v>
      </c>
      <c r="C12">
        <v>250720.72072072001</v>
      </c>
      <c r="D12">
        <v>35940792.79279279</v>
      </c>
      <c r="E12">
        <v>39796477.477477483</v>
      </c>
      <c r="J12">
        <v>59447255.050917439</v>
      </c>
      <c r="K12">
        <v>64839617.028884411</v>
      </c>
    </row>
    <row r="13" spans="1:11" x14ac:dyDescent="0.35">
      <c r="A13" s="9" t="s">
        <v>11</v>
      </c>
      <c r="B13">
        <v>1335585.585585586</v>
      </c>
      <c r="C13">
        <v>849729.72972973005</v>
      </c>
      <c r="D13">
        <v>17627540.540540539</v>
      </c>
      <c r="E13">
        <v>21593117.117117114</v>
      </c>
      <c r="F13">
        <v>1819819.8198198189</v>
      </c>
      <c r="G13">
        <v>648648.64864864899</v>
      </c>
      <c r="H13">
        <v>18018.018018018</v>
      </c>
      <c r="I13">
        <v>18018.018018018</v>
      </c>
      <c r="J13">
        <v>51389036.302047253</v>
      </c>
      <c r="K13">
        <v>51054003.623513147</v>
      </c>
    </row>
    <row r="14" spans="1:11" x14ac:dyDescent="0.35">
      <c r="A14" s="9" t="s">
        <v>12</v>
      </c>
      <c r="B14">
        <v>4705675.6756756762</v>
      </c>
      <c r="C14">
        <v>1931531.5315315309</v>
      </c>
      <c r="D14">
        <v>13945720.72072072</v>
      </c>
      <c r="E14">
        <v>16015612.612612613</v>
      </c>
      <c r="F14">
        <v>2981981.981981982</v>
      </c>
      <c r="G14">
        <v>551351.35135135101</v>
      </c>
      <c r="H14">
        <v>279279.27927927999</v>
      </c>
      <c r="I14">
        <v>100900.900900901</v>
      </c>
      <c r="J14">
        <v>33166530.840455465</v>
      </c>
      <c r="K14">
        <v>35688394.586691581</v>
      </c>
    </row>
    <row r="15" spans="1:11" x14ac:dyDescent="0.35">
      <c r="A15" s="9" t="s">
        <v>13</v>
      </c>
      <c r="B15">
        <v>29070360.360360362</v>
      </c>
      <c r="C15">
        <v>27853423.423423424</v>
      </c>
      <c r="D15">
        <v>67946792.792792797</v>
      </c>
      <c r="E15">
        <v>67848189.189189181</v>
      </c>
      <c r="F15">
        <v>26844054.054054055</v>
      </c>
      <c r="G15">
        <v>29228378.378378384</v>
      </c>
      <c r="H15">
        <v>725225.22522522497</v>
      </c>
      <c r="I15">
        <v>130180.180180182</v>
      </c>
      <c r="J15">
        <v>119450143.23495574</v>
      </c>
      <c r="K15">
        <v>120834377.32331549</v>
      </c>
    </row>
    <row r="16" spans="1:11" x14ac:dyDescent="0.35">
      <c r="A16" s="9" t="s">
        <v>14</v>
      </c>
      <c r="B16">
        <v>25825225.225225225</v>
      </c>
      <c r="C16">
        <v>4760720.7207207195</v>
      </c>
      <c r="D16">
        <v>21682549.54954955</v>
      </c>
      <c r="E16">
        <v>23622765.765765768</v>
      </c>
      <c r="F16">
        <v>22243243.243243244</v>
      </c>
      <c r="G16">
        <v>6840540.5405405406</v>
      </c>
      <c r="H16">
        <v>669369.36936937098</v>
      </c>
      <c r="I16">
        <v>101801.80180180199</v>
      </c>
      <c r="J16">
        <v>61961269.757889666</v>
      </c>
      <c r="K16">
        <v>68884930.57055968</v>
      </c>
    </row>
    <row r="17" spans="1:11" x14ac:dyDescent="0.35">
      <c r="A17" s="10" t="s">
        <v>34</v>
      </c>
      <c r="B17" s="11">
        <f>SUM(B3:B16)</f>
        <v>380131891.89189196</v>
      </c>
      <c r="C17" s="11">
        <f t="shared" ref="C17:K17" si="0">SUM(C3:C16)</f>
        <v>492089504.50450444</v>
      </c>
      <c r="D17" s="11">
        <f t="shared" si="0"/>
        <v>568829909.90990984</v>
      </c>
      <c r="E17" s="11">
        <f t="shared" si="0"/>
        <v>576382054.05405402</v>
      </c>
      <c r="F17" s="11">
        <f t="shared" si="0"/>
        <v>426635990.990991</v>
      </c>
      <c r="G17" s="11">
        <f t="shared" si="0"/>
        <v>582238828.82882893</v>
      </c>
      <c r="H17" s="11">
        <f t="shared" si="0"/>
        <v>558240033.33333325</v>
      </c>
      <c r="I17" s="11">
        <f t="shared" si="0"/>
        <v>412060956.75675672</v>
      </c>
      <c r="J17" s="11">
        <f t="shared" si="0"/>
        <v>1190154405.7925994</v>
      </c>
      <c r="K17" s="11">
        <f t="shared" si="0"/>
        <v>1219019592.7645988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2026-08-10T17:34:17Z</dcterms:modified>
</cp:coreProperties>
</file>