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W11" i="1" s="1"/>
  <c r="V12" i="1"/>
  <c r="W12" i="1" s="1"/>
  <c r="V13" i="1"/>
  <c r="W13" i="1" s="1"/>
  <c r="V14" i="1"/>
  <c r="V15" i="1"/>
  <c r="V16" i="1"/>
  <c r="V17" i="1"/>
  <c r="V18" i="1"/>
  <c r="V19" i="1"/>
  <c r="W19" i="1" s="1"/>
  <c r="V20" i="1"/>
  <c r="W20" i="1" s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6" i="1" s="1"/>
  <c r="W7" i="1"/>
  <c r="W8" i="1"/>
  <c r="W9" i="1"/>
  <c r="W10" i="1"/>
  <c r="W21" i="1"/>
  <c r="W22" i="1"/>
  <c r="W17" i="1" l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<sst xmlns="http://schemas.openxmlformats.org/spreadsheetml/2006/main" count="1239" uniqueCount="674">
  <si>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</si>
  <si>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</si>
  <si>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</si>
  <si>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</si>
  <si>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</si>
  <si>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</si>
  <si>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</si>
  <si>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</si>
  <si>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</si>
  <si>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</si>
  <si>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</si>
  <si>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</si>
  <si>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</si>
  <si>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</si>
  <si>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</si>
  <si>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</si>
  <si>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</si>
  <si>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</si>
  <si>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</si>
  <si>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</si>
  <si>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</si>
  <si>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</si>
  <si>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</si>
  <si>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</si>
  <si>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</si>
  <si>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</si>
  <si>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</si>
  <si>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</si>
  <si>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</si>
  <si>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</si>
  <si>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</si>
  <si>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</si>
  <si>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</si>
  <si>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</si>
  <si>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</si>
  <si>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</si>
  <si>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</si>
  <si>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</si>
  <si>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</si>
  <si>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</si>
  <si>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</si>
  <si>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</si>
  <si>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</si>
  <si>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</si>
  <si>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</si>
  <si>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</si>
  <si>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</si>
  <si>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</si>
  <si>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</si>
  <si>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</si>
  <si>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</si>
  <si>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</si>
  <si>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</si>
  <si>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</si>
  <si>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</si>
  <si>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</si>
  <si>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</si>
  <si>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</si>
  <si>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</si>
  <si>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</si>
  <si>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</si>
  <si>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</si>
  <si>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</si>
  <si>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</si>
  <si>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</si>
  <si>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</si>
  <si>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</si>
  <si>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</si>
  <si>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</si>
  <si>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</si>
  <si>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</si>
  <si>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</si>
  <si>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</si>
  <si>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</si>
  <si>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</si>
  <si>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</si>
  <si>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</si>
  <si>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</si>
  <si>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</si>
  <si>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</si>
  <si>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</si>
  <si>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</si>
  <si>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</si>
  <si>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</si>
  <si>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</si>
  <si>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</si>
  <si>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</si>
  <si>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</si>
  <si>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</si>
  <si>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</si>
  <si>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</si>
  <si>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</si>
  <si>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</si>
  <si>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</si>
  <si>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</si>
  <si>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</si>
  <si>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</si>
  <si>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</si>
  <si>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</si>
  <si>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</si>
  <si>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</si>
  <si>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</si>
  <si>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</si>
  <si>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</si>
  <si>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</si>
  <si>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</si>
  <si>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</si>
  <si>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</si>
  <si>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</si>
  <si>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</si>
  <si>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</si>
  <si>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</si>
  <si>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</si>
  <si>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</si>
  <si>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</si>
  <si>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</si>
  <si>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</si>
  <si>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</si>
  <si>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</si>
  <si>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</si>
  <si>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</si>
  <si>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</si>
  <si>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</si>
  <si>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</si>
  <si>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</si>
  <si>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</si>
  <si>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</si>
  <si>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</si>
  <si>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</si>
  <si>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</si>
  <si>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</si>
  <si>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</si>
  <si>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</si>
  <si>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</si>
  <si>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</si>
  <si>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</si>
  <si>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</si>
  <si>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</si>
  <si>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</si>
  <si>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</si>
  <si>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</si>
  <si>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</si>
  <si>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</si>
  <si>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</si>
  <si>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</si>
  <si>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</si>
  <si>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</si>
  <si>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</si>
  <si>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</si>
  <si>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</si>
  <si>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</si>
  <si>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</si>
  <si>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</si>
  <si>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</si>
  <si>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</si>
  <si>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</si>
  <si>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</si>
  <si>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</si>
  <si>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</si>
  <si>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</si>
  <si>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</si>
  <si>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</si>
  <si>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</si>
  <si>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</si>
  <si>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</si>
  <si>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</si>
  <si>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</si>
  <si>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</si>
  <si>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</si>
  <si>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</si>
  <si>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</si>
  <si>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</si>
  <si>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</si>
  <si>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</si>
  <si>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</si>
  <si>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</si>
  <si>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</si>
  <si>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</si>
  <si>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</si>
  <si>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</si>
  <si>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</si>
  <si>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</si>
  <si>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</si>
  <si>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</si>
  <si>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</si>
  <si>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</si>
  <si>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</si>
  <si>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</si>
  <si>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</si>
  <si>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</si>
  <si>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</si>
  <si>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</si>
  <si>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</si>
  <si>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</si>
  <si>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</si>
  <si>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</si>
  <si>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</si>
  <si>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</si>
  <si>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</si>
  <si>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</si>
  <si>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</si>
  <si>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</si>
  <si>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</si>
  <si>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</si>
  <si>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</si>
  <si>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</si>
  <si>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</si>
  <si>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</si>
  <si>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</si>
  <si>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</si>
  <si>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</si>
  <si>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</si>
  <si>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</si>
  <si>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</si>
  <si>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</si>
  <si>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</si>
  <si>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</si>
  <si>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</si>
  <si>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</si>
  <si>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</si>
  <si>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</si>
  <si>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</si>
  <si>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</si>
  <si>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</si>
  <si>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</si>
  <si>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</si>
  <si>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</si>
  <si>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</si>
  <si>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</si>
  <si>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</si>
  <si>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</si>
  <si>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</si>
  <si>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</si>
  <si>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</si>
  <si>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</si>
  <si>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</si>
  <si>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</si>
  <si>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</si>
  <si>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</si>
  <si>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</si>
  <si>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</si>
  <si>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</si>
  <si>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</si>
  <si>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</si>
  <si>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</si>
  <si>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</si>
  <si>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</si>
  <si>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</si>
  <si>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</si>
  <si>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</si>
  <si>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</si>
  <si>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</si>
  <si>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</si>
  <si>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</si>
  <si>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</si>
  <si>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</si>
  <si>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</si>
  <si>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</si>
  <si>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</si>
  <si>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</si>
  <si>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</si>
  <si>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</si>
  <si>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</si>
  <si>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</si>
  <si>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</si>
  <si>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</si>
  <si>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</si>
  <si>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</si>
  <si>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</si>
  <si>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</si>
  <si>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</si>
  <si>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</si>
  <si>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</si>
  <si>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</si>
  <si>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</si>
  <si>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</si>
  <si>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</si>
  <si>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</si>
  <si>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</si>
  <si>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</si>
  <si>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</si>
  <si>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</si>
  <si>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</si>
  <si>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</si>
  <si>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</si>
  <si>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</si>
  <si>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</si>
  <si>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</si>
  <si>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</si>
  <si>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</si>
  <si>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</si>
  <si>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</si>
  <si>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</si>
  <si>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</si>
  <si>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</si>
  <si>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</si>
  <si>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</si>
  <si>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</si>
  <si>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</si>
  <si>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</si>
  <si>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</si>
  <si>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</si>
  <si>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</si>
  <si>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</si>
  <si>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</si>
  <si>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</si>
  <si>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</si>
  <si>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</si>
  <si>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</si>
  <si>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</si>
  <si>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</si>
  <si>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</si>
  <si>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</si>
  <si>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</si>
  <si>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</si>
  <si>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</si>
  <si>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</si>
  <si>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</si>
  <si>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</si>
  <si>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</si>
  <si>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</si>
  <si>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</si>
  <si>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</si>
  <si>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</si>
  <si>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</si>
  <si>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</si>
  <si>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</si>
  <si>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</si>
  <si>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</si>
  <si>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</si>
  <si>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</si>
  <si>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</si>
  <si>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</si>
  <si>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</si>
  <si>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</si>
  <si>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</si>
  <si>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</si>
  <si>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</si>
  <si>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</si>
  <si>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</si>
  <si>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</si>
  <si>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</si>
  <si>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</si>
  <si>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</si>
  <si>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</si>
  <si>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</si>
  <si>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</si>
  <si>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</si>
  <si>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</si>
  <si>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</si>
  <si>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</si>
  <si>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</si>
  <si>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</si>
  <si>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</si>
  <si>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</si>
  <si>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</si>
  <si>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</si>
  <si>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</si>
  <si>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</si>
  <si>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</si>
  <si>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</si>
  <si>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</si>
  <si>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</si>
  <si>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</si>
  <si>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</si>
  <si>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</si>
  <si>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</si>
  <si>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</si>
  <si>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</si>
  <si>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</si>
  <si>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</si>
  <si>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</si>
  <si>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</si>
  <si>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</si>
  <si>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</si>
  <si>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</si>
  <si>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</si>
  <si>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</si>
  <si>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</si>
  <si>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</si>
  <si>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</si>
  <si>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</si>
  <si>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</si>
  <si>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</si>
  <si>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</si>
  <si>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</si>
  <si>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</si>
  <si>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</si>
  <si>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</si>
  <si>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</si>
  <si>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</si>
  <si>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</si>
  <si>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</si>
  <si>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</si>
  <si>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</si>
  <si>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</si>
  <si>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</si>
  <si>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</si>
  <si>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</si>
  <si>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</si>
  <si>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</si>
  <si>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</si>
  <si>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</si>
  <si>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</si>
  <si>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</si>
  <si>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</si>
  <si>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</si>
  <si>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</si>
  <si>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</si>
  <si>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</si>
  <si>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</si>
  <si>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</si>
  <si>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</si>
  <si>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</si>
  <si>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</si>
  <si>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</si>
  <si>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</si>
  <si>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</si>
  <si>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</si>
  <si>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</si>
  <si>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</si>
  <si>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</si>
  <si>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</si>
  <si>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</si>
  <si>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</si>
  <si>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</si>
  <si>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</si>
  <si>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</si>
  <si>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</si>
  <si>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</si>
  <si>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</si>
  <si>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</si>
  <si>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</si>
  <si>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</si>
  <si>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</si>
  <si>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</si>
  <si>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</si>
  <si>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</si>
  <si>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</si>
  <si>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</si>
  <si>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</si>
  <si>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</si>
  <si>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</si>
  <si>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</si>
  <si>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</si>
  <si>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</si>
  <si>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</si>
  <si>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</si>
  <si>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</si>
  <si>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</si>
  <si>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</si>
  <si>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</si>
  <si>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</si>
  <si>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</si>
  <si>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</si>
  <si>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</si>
  <si>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</si>
  <si>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</si>
  <si>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</si>
  <si>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</si>
  <si>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</si>
  <si>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</si>
  <si>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</si>
  <si>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</si>
  <si>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</si>
  <si>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</si>
  <si>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</si>
  <si>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</si>
  <si>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</si>
  <si>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</si>
  <si>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</si>
  <si>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</si>
  <si>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</si>
  <si>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</si>
  <si>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</si>
  <si>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</si>
  <si>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</si>
  <si>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</si>
  <si>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</si>
  <si>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</si>
  <si>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</si>
  <si>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</si>
  <si>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</si>
  <si>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</si>
  <si>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</si>
  <si>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</si>
  <si>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</si>
  <si>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</si>
  <si>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</si>
  <si>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</si>
  <si>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</si>
  <si>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</si>
  <si>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</si>
  <si>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</si>
  <si>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</si>
  <si>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</si>
  <si>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</si>
  <si>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</si>
  <si>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</si>
  <si>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</si>
  <si>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</si>
  <si>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</si>
  <si>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</si>
  <si>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</si>
  <si>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</si>
  <si>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</si>
  <si>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</si>
  <si>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</si>
  <si>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</si>
  <si>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</si>
  <si>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</si>
  <si>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</si>
  <si>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</si>
  <si>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</si>
  <si>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</si>
  <si>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</si>
  <si>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</si>
  <si>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</si>
  <si>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</si>
  <si>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</si>
  <si>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</si>
  <si>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</si>
  <si>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</si>
  <si>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</si>
  <si>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</si>
  <si>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</si>
  <si>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</si>
  <si>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</si>
  <si>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</si>
  <si>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</si>
  <si>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</si>
  <si>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</si>
  <si>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</si>
  <si>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</si>
  <si>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</si>
  <si>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</si>
  <si>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</si>
  <si>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</si>
  <si>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</si>
  <si>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</si>
  <si>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</si>
  <si>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</si>
  <si>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</si>
  <si>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</si>
  <si>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</si>
  <si>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</si>
  <si>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</si>
  <si>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</si>
  <si>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</si>
  <si>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</si>
  <si>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</si>
  <si>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</si>
  <si>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</si>
  <si>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</si>
  <si>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</si>
  <si>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</si>
  <si>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</si>
  <si>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</si>
  <si>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</si>
  <si>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</si>
  <si>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</si>
  <si>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</si>
  <si>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</si>
  <si>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</si>
  <si>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</si>
  <si>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</si>
  <si>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</si>
  <si>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</si>
  <si>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</si>
  <si>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</si>
  <si>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</si>
  <si>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</si>
  <si>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</si>
  <si>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</si>
  <si>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</si>
  <si>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</si>
  <si>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</si>
  <si>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</si>
  <si>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</si>
  <si>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</si>
  <si>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</si>
  <si>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</si>
  <si>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</si>
  <si>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</si>
  <si>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</si>
  <si>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</si>
  <si>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</si>
  <si>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</si>
  <si>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</si>
  <si>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</si>
  <si>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</si>
  <si>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</si>
  <si>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</si>
  <si>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</si>
  <si>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</si>
  <si>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</si>
  <si>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</si>
  <si>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</si>
  <si>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</si>
  <si>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</si>
  <si>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</si>
  <si>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</si>
  <si>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</si>
  <si>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</si>
  <si>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</si>
  <si>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</si>
  <si>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</si>
  <si>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</si>
  <si>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</si>
  <si>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</si>
  <si>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</si>
  <si>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</si>
  <si>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</si>
  <si>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</si>
  <si>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</si>
  <si>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</si>
  <si>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</si>
  <si>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</si>
  <si>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</si>
  <si>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</si>
  <si>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</si>
  <si>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</si>
  <si>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</si>
  <si>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</si>
  <si>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</si>
  <si>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</si>
  <si>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</si>
  <si>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</si>
  <si>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</si>
  <si>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</si>
  <si>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</si>
  <si>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</si>
  <si>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</si>
  <si>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</si>
  <si>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</si>
  <si>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</si>
  <si>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</si>
  <si>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</si>
  <si>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</si>
  <si>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</si>
  <si>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</si>
  <si>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</si>
  <si>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</si>
  <si>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</si>
  <si>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</si>
  <si>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</si>
  <si>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</si>
  <si>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</si>
  <si>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</si>
  <si>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</si>
  <si>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</si>
  <si>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</si>
  <si>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</si>
  <si>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</si>
  <si>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</si>
  <si>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</si>
  <si>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</si>
  <si>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</si>
  <si>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</si>
  <si>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</si>
  <si>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</si>
  <si>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</si>
  <si>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</si>
  <si>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</si>
  <si>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BUKIT SANTUAI|KOTAWARINGIN TIMUR</t>
  </si>
  <si>
    <t>SIMPANG DUA|KETAPANG</t>
  </si>
  <si>
    <t>KAHAYAN HULU UTARA|GUNUNG MAS</t>
  </si>
  <si>
    <t>LAMANDAU|LAMANDAU</t>
  </si>
  <si>
    <t>MURUK RIAN|TANA TIDUNG</t>
  </si>
  <si>
    <t>PAMINGGIR|HULU SUNGAI UTARA</t>
  </si>
  <si>
    <t>PESO|BULUNGAN</t>
  </si>
  <si>
    <t>PETAK MALAI|KATINGAN</t>
  </si>
  <si>
    <t>RGUGA TRADE MTD</t>
  </si>
  <si>
    <t>RGUGA TRADE LMTD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</si>
</sst>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tabSelected="1" zoomScale="44" workbookViewId="0">
      <pane xSplit="1" ySplit="5" topLeftCell="P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672</v>
      </c>
      <c r="V5" s="3" t="s">
        <v>673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416304800.06947994</v>
      </c>
      <c r="D6" s="4">
        <f>IFERROR(VLOOKUP($A:$A,MASTER!$A:$T,4,0),0)</f>
        <v>415176018.41097152</v>
      </c>
      <c r="E6" s="9">
        <f>IFERROR(C6/D6-1,0)</f>
        <v>2.7188026486419936E-3</v>
      </c>
      <c r="F6" s="4">
        <f>IFERROR(VLOOKUP(A:A,MASTER!A:E,5,0),0)</f>
        <v>2831531.5315315342</v>
      </c>
      <c r="G6" s="4">
        <f>IFERROR(VLOOKUP(A:A,MASTER!A:F,6,0),0)</f>
        <v>5806306.3063063072</v>
      </c>
      <c r="H6" s="9">
        <f>IFERROR(F6/G6-1,0)</f>
        <v>-0.51233514352210974</v>
      </c>
      <c r="I6" s="4">
        <f>IFERROR(VLOOKUP(A:A,MASTER!A:M,13,0),0)</f>
        <v>47406936.936936937</v>
      </c>
      <c r="J6" s="4">
        <f>IFERROR(VLOOKUP($A:$A,MASTER!$A:$T,14,0),0)</f>
        <v>72565990.990990996</v>
      </c>
      <c r="K6" s="9">
        <f>IFERROR(I6/J6-1,0)</f>
        <v>-0.34670585642766916</v>
      </c>
      <c r="L6" s="4">
        <f>IFERROR(VLOOKUP($A:$A,MASTER!$A:$T,15,0),0)</f>
        <v>198626738.73873875</v>
      </c>
      <c r="M6" s="4">
        <f>IFERROR(VLOOKUP($A:$A,MASTER!$A:$T,16,0),0)</f>
        <v>198449279.27927926</v>
      </c>
      <c r="N6" s="9">
        <f>IFERROR(L6/M6-1,0)</f>
        <v>8.942308085166939E-4</v>
      </c>
      <c r="O6" s="4">
        <f>IFERROR(VLOOKUP($A:$A,MASTER!$A:$T,17,0),0)</f>
        <v>44820000</v>
      </c>
      <c r="P6" s="4">
        <f>IFERROR(VLOOKUP($A:$A,MASTER!$A:$T,18,0),0)</f>
        <v>69918783.783783779</v>
      </c>
      <c r="Q6" s="9">
        <f>IFERROR(O6/P6-1,0)</f>
        <v>-0.35897054304318321</v>
      </c>
      <c r="R6" s="4">
        <f>IFERROR(VLOOKUP($A:$A,MASTER!$A:$T,19,0),0)</f>
        <v>9088</v>
      </c>
      <c r="S6" s="4">
        <f>IFERROR(VLOOKUP($A:$A,MASTER!$A:$T,20,0),0)</f>
        <v>7856</v>
      </c>
      <c r="T6" s="9">
        <f>IFERROR(R6/S6-1,0)</f>
        <v>0.1568228105906313</v>
      </c>
      <c r="U6" s="18">
        <f>IFERROR(VLOOKUP(A:A,MASTER!A:K,11,0),0)</f>
        <v>256</v>
      </c>
      <c r="V6" s="18">
        <f>IFERROR(VLOOKUP(A:A,MASTER!A:L,12,0),0)</f>
        <v>213</v>
      </c>
      <c r="W6" s="9">
        <f>IFERROR(U6/V6-1,0)</f>
        <v>0.2018779342723005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40745324.57866928</v>
      </c>
      <c r="D7" s="4">
        <f>IFERROR(VLOOKUP($A:$A,MASTER!$A:$T,4,0),0)</f>
        <v>23463792.172574889</v>
      </c>
      <c r="E7" s="9">
        <f t="shared" ref="E7:E22" si="0">IFERROR(C7/D7-1,0)</f>
        <v>0.73651915593991291</v>
      </c>
      <c r="F7" s="4">
        <f>IFERROR(VLOOKUP(A:A,MASTER!A:E,5,0),0)</f>
        <v>310810.81081081199</v>
      </c>
      <c r="G7" s="4">
        <f>IFERROR(VLOOKUP(A:A,MASTER!A:F,6,0),0)</f>
        <v>373873.87387387402</v>
      </c>
      <c r="H7" s="9">
        <f t="shared" ref="H7:H22" si="1">IFERROR(F7/G7-1,0)</f>
        <v>-0.16867469879517794</v>
      </c>
      <c r="I7" s="4">
        <f>IFERROR(VLOOKUP(A:A,MASTER!A:M,13,0),0)</f>
        <v>6662162.1621621633</v>
      </c>
      <c r="J7" s="4">
        <f>IFERROR(VLOOKUP($A:$A,MASTER!$A:$T,14,0),0)</f>
        <v>3256756.7567567569</v>
      </c>
      <c r="K7" s="9">
        <f t="shared" ref="K7:K22" si="2">IFERROR(I7/J7-1,0)</f>
        <v>1.0456431535269712</v>
      </c>
      <c r="L7" s="4">
        <f>IFERROR(VLOOKUP($A:$A,MASTER!$A:$T,15,0),0)</f>
        <v>22999702.702702705</v>
      </c>
      <c r="M7" s="4">
        <f>IFERROR(VLOOKUP($A:$A,MASTER!$A:$T,16,0),0)</f>
        <v>14458108.108108109</v>
      </c>
      <c r="N7" s="9">
        <f t="shared" ref="N7:N22" si="3">IFERROR(L7/M7-1,0)</f>
        <v>0.59078231610430887</v>
      </c>
      <c r="O7" s="4">
        <f>IFERROR(VLOOKUP($A:$A,MASTER!$A:$T,17,0),0)</f>
        <v>6763063.0630630637</v>
      </c>
      <c r="P7" s="4">
        <f>IFERROR(VLOOKUP($A:$A,MASTER!$A:$T,18,0),0)</f>
        <v>3175225.2252252251</v>
      </c>
      <c r="Q7" s="9">
        <f t="shared" ref="Q7:Q22" si="4">IFERROR(O7/P7-1,0)</f>
        <v>1.1299475102851471</v>
      </c>
      <c r="R7" s="4">
        <f>IFERROR(VLOOKUP($A:$A,MASTER!$A:$T,19,0),0)</f>
        <v>1262</v>
      </c>
      <c r="S7" s="4">
        <f>IFERROR(VLOOKUP($A:$A,MASTER!$A:$T,20,0),0)</f>
        <v>1051</v>
      </c>
      <c r="T7" s="9">
        <f t="shared" ref="T7:T22" si="5">IFERROR(R7/S7-1,0)</f>
        <v>0.20076117982873454</v>
      </c>
      <c r="U7" s="18">
        <f>IFERROR(VLOOKUP(A:A,MASTER!A:K,11,0),0)</f>
        <v>4</v>
      </c>
      <c r="V7" s="18">
        <f>IFERROR(VLOOKUP(A:A,MASTER!A:L,12,0),0)</f>
        <v>0</v>
      </c>
      <c r="W7" s="9">
        <f t="shared" ref="W7:W22" si="6">IFERROR(U7/V7-1,0)</f>
        <v>0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311955598.46795988</v>
      </c>
      <c r="D8" s="4">
        <f>IFERROR(VLOOKUP($A:$A,MASTER!$A:$T,4,0),0)</f>
        <v>277325659.96632874</v>
      </c>
      <c r="E8" s="9">
        <f t="shared" si="0"/>
        <v>0.12487102169282038</v>
      </c>
      <c r="F8" s="4">
        <f>IFERROR(VLOOKUP(A:A,MASTER!A:E,5,0),0)</f>
        <v>4639639.6396396421</v>
      </c>
      <c r="G8" s="4">
        <f>IFERROR(VLOOKUP(A:A,MASTER!A:F,6,0),0)</f>
        <v>1901351.351351354</v>
      </c>
      <c r="H8" s="9">
        <f t="shared" si="1"/>
        <v>1.4401800521203483</v>
      </c>
      <c r="I8" s="4">
        <f>IFERROR(VLOOKUP(A:A,MASTER!A:M,13,0),0)</f>
        <v>62177477.477477483</v>
      </c>
      <c r="J8" s="4">
        <f>IFERROR(VLOOKUP($A:$A,MASTER!$A:$T,14,0),0)</f>
        <v>88087387.387387395</v>
      </c>
      <c r="K8" s="9">
        <f t="shared" si="2"/>
        <v>-0.29413870337604953</v>
      </c>
      <c r="L8" s="4">
        <f>IFERROR(VLOOKUP($A:$A,MASTER!$A:$T,15,0),0)</f>
        <v>86998495.495495483</v>
      </c>
      <c r="M8" s="4">
        <f>IFERROR(VLOOKUP($A:$A,MASTER!$A:$T,16,0),0)</f>
        <v>79519954.954954967</v>
      </c>
      <c r="N8" s="9">
        <f t="shared" si="3"/>
        <v>9.4046086228001924E-2</v>
      </c>
      <c r="O8" s="4">
        <f>IFERROR(VLOOKUP($A:$A,MASTER!$A:$T,17,0),0)</f>
        <v>57432972.972972974</v>
      </c>
      <c r="P8" s="4">
        <f>IFERROR(VLOOKUP($A:$A,MASTER!$A:$T,18,0),0)</f>
        <v>84512612.612612605</v>
      </c>
      <c r="Q8" s="9">
        <f t="shared" si="4"/>
        <v>-0.3204212815401507</v>
      </c>
      <c r="R8" s="4">
        <f>IFERROR(VLOOKUP($A:$A,MASTER!$A:$T,19,0),0)</f>
        <v>3642</v>
      </c>
      <c r="S8" s="4">
        <f>IFERROR(VLOOKUP($A:$A,MASTER!$A:$T,20,0),0)</f>
        <v>3547</v>
      </c>
      <c r="T8" s="9">
        <f t="shared" si="5"/>
        <v>2.6783197067944853E-2</v>
      </c>
      <c r="U8" s="18">
        <f>IFERROR(VLOOKUP(A:A,MASTER!A:K,11,0),0)</f>
        <v>53</v>
      </c>
      <c r="V8" s="18">
        <f>IFERROR(VLOOKUP(A:A,MASTER!A:L,12,0),0)</f>
        <v>55</v>
      </c>
      <c r="W8" s="9">
        <f t="shared" si="6"/>
        <v>-3.6363636363636376E-2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184567398.27520788</v>
      </c>
      <c r="D9" s="4">
        <f>IFERROR(VLOOKUP($A:$A,MASTER!$A:$T,4,0),0)</f>
        <v>178574729.9071348</v>
      </c>
      <c r="E9" s="9">
        <f t="shared" si="0"/>
        <v>3.355832245239565E-2</v>
      </c>
      <c r="F9" s="4">
        <f>IFERROR(VLOOKUP(A:A,MASTER!A:E,5,0),0)</f>
        <v>2844144.1441441458</v>
      </c>
      <c r="G9" s="4">
        <f>IFERROR(VLOOKUP(A:A,MASTER!A:F,6,0),0)</f>
        <v>6231981.9819819815</v>
      </c>
      <c r="H9" s="9">
        <f t="shared" si="1"/>
        <v>-0.54362125045175258</v>
      </c>
      <c r="I9" s="4">
        <f>IFERROR(VLOOKUP(A:A,MASTER!A:M,13,0),0)</f>
        <v>28870270.270270273</v>
      </c>
      <c r="J9" s="4">
        <f>IFERROR(VLOOKUP($A:$A,MASTER!$A:$T,14,0),0)</f>
        <v>70216216.216216221</v>
      </c>
      <c r="K9" s="9">
        <f t="shared" si="2"/>
        <v>-0.58883756735950732</v>
      </c>
      <c r="L9" s="4">
        <f>IFERROR(VLOOKUP($A:$A,MASTER!$A:$T,15,0),0)</f>
        <v>65391513.513513513</v>
      </c>
      <c r="M9" s="4">
        <f>IFERROR(VLOOKUP($A:$A,MASTER!$A:$T,16,0),0)</f>
        <v>66283846.846846849</v>
      </c>
      <c r="N9" s="9">
        <f t="shared" si="3"/>
        <v>-1.3462304555061921E-2</v>
      </c>
      <c r="O9" s="4">
        <f>IFERROR(VLOOKUP($A:$A,MASTER!$A:$T,17,0),0)</f>
        <v>35459099.0990991</v>
      </c>
      <c r="P9" s="4">
        <f>IFERROR(VLOOKUP($A:$A,MASTER!$A:$T,18,0),0)</f>
        <v>57598378.378378376</v>
      </c>
      <c r="Q9" s="9">
        <f t="shared" si="4"/>
        <v>-0.38437330880811826</v>
      </c>
      <c r="R9" s="4">
        <f>IFERROR(VLOOKUP($A:$A,MASTER!$A:$T,19,0),0)</f>
        <v>3911</v>
      </c>
      <c r="S9" s="4">
        <f>IFERROR(VLOOKUP($A:$A,MASTER!$A:$T,20,0),0)</f>
        <v>3623</v>
      </c>
      <c r="T9" s="9">
        <f t="shared" si="5"/>
        <v>7.9492133590946645E-2</v>
      </c>
      <c r="U9" s="18">
        <f>IFERROR(VLOOKUP(A:A,MASTER!A:K,11,0),0)</f>
        <v>19</v>
      </c>
      <c r="V9" s="18">
        <f>IFERROR(VLOOKUP(A:A,MASTER!A:L,12,0),0)</f>
        <v>40</v>
      </c>
      <c r="W9" s="9">
        <f t="shared" si="6"/>
        <v>-0.52500000000000002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399893020.72072071</v>
      </c>
      <c r="G10" s="4">
        <f>IFERROR(VLOOKUP(A:A,MASTER!A:F,6,0),0)</f>
        <v>426659641.44144148</v>
      </c>
      <c r="H10" s="9">
        <f t="shared" si="1"/>
        <v>-6.2735300274222139E-2</v>
      </c>
      <c r="I10" s="4">
        <f>IFERROR(VLOOKUP(A:A,MASTER!A:M,13,0),0)</f>
        <v>3130405.405405405</v>
      </c>
      <c r="J10" s="4">
        <f>IFERROR(VLOOKUP($A:$A,MASTER!$A:$T,14,0),0)</f>
        <v>1052477.4774774769</v>
      </c>
      <c r="K10" s="9">
        <f t="shared" si="2"/>
        <v>1.9743205649475724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8">
        <f>IFERROR(VLOOKUP(A:A,MASTER!A:K,11,0),0)</f>
        <v>0</v>
      </c>
      <c r="V10" s="18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195913238.50726125</v>
      </c>
      <c r="D11" s="4">
        <f>IFERROR(VLOOKUP($A:$A,MASTER!$A:$T,4,0),0)</f>
        <v>199783278.77828631</v>
      </c>
      <c r="E11" s="9">
        <f t="shared" si="0"/>
        <v>-1.9371192097212053E-2</v>
      </c>
      <c r="F11" s="4">
        <f>IFERROR(VLOOKUP(A:A,MASTER!A:E,5,0),0)</f>
        <v>1052252.252252253</v>
      </c>
      <c r="G11" s="4">
        <f>IFERROR(VLOOKUP(A:A,MASTER!A:F,6,0),0)</f>
        <v>139639.63963963999</v>
      </c>
      <c r="H11" s="9">
        <f t="shared" si="1"/>
        <v>6.5354838709677283</v>
      </c>
      <c r="I11" s="4">
        <f>IFERROR(VLOOKUP(A:A,MASTER!A:M,13,0),0)</f>
        <v>14059459.459459459</v>
      </c>
      <c r="J11" s="4">
        <f>IFERROR(VLOOKUP($A:$A,MASTER!$A:$T,14,0),0)</f>
        <v>17772972.97297297</v>
      </c>
      <c r="K11" s="9">
        <f t="shared" si="2"/>
        <v>-0.2089416058394159</v>
      </c>
      <c r="L11" s="4">
        <f>IFERROR(VLOOKUP($A:$A,MASTER!$A:$T,15,0),0)</f>
        <v>83734990.990990996</v>
      </c>
      <c r="M11" s="4">
        <f>IFERROR(VLOOKUP($A:$A,MASTER!$A:$T,16,0),0)</f>
        <v>84117351.351351365</v>
      </c>
      <c r="N11" s="9">
        <f t="shared" si="3"/>
        <v>-4.5455587250159413E-3</v>
      </c>
      <c r="O11" s="4">
        <f>IFERROR(VLOOKUP($A:$A,MASTER!$A:$T,17,0),0)</f>
        <v>12987837.837837836</v>
      </c>
      <c r="P11" s="4">
        <f>IFERROR(VLOOKUP($A:$A,MASTER!$A:$T,18,0),0)</f>
        <v>16177477.477477478</v>
      </c>
      <c r="Q11" s="9">
        <f t="shared" si="4"/>
        <v>-0.19716545079913139</v>
      </c>
      <c r="R11" s="4">
        <f>IFERROR(VLOOKUP($A:$A,MASTER!$A:$T,19,0),0)</f>
        <v>3185</v>
      </c>
      <c r="S11" s="4">
        <f>IFERROR(VLOOKUP($A:$A,MASTER!$A:$T,20,0),0)</f>
        <v>2876</v>
      </c>
      <c r="T11" s="9">
        <f t="shared" si="5"/>
        <v>0.10744089012517377</v>
      </c>
      <c r="U11" s="18">
        <f>IFERROR(VLOOKUP(A:A,MASTER!A:K,11,0),0)</f>
        <v>34</v>
      </c>
      <c r="V11" s="18">
        <f>IFERROR(VLOOKUP(A:A,MASTER!A:L,12,0),0)</f>
        <v>26</v>
      </c>
      <c r="W11" s="9">
        <f t="shared" si="6"/>
        <v>0.30769230769230771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711319254.39834166</v>
      </c>
      <c r="D12" s="4">
        <f>IFERROR(VLOOKUP($A:$A,MASTER!$A:$T,4,0),0)</f>
        <v>679283460.86719251</v>
      </c>
      <c r="E12" s="9">
        <f t="shared" si="0"/>
        <v>4.7161156390075121E-2</v>
      </c>
      <c r="F12" s="4">
        <f>IFERROR(VLOOKUP(A:A,MASTER!A:E,5,0),0)</f>
        <v>6794168.4684684779</v>
      </c>
      <c r="G12" s="4">
        <f>IFERROR(VLOOKUP(A:A,MASTER!A:F,6,0),0)</f>
        <v>37291364.864864863</v>
      </c>
      <c r="H12" s="9">
        <f t="shared" si="1"/>
        <v>-0.81780853307222867</v>
      </c>
      <c r="I12" s="4">
        <f>IFERROR(VLOOKUP(A:A,MASTER!A:M,13,0),0)</f>
        <v>233787057.65765765</v>
      </c>
      <c r="J12" s="4">
        <f>IFERROR(VLOOKUP($A:$A,MASTER!$A:$T,14,0),0)</f>
        <v>480664518.01801807</v>
      </c>
      <c r="K12" s="9">
        <f t="shared" si="2"/>
        <v>-0.51361698462441119</v>
      </c>
      <c r="L12" s="4">
        <f>IFERROR(VLOOKUP($A:$A,MASTER!$A:$T,15,0),0)</f>
        <v>483708810.8108108</v>
      </c>
      <c r="M12" s="4">
        <f>IFERROR(VLOOKUP($A:$A,MASTER!$A:$T,16,0),0)</f>
        <v>473281018.01801807</v>
      </c>
      <c r="N12" s="9">
        <f t="shared" si="3"/>
        <v>2.2032983356192304E-2</v>
      </c>
      <c r="O12" s="4">
        <f>IFERROR(VLOOKUP($A:$A,MASTER!$A:$T,17,0),0)</f>
        <v>209303333.33333334</v>
      </c>
      <c r="P12" s="4">
        <f>IFERROR(VLOOKUP($A:$A,MASTER!$A:$T,18,0),0)</f>
        <v>451828918.91891891</v>
      </c>
      <c r="Q12" s="9">
        <f t="shared" si="4"/>
        <v>-0.53676419421286981</v>
      </c>
      <c r="R12" s="4">
        <f>IFERROR(VLOOKUP($A:$A,MASTER!$A:$T,19,0),0)</f>
        <v>13605</v>
      </c>
      <c r="S12" s="4">
        <f>IFERROR(VLOOKUP($A:$A,MASTER!$A:$T,20,0),0)</f>
        <v>13210</v>
      </c>
      <c r="T12" s="9">
        <f t="shared" si="5"/>
        <v>2.9901589704769194E-2</v>
      </c>
      <c r="U12" s="18">
        <f>IFERROR(VLOOKUP(A:A,MASTER!A:K,11,0),0)</f>
        <v>884</v>
      </c>
      <c r="V12" s="18">
        <f>IFERROR(VLOOKUP(A:A,MASTER!A:L,12,0),0)</f>
        <v>1303</v>
      </c>
      <c r="W12" s="9">
        <f t="shared" si="6"/>
        <v>-0.32156561780506521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167982267.37786144</v>
      </c>
      <c r="D13" s="4">
        <f>IFERROR(VLOOKUP($A:$A,MASTER!$A:$T,4,0),0)</f>
        <v>163943494.62291747</v>
      </c>
      <c r="E13" s="9">
        <f t="shared" si="0"/>
        <v>2.463515105758507E-2</v>
      </c>
      <c r="F13" s="4">
        <f>IFERROR(VLOOKUP(A:A,MASTER!A:E,5,0),0)</f>
        <v>421621.62162162398</v>
      </c>
      <c r="G13" s="4">
        <f>IFERROR(VLOOKUP(A:A,MASTER!A:F,6,0),0)</f>
        <v>363963.96396396402</v>
      </c>
      <c r="H13" s="9">
        <f t="shared" si="1"/>
        <v>0.15841584158416477</v>
      </c>
      <c r="I13" s="4">
        <f>IFERROR(VLOOKUP(A:A,MASTER!A:M,13,0),0)</f>
        <v>28293243.243243244</v>
      </c>
      <c r="J13" s="4">
        <f>IFERROR(VLOOKUP($A:$A,MASTER!$A:$T,14,0),0)</f>
        <v>51640540.540540539</v>
      </c>
      <c r="K13" s="9">
        <f t="shared" si="2"/>
        <v>-0.45211179149002978</v>
      </c>
      <c r="L13" s="4">
        <f>IFERROR(VLOOKUP($A:$A,MASTER!$A:$T,15,0),0)</f>
        <v>117098072.07207206</v>
      </c>
      <c r="M13" s="4">
        <f>IFERROR(VLOOKUP($A:$A,MASTER!$A:$T,16,0),0)</f>
        <v>110502693.6936937</v>
      </c>
      <c r="N13" s="9">
        <f t="shared" si="3"/>
        <v>5.9685227191477619E-2</v>
      </c>
      <c r="O13" s="4">
        <f>IFERROR(VLOOKUP($A:$A,MASTER!$A:$T,17,0),0)</f>
        <v>30243153.153153151</v>
      </c>
      <c r="P13" s="4">
        <f>IFERROR(VLOOKUP($A:$A,MASTER!$A:$T,18,0),0)</f>
        <v>52023693.693693697</v>
      </c>
      <c r="Q13" s="9">
        <f t="shared" si="4"/>
        <v>-0.41866578464767445</v>
      </c>
      <c r="R13" s="4">
        <f>IFERROR(VLOOKUP($A:$A,MASTER!$A:$T,19,0),0)</f>
        <v>5058</v>
      </c>
      <c r="S13" s="4">
        <f>IFERROR(VLOOKUP($A:$A,MASTER!$A:$T,20,0),0)</f>
        <v>4777</v>
      </c>
      <c r="T13" s="9">
        <f t="shared" si="5"/>
        <v>5.8823529411764719E-2</v>
      </c>
      <c r="U13" s="18">
        <f>IFERROR(VLOOKUP(A:A,MASTER!A:K,11,0),0)</f>
        <v>56</v>
      </c>
      <c r="V13" s="18">
        <f>IFERROR(VLOOKUP(A:A,MASTER!A:L,12,0),0)</f>
        <v>56</v>
      </c>
      <c r="W13" s="9">
        <f t="shared" si="6"/>
        <v>0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232775707.11638537</v>
      </c>
      <c r="D14" s="4">
        <f>IFERROR(VLOOKUP($A:$A,MASTER!$A:$T,4,0),0)</f>
        <v>235477866.27252737</v>
      </c>
      <c r="E14" s="9">
        <f t="shared" si="0"/>
        <v>-1.1475215054882026E-2</v>
      </c>
      <c r="F14" s="4">
        <f>IFERROR(VLOOKUP(A:A,MASTER!A:E,5,0),0)</f>
        <v>4509009.0090090111</v>
      </c>
      <c r="G14" s="4">
        <f>IFERROR(VLOOKUP(A:A,MASTER!A:F,6,0),0)</f>
        <v>4691891.8918918958</v>
      </c>
      <c r="H14" s="9">
        <f t="shared" si="1"/>
        <v>-3.8978494623656323E-2</v>
      </c>
      <c r="I14" s="4">
        <f>IFERROR(VLOOKUP(A:A,MASTER!A:M,13,0),0)</f>
        <v>42172072.072072074</v>
      </c>
      <c r="J14" s="4">
        <f>IFERROR(VLOOKUP($A:$A,MASTER!$A:$T,14,0),0)</f>
        <v>45747297.297297299</v>
      </c>
      <c r="K14" s="9">
        <f t="shared" si="2"/>
        <v>-7.8151616301854077E-2</v>
      </c>
      <c r="L14" s="4">
        <f>IFERROR(VLOOKUP($A:$A,MASTER!$A:$T,15,0),0)</f>
        <v>68863126.126126125</v>
      </c>
      <c r="M14" s="4">
        <f>IFERROR(VLOOKUP($A:$A,MASTER!$A:$T,16,0),0)</f>
        <v>71698774.774774775</v>
      </c>
      <c r="N14" s="9">
        <f t="shared" si="3"/>
        <v>-3.9549471487569932E-2</v>
      </c>
      <c r="O14" s="4">
        <f>IFERROR(VLOOKUP($A:$A,MASTER!$A:$T,17,0),0)</f>
        <v>39336756.756756753</v>
      </c>
      <c r="P14" s="4">
        <f>IFERROR(VLOOKUP($A:$A,MASTER!$A:$T,18,0),0)</f>
        <v>41383963.963963971</v>
      </c>
      <c r="Q14" s="9">
        <f t="shared" si="4"/>
        <v>-4.9468610812387848E-2</v>
      </c>
      <c r="R14" s="4">
        <f>IFERROR(VLOOKUP($A:$A,MASTER!$A:$T,19,0),0)</f>
        <v>4066</v>
      </c>
      <c r="S14" s="4">
        <f>IFERROR(VLOOKUP($A:$A,MASTER!$A:$T,20,0),0)</f>
        <v>3508</v>
      </c>
      <c r="T14" s="9">
        <f t="shared" si="5"/>
        <v>0.15906499429874565</v>
      </c>
      <c r="U14" s="18">
        <f>IFERROR(VLOOKUP(A:A,MASTER!A:K,11,0),0)</f>
        <v>22</v>
      </c>
      <c r="V14" s="18">
        <f>IFERROR(VLOOKUP(A:A,MASTER!A:L,12,0),0)</f>
        <v>54</v>
      </c>
      <c r="W14" s="9">
        <f t="shared" si="6"/>
        <v>-0.59259259259259256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452846437.45104921</v>
      </c>
      <c r="D15" s="4">
        <f>IFERROR(VLOOKUP($A:$A,MASTER!$A:$T,4,0),0)</f>
        <v>430023315.69384193</v>
      </c>
      <c r="E15" s="9">
        <f t="shared" si="0"/>
        <v>5.3074149526944225E-2</v>
      </c>
      <c r="F15" s="4">
        <f>IFERROR(VLOOKUP(A:A,MASTER!A:E,5,0),0)</f>
        <v>11896039.639639648</v>
      </c>
      <c r="G15" s="4">
        <f>IFERROR(VLOOKUP(A:A,MASTER!A:F,6,0),0)</f>
        <v>9222685.5855855886</v>
      </c>
      <c r="H15" s="9">
        <f t="shared" si="1"/>
        <v>0.28986720074598704</v>
      </c>
      <c r="I15" s="4">
        <f>IFERROR(VLOOKUP(A:A,MASTER!A:M,13,0),0)</f>
        <v>632584095.49549556</v>
      </c>
      <c r="J15" s="4">
        <f>IFERROR(VLOOKUP($A:$A,MASTER!$A:$T,14,0),0)</f>
        <v>617271919.81981981</v>
      </c>
      <c r="K15" s="9">
        <f t="shared" si="2"/>
        <v>2.4806208064908075E-2</v>
      </c>
      <c r="L15" s="4">
        <f>IFERROR(VLOOKUP($A:$A,MASTER!$A:$T,15,0),0)</f>
        <v>164873342.34234235</v>
      </c>
      <c r="M15" s="4">
        <f>IFERROR(VLOOKUP($A:$A,MASTER!$A:$T,16,0),0)</f>
        <v>157609953.15315315</v>
      </c>
      <c r="N15" s="9">
        <f t="shared" si="3"/>
        <v>4.6084584405219564E-2</v>
      </c>
      <c r="O15" s="4">
        <f>IFERROR(VLOOKUP($A:$A,MASTER!$A:$T,17,0),0)</f>
        <v>557382342.34234238</v>
      </c>
      <c r="P15" s="4">
        <f>IFERROR(VLOOKUP($A:$A,MASTER!$A:$T,18,0),0)</f>
        <v>558653378.37837839</v>
      </c>
      <c r="Q15" s="9">
        <f t="shared" si="4"/>
        <v>-2.2751782862666659E-3</v>
      </c>
      <c r="R15" s="4">
        <f>IFERROR(VLOOKUP($A:$A,MASTER!$A:$T,19,0),0)</f>
        <v>7640</v>
      </c>
      <c r="S15" s="4">
        <f>IFERROR(VLOOKUP($A:$A,MASTER!$A:$T,20,0),0)</f>
        <v>6981</v>
      </c>
      <c r="T15" s="9">
        <f t="shared" si="5"/>
        <v>9.4399083225898961E-2</v>
      </c>
      <c r="U15" s="18">
        <f>IFERROR(VLOOKUP(A:A,MASTER!A:K,11,0),0)</f>
        <v>72</v>
      </c>
      <c r="V15" s="18">
        <f>IFERROR(VLOOKUP(A:A,MASTER!A:L,12,0),0)</f>
        <v>132</v>
      </c>
      <c r="W15" s="9">
        <f t="shared" si="6"/>
        <v>-0.45454545454545459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950168427.92792797</v>
      </c>
      <c r="G16" s="4">
        <f>IFERROR(VLOOKUP(A:A,MASTER!A:F,6,0),0)</f>
        <v>1007325100.9009008</v>
      </c>
      <c r="H16" s="9">
        <f t="shared" si="1"/>
        <v>-5.6741039136079086E-2</v>
      </c>
      <c r="I16" s="4">
        <f>IFERROR(VLOOKUP(A:A,MASTER!A:M,13,0),0)</f>
        <v>84297297.297297299</v>
      </c>
      <c r="J16" s="4">
        <f>IFERROR(VLOOKUP($A:$A,MASTER!$A:$T,14,0),0)</f>
        <v>93911261.261261269</v>
      </c>
      <c r="K16" s="9">
        <f t="shared" si="2"/>
        <v>-0.10237285534072327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8">
        <f>IFERROR(VLOOKUP(A:A,MASTER!A:K,11,0),0)</f>
        <v>0</v>
      </c>
      <c r="V16" s="18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189844050.93911174</v>
      </c>
      <c r="D17" s="4">
        <f>IFERROR(VLOOKUP($A:$A,MASTER!$A:$T,4,0),0)</f>
        <v>188748362.58761123</v>
      </c>
      <c r="E17" s="9">
        <f t="shared" si="0"/>
        <v>5.8050217574308061E-3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113543304.50450452</v>
      </c>
      <c r="M17" s="4">
        <f>IFERROR(VLOOKUP($A:$A,MASTER!$A:$T,16,0),0)</f>
        <v>111775279.27927928</v>
      </c>
      <c r="N17" s="9">
        <f t="shared" si="3"/>
        <v>1.5817676651092905E-2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3968</v>
      </c>
      <c r="S17" s="4">
        <f>IFERROR(VLOOKUP($A:$A,MASTER!$A:$T,20,0),0)</f>
        <v>3698</v>
      </c>
      <c r="T17" s="9">
        <f t="shared" si="5"/>
        <v>7.3012439156300735E-2</v>
      </c>
      <c r="U17" s="18">
        <f>IFERROR(VLOOKUP(A:A,MASTER!A:K,11,0),0)</f>
        <v>30</v>
      </c>
      <c r="V17" s="18">
        <f>IFERROR(VLOOKUP(A:A,MASTER!A:L,12,0),0)</f>
        <v>25</v>
      </c>
      <c r="W17" s="9">
        <f t="shared" si="6"/>
        <v>0.19999999999999996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166382922.81161487</v>
      </c>
      <c r="D18" s="4">
        <f>IFERROR(VLOOKUP($A:$A,MASTER!$A:$T,4,0),0)</f>
        <v>154456764.85404283</v>
      </c>
      <c r="E18" s="9">
        <f t="shared" si="0"/>
        <v>7.7213568268388322E-2</v>
      </c>
      <c r="F18" s="4">
        <f>IFERROR(VLOOKUP(A:A,MASTER!A:E,5,0),0)</f>
        <v>586486.48648648802</v>
      </c>
      <c r="G18" s="4">
        <f>IFERROR(VLOOKUP(A:A,MASTER!A:F,6,0),0)</f>
        <v>561261.26126126095</v>
      </c>
      <c r="H18" s="9">
        <f t="shared" si="1"/>
        <v>4.494382022472232E-2</v>
      </c>
      <c r="I18" s="4">
        <f>IFERROR(VLOOKUP(A:A,MASTER!A:M,13,0),0)</f>
        <v>14505405.405405408</v>
      </c>
      <c r="J18" s="4">
        <f>IFERROR(VLOOKUP($A:$A,MASTER!$A:$T,14,0),0)</f>
        <v>13444144.144144144</v>
      </c>
      <c r="K18" s="9">
        <f t="shared" si="2"/>
        <v>7.8938551229645659E-2</v>
      </c>
      <c r="L18" s="4">
        <f>IFERROR(VLOOKUP($A:$A,MASTER!$A:$T,15,0),0)</f>
        <v>56041695.945945941</v>
      </c>
      <c r="M18" s="4">
        <f>IFERROR(VLOOKUP($A:$A,MASTER!$A:$T,16,0),0)</f>
        <v>59141207.20720721</v>
      </c>
      <c r="N18" s="9">
        <f t="shared" si="3"/>
        <v>-5.2408657307278506E-2</v>
      </c>
      <c r="O18" s="4">
        <f>IFERROR(VLOOKUP($A:$A,MASTER!$A:$T,17,0),0)</f>
        <v>15268198.198198197</v>
      </c>
      <c r="P18" s="4">
        <f>IFERROR(VLOOKUP($A:$A,MASTER!$A:$T,18,0),0)</f>
        <v>12833963.963963963</v>
      </c>
      <c r="Q18" s="9">
        <f t="shared" si="4"/>
        <v>0.18967126922509947</v>
      </c>
      <c r="R18" s="4">
        <f>IFERROR(VLOOKUP($A:$A,MASTER!$A:$T,19,0),0)</f>
        <v>5149</v>
      </c>
      <c r="S18" s="4">
        <f>IFERROR(VLOOKUP($A:$A,MASTER!$A:$T,20,0),0)</f>
        <v>4085</v>
      </c>
      <c r="T18" s="9">
        <f t="shared" si="5"/>
        <v>0.26046511627906987</v>
      </c>
      <c r="U18" s="18">
        <f>IFERROR(VLOOKUP(A:A,MASTER!A:K,11,0),0)</f>
        <v>41</v>
      </c>
      <c r="V18" s="18">
        <f>IFERROR(VLOOKUP(A:A,MASTER!A:L,12,0),0)</f>
        <v>37</v>
      </c>
      <c r="W18" s="9">
        <f t="shared" si="6"/>
        <v>0.10810810810810811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112318621.34218982</v>
      </c>
      <c r="D19" s="4">
        <f>IFERROR(VLOOKUP($A:$A,MASTER!$A:$T,4,0),0)</f>
        <v>100372024.25789727</v>
      </c>
      <c r="E19" s="9">
        <f t="shared" si="0"/>
        <v>0.11902317575659116</v>
      </c>
      <c r="F19" s="4">
        <f>IFERROR(VLOOKUP(A:A,MASTER!A:E,5,0),0)</f>
        <v>5278378.3783783782</v>
      </c>
      <c r="G19" s="4">
        <f>IFERROR(VLOOKUP(A:A,MASTER!A:F,6,0),0)</f>
        <v>481981.981981983</v>
      </c>
      <c r="H19" s="9">
        <f t="shared" si="1"/>
        <v>9.9514018691588557</v>
      </c>
      <c r="I19" s="4">
        <f>IFERROR(VLOOKUP(A:A,MASTER!A:M,13,0),0)</f>
        <v>21584684.684684683</v>
      </c>
      <c r="J19" s="4">
        <f>IFERROR(VLOOKUP($A:$A,MASTER!$A:$T,14,0),0)</f>
        <v>6968468.4684684686</v>
      </c>
      <c r="K19" s="9">
        <f t="shared" si="2"/>
        <v>2.0974789915966383</v>
      </c>
      <c r="L19" s="4">
        <f>IFERROR(VLOOKUP($A:$A,MASTER!$A:$T,15,0),0)</f>
        <v>44974297.297297299</v>
      </c>
      <c r="M19" s="4">
        <f>IFERROR(VLOOKUP($A:$A,MASTER!$A:$T,16,0),0)</f>
        <v>43538153.153153151</v>
      </c>
      <c r="N19" s="9">
        <f t="shared" si="3"/>
        <v>3.2985876527473756E-2</v>
      </c>
      <c r="O19" s="4">
        <f>IFERROR(VLOOKUP($A:$A,MASTER!$A:$T,17,0),0)</f>
        <v>23661441.441441439</v>
      </c>
      <c r="P19" s="4">
        <f>IFERROR(VLOOKUP($A:$A,MASTER!$A:$T,18,0),0)</f>
        <v>8347207.2072072094</v>
      </c>
      <c r="Q19" s="9">
        <f t="shared" si="4"/>
        <v>1.8346536576942163</v>
      </c>
      <c r="R19" s="4">
        <f>IFERROR(VLOOKUP($A:$A,MASTER!$A:$T,19,0),0)</f>
        <v>4367</v>
      </c>
      <c r="S19" s="4">
        <f>IFERROR(VLOOKUP($A:$A,MASTER!$A:$T,20,0),0)</f>
        <v>2806</v>
      </c>
      <c r="T19" s="9">
        <f t="shared" si="5"/>
        <v>0.55630791161796145</v>
      </c>
      <c r="U19" s="18">
        <f>IFERROR(VLOOKUP(A:A,MASTER!A:K,11,0),0)</f>
        <v>20</v>
      </c>
      <c r="V19" s="18">
        <f>IFERROR(VLOOKUP(A:A,MASTER!A:L,12,0),0)</f>
        <v>23</v>
      </c>
      <c r="W19" s="9">
        <f t="shared" si="6"/>
        <v>-0.13043478260869568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8">
        <f>IFERROR(VLOOKUP(A:A,MASTER!A:K,11,0),0)</f>
        <v>0</v>
      </c>
      <c r="V20" s="18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380098733.23656797</v>
      </c>
      <c r="D21" s="4">
        <f>IFERROR(VLOOKUP($A:$A,MASTER!$A:$T,4,0),0)</f>
        <v>358768463.84994513</v>
      </c>
      <c r="E21" s="9">
        <f t="shared" si="0"/>
        <v>5.9454136959886883E-2</v>
      </c>
      <c r="F21" s="4">
        <f>IFERROR(VLOOKUP(A:A,MASTER!A:E,5,0),0)</f>
        <v>4042342.342342352</v>
      </c>
      <c r="G21" s="4">
        <f>IFERROR(VLOOKUP(A:A,MASTER!A:F,6,0),0)</f>
        <v>3495945.9459459479</v>
      </c>
      <c r="H21" s="9">
        <f t="shared" si="1"/>
        <v>0.15629429197268596</v>
      </c>
      <c r="I21" s="4">
        <f>IFERROR(VLOOKUP(A:A,MASTER!A:M,13,0),0)</f>
        <v>86551396.396396399</v>
      </c>
      <c r="J21" s="4">
        <f>IFERROR(VLOOKUP($A:$A,MASTER!$A:$T,14,0),0)</f>
        <v>83200000</v>
      </c>
      <c r="K21" s="9">
        <f t="shared" si="2"/>
        <v>4.0281206687456717E-2</v>
      </c>
      <c r="L21" s="4">
        <f>IFERROR(VLOOKUP($A:$A,MASTER!$A:$T,15,0),0)</f>
        <v>219704909.90990993</v>
      </c>
      <c r="M21" s="4">
        <f>IFERROR(VLOOKUP($A:$A,MASTER!$A:$T,16,0),0)</f>
        <v>215967162.16216218</v>
      </c>
      <c r="N21" s="9">
        <f t="shared" si="3"/>
        <v>1.7307018855677647E-2</v>
      </c>
      <c r="O21" s="4">
        <f>IFERROR(VLOOKUP($A:$A,MASTER!$A:$T,17,0),0)</f>
        <v>82289007.207207218</v>
      </c>
      <c r="P21" s="4">
        <f>IFERROR(VLOOKUP($A:$A,MASTER!$A:$T,18,0),0)</f>
        <v>89382612.612612605</v>
      </c>
      <c r="Q21" s="9">
        <f t="shared" si="4"/>
        <v>-7.9362251763095415E-2</v>
      </c>
      <c r="R21" s="4">
        <f>IFERROR(VLOOKUP($A:$A,MASTER!$A:$T,19,0),0)</f>
        <v>8309</v>
      </c>
      <c r="S21" s="4">
        <f>IFERROR(VLOOKUP($A:$A,MASTER!$A:$T,20,0),0)</f>
        <v>7202</v>
      </c>
      <c r="T21" s="9">
        <f t="shared" si="5"/>
        <v>0.15370730352679818</v>
      </c>
      <c r="U21" s="18">
        <f>IFERROR(VLOOKUP(A:A,MASTER!A:K,11,0),0)</f>
        <v>211</v>
      </c>
      <c r="V21" s="18">
        <f>IFERROR(VLOOKUP(A:A,MASTER!A:L,12,0),0)</f>
        <v>422</v>
      </c>
      <c r="W21" s="9">
        <f t="shared" si="6"/>
        <v>-0.5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193815180.47738329</v>
      </c>
      <c r="D22" s="4">
        <f>IFERROR(VLOOKUP($A:$A,MASTER!$A:$T,4,0),0)</f>
        <v>195296709.88779292</v>
      </c>
      <c r="E22" s="9">
        <f t="shared" si="0"/>
        <v>-7.5860438778555528E-3</v>
      </c>
      <c r="F22" s="4">
        <f>IFERROR(VLOOKUP(A:A,MASTER!A:E,5,0),0)</f>
        <v>933333.33333333698</v>
      </c>
      <c r="G22" s="4">
        <f>IFERROR(VLOOKUP(A:A,MASTER!A:F,6,0),0)</f>
        <v>737837.83783783903</v>
      </c>
      <c r="H22" s="9">
        <f t="shared" si="1"/>
        <v>0.26495726495726779</v>
      </c>
      <c r="I22" s="4">
        <f>IFERROR(VLOOKUP(A:A,MASTER!A:M,13,0),0)</f>
        <v>36453153.153153151</v>
      </c>
      <c r="J22" s="4">
        <f>IFERROR(VLOOKUP($A:$A,MASTER!$A:$T,14,0),0)</f>
        <v>32037387.387387387</v>
      </c>
      <c r="K22" s="9">
        <f t="shared" si="2"/>
        <v>0.13783164377205681</v>
      </c>
      <c r="L22" s="4">
        <f>IFERROR(VLOOKUP($A:$A,MASTER!$A:$T,15,0),0)</f>
        <v>65284279.279279277</v>
      </c>
      <c r="M22" s="4">
        <f>IFERROR(VLOOKUP($A:$A,MASTER!$A:$T,16,0),0)</f>
        <v>68965882.882882878</v>
      </c>
      <c r="N22" s="9">
        <f t="shared" si="3"/>
        <v>-5.3382969226329791E-2</v>
      </c>
      <c r="O22" s="4">
        <f>IFERROR(VLOOKUP($A:$A,MASTER!$A:$T,17,0),0)</f>
        <v>40746306.306306303</v>
      </c>
      <c r="P22" s="4">
        <f>IFERROR(VLOOKUP($A:$A,MASTER!$A:$T,18,0),0)</f>
        <v>27279369.369369369</v>
      </c>
      <c r="Q22" s="9">
        <f t="shared" si="4"/>
        <v>0.49366745816559376</v>
      </c>
      <c r="R22" s="4">
        <f>IFERROR(VLOOKUP($A:$A,MASTER!$A:$T,19,0),0)</f>
        <v>4096</v>
      </c>
      <c r="S22" s="4">
        <f>IFERROR(VLOOKUP($A:$A,MASTER!$A:$T,20,0),0)</f>
        <v>4136</v>
      </c>
      <c r="T22" s="9">
        <f t="shared" si="5"/>
        <v>-9.6711798839458352E-3</v>
      </c>
      <c r="U22" s="18">
        <f>IFERROR(VLOOKUP(A:A,MASTER!A:K,11,0),0)</f>
        <v>29</v>
      </c>
      <c r="V22" s="18">
        <f>IFERROR(VLOOKUP(A:A,MASTER!A:L,12,0),0)</f>
        <v>33</v>
      </c>
      <c r="W22" s="9">
        <f t="shared" si="6"/>
        <v>-0.12121212121212122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workbookViewId="0">
      <pane xSplit="1" ySplit="2" topLeftCell="I3" activePane="bottomRight" state="frozen"/>
      <selection pane="topRight" activeCell="B1" sqref="B1"/>
      <selection pane="bottomLeft" activeCell="A3" sqref="A3"/>
      <selection pane="bottomRight" activeCell="F1" sqref="F1:M104857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23.1796875" bestFit="1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603855163.31872594</v>
      </c>
      <c r="D4">
        <v>645634661.49590397</v>
      </c>
      <c r="E4">
        <v>3157432.4324324341</v>
      </c>
      <c r="F4">
        <v>2991891.8918918921</v>
      </c>
      <c r="G4">
        <v>65</v>
      </c>
      <c r="H4">
        <v>26</v>
      </c>
      <c r="K4">
        <v>131</v>
      </c>
      <c r="L4">
        <v>43</v>
      </c>
      <c r="M4">
        <v>50503423.423423424</v>
      </c>
      <c r="N4">
        <v>29887387.387387387</v>
      </c>
      <c r="O4">
        <v>77110827.027027026</v>
      </c>
      <c r="P4">
        <v>91523007.207207203</v>
      </c>
      <c r="Q4">
        <v>47958738.738738738</v>
      </c>
      <c r="R4">
        <v>32632972.97297297</v>
      </c>
      <c r="S4">
        <v>8609</v>
      </c>
      <c r="T4">
        <v>8264</v>
      </c>
    </row>
    <row r="5" spans="1:20" x14ac:dyDescent="0.35">
      <c r="A5" s="7" t="s">
        <v>50</v>
      </c>
      <c r="B5" s="12" t="s">
        <v>51</v>
      </c>
      <c r="C5">
        <v>904035771.88069272</v>
      </c>
      <c r="D5">
        <v>935643904.97767532</v>
      </c>
      <c r="E5">
        <v>14119819.81981983</v>
      </c>
      <c r="F5">
        <v>11996191.8918919</v>
      </c>
      <c r="G5">
        <v>537</v>
      </c>
      <c r="H5">
        <v>572</v>
      </c>
      <c r="I5">
        <v>2</v>
      </c>
      <c r="K5">
        <v>831</v>
      </c>
      <c r="L5">
        <v>744</v>
      </c>
      <c r="M5">
        <v>243432792.7927928</v>
      </c>
      <c r="N5">
        <v>292079594.5945946</v>
      </c>
      <c r="O5">
        <v>291244608.1081081</v>
      </c>
      <c r="P5">
        <v>302772936.93693697</v>
      </c>
      <c r="Q5">
        <v>234879279.27927929</v>
      </c>
      <c r="R5">
        <v>283525765.76576579</v>
      </c>
      <c r="S5">
        <v>21609</v>
      </c>
      <c r="T5">
        <v>18409</v>
      </c>
    </row>
    <row r="6" spans="1:20" x14ac:dyDescent="0.35">
      <c r="A6" s="7" t="s">
        <v>52</v>
      </c>
      <c r="B6" s="12" t="s">
        <v>53</v>
      </c>
      <c r="C6">
        <v>229145667.3957338</v>
      </c>
      <c r="D6">
        <v>238825395.81974837</v>
      </c>
      <c r="E6">
        <v>5829729.7297297306</v>
      </c>
      <c r="F6">
        <v>5140990.9909909908</v>
      </c>
      <c r="G6">
        <v>113</v>
      </c>
      <c r="H6">
        <v>152</v>
      </c>
      <c r="K6">
        <v>151</v>
      </c>
      <c r="L6">
        <v>168</v>
      </c>
      <c r="M6">
        <v>68985135.135135129</v>
      </c>
      <c r="N6">
        <v>44330720.720720723</v>
      </c>
      <c r="O6">
        <v>76861117.117117122</v>
      </c>
      <c r="P6">
        <v>80442045.045045033</v>
      </c>
      <c r="Q6">
        <v>56639729.729729734</v>
      </c>
      <c r="R6">
        <v>41310180.180180177</v>
      </c>
      <c r="S6">
        <v>4834</v>
      </c>
      <c r="T6">
        <v>4701</v>
      </c>
    </row>
    <row r="7" spans="1:20" x14ac:dyDescent="0.35">
      <c r="A7" s="7" t="s">
        <v>54</v>
      </c>
      <c r="B7" s="12" t="s">
        <v>55</v>
      </c>
      <c r="C7">
        <v>124114398.03843886</v>
      </c>
      <c r="D7">
        <v>114389765.97314736</v>
      </c>
      <c r="E7">
        <v>2462162.162162167</v>
      </c>
      <c r="F7">
        <v>2457207.2072072108</v>
      </c>
      <c r="G7">
        <v>30</v>
      </c>
      <c r="H7">
        <v>61</v>
      </c>
      <c r="K7">
        <v>73</v>
      </c>
      <c r="L7">
        <v>78</v>
      </c>
      <c r="M7">
        <v>13325855.85585586</v>
      </c>
      <c r="N7">
        <v>18310630.630630631</v>
      </c>
      <c r="O7">
        <v>39452939.189189196</v>
      </c>
      <c r="P7">
        <v>37802594.59459459</v>
      </c>
      <c r="Q7">
        <v>14325045.045045044</v>
      </c>
      <c r="R7">
        <v>17609909.909909908</v>
      </c>
      <c r="S7">
        <v>4620</v>
      </c>
      <c r="T7">
        <v>3377</v>
      </c>
    </row>
    <row r="8" spans="1:20" x14ac:dyDescent="0.35">
      <c r="A8" s="7" t="s">
        <v>56</v>
      </c>
      <c r="B8" s="12" t="s">
        <v>55</v>
      </c>
      <c r="C8">
        <v>203099273.38501784</v>
      </c>
      <c r="D8">
        <v>213608875.53822845</v>
      </c>
      <c r="E8">
        <v>3874774.7747747758</v>
      </c>
      <c r="F8">
        <v>5086036.0360360406</v>
      </c>
      <c r="G8">
        <v>102</v>
      </c>
      <c r="H8">
        <v>151</v>
      </c>
      <c r="K8">
        <v>519</v>
      </c>
      <c r="L8">
        <v>413</v>
      </c>
      <c r="M8">
        <v>80656036.036036029</v>
      </c>
      <c r="N8">
        <v>144508648.64864865</v>
      </c>
      <c r="O8">
        <v>59156657.657657653</v>
      </c>
      <c r="P8">
        <v>67059718.918918923</v>
      </c>
      <c r="Q8">
        <v>61514234.234234229</v>
      </c>
      <c r="R8">
        <v>74492882.882882878</v>
      </c>
      <c r="S8">
        <v>5470</v>
      </c>
      <c r="T8">
        <v>5030</v>
      </c>
    </row>
    <row r="9" spans="1:20" x14ac:dyDescent="0.35">
      <c r="A9" s="7" t="s">
        <v>57</v>
      </c>
      <c r="B9" s="12" t="s">
        <v>55</v>
      </c>
      <c r="C9">
        <v>99922805.196303874</v>
      </c>
      <c r="D9">
        <v>105612194.74395296</v>
      </c>
      <c r="E9">
        <v>1698198.198198199</v>
      </c>
      <c r="F9">
        <v>3025225.225225226</v>
      </c>
      <c r="G9">
        <v>25</v>
      </c>
      <c r="H9">
        <v>62</v>
      </c>
      <c r="K9">
        <v>28</v>
      </c>
      <c r="L9">
        <v>92</v>
      </c>
      <c r="M9">
        <v>10816756.756756756</v>
      </c>
      <c r="N9">
        <v>17413693.693693694</v>
      </c>
      <c r="O9">
        <v>29498621.62162162</v>
      </c>
      <c r="P9">
        <v>33922018.018018015</v>
      </c>
      <c r="Q9">
        <v>9227477.4774774779</v>
      </c>
      <c r="R9">
        <v>15502162.162162161</v>
      </c>
      <c r="S9">
        <v>2560</v>
      </c>
      <c r="T9">
        <v>2211</v>
      </c>
    </row>
    <row r="10" spans="1:20" x14ac:dyDescent="0.35">
      <c r="A10" s="7" t="s">
        <v>58</v>
      </c>
      <c r="B10" s="12" t="s">
        <v>59</v>
      </c>
      <c r="C10">
        <v>265623637.59599179</v>
      </c>
      <c r="D10">
        <v>263184262.39760834</v>
      </c>
      <c r="E10">
        <v>1095495.4954954961</v>
      </c>
      <c r="F10">
        <v>436936.93693693797</v>
      </c>
      <c r="G10">
        <v>88</v>
      </c>
      <c r="H10">
        <v>69</v>
      </c>
      <c r="I10">
        <v>1</v>
      </c>
      <c r="K10">
        <v>94</v>
      </c>
      <c r="L10">
        <v>82</v>
      </c>
      <c r="M10">
        <v>4527927.9279279271</v>
      </c>
      <c r="N10">
        <v>7103603.6036036033</v>
      </c>
      <c r="O10">
        <v>49541115.315315314</v>
      </c>
      <c r="P10">
        <v>53531126.126126125</v>
      </c>
      <c r="Q10">
        <v>4180360.3603603612</v>
      </c>
      <c r="R10">
        <v>6815045.0450450461</v>
      </c>
      <c r="S10">
        <v>5699</v>
      </c>
      <c r="T10">
        <v>5637</v>
      </c>
    </row>
    <row r="11" spans="1:20" x14ac:dyDescent="0.35">
      <c r="A11" s="7" t="s">
        <v>60</v>
      </c>
      <c r="B11" s="12" t="s">
        <v>61</v>
      </c>
      <c r="C11">
        <v>115492337.7233865</v>
      </c>
      <c r="D11">
        <v>120581445.52740611</v>
      </c>
      <c r="E11">
        <v>1091891.8918918951</v>
      </c>
      <c r="F11">
        <v>1378378.378378378</v>
      </c>
      <c r="G11">
        <v>44</v>
      </c>
      <c r="H11">
        <v>38</v>
      </c>
      <c r="I11">
        <v>1</v>
      </c>
      <c r="K11">
        <v>121</v>
      </c>
      <c r="L11">
        <v>82</v>
      </c>
      <c r="M11">
        <v>17575379.27927928</v>
      </c>
      <c r="N11">
        <v>23099099.0990991</v>
      </c>
      <c r="O11">
        <v>53608792.79279279</v>
      </c>
      <c r="P11">
        <v>57535135.135135137</v>
      </c>
      <c r="Q11">
        <v>11697747.747747747</v>
      </c>
      <c r="R11">
        <v>15689909.909909911</v>
      </c>
      <c r="S11">
        <v>3169</v>
      </c>
      <c r="T11">
        <v>3052</v>
      </c>
    </row>
    <row r="12" spans="1:20" x14ac:dyDescent="0.35">
      <c r="A12" s="7" t="s">
        <v>62</v>
      </c>
      <c r="B12" s="12" t="s">
        <v>63</v>
      </c>
      <c r="C12">
        <v>526069310.87515485</v>
      </c>
      <c r="D12">
        <v>529922381.20335299</v>
      </c>
      <c r="E12">
        <v>5307657.6576576652</v>
      </c>
      <c r="F12">
        <v>5175675.6756756864</v>
      </c>
      <c r="G12">
        <v>75</v>
      </c>
      <c r="H12">
        <v>34</v>
      </c>
      <c r="K12">
        <v>78</v>
      </c>
      <c r="L12">
        <v>62</v>
      </c>
      <c r="M12">
        <v>70687387.38738738</v>
      </c>
      <c r="N12">
        <v>73873513.51351352</v>
      </c>
      <c r="O12">
        <v>55620592.79279279</v>
      </c>
      <c r="P12">
        <v>65281484.684684679</v>
      </c>
      <c r="Q12">
        <v>68855135.135135129</v>
      </c>
      <c r="R12">
        <v>74841621.621621609</v>
      </c>
      <c r="S12">
        <v>8998</v>
      </c>
      <c r="T12">
        <v>8162</v>
      </c>
    </row>
    <row r="13" spans="1:20" x14ac:dyDescent="0.35">
      <c r="A13" s="7" t="s">
        <v>64</v>
      </c>
      <c r="B13" s="12" t="s">
        <v>51</v>
      </c>
      <c r="C13">
        <v>278754577.53503191</v>
      </c>
      <c r="D13">
        <v>276967522.43486392</v>
      </c>
      <c r="E13">
        <v>3010810.8108108151</v>
      </c>
      <c r="F13">
        <v>3947297.2972973022</v>
      </c>
      <c r="G13">
        <v>83</v>
      </c>
      <c r="H13">
        <v>81</v>
      </c>
      <c r="K13">
        <v>121</v>
      </c>
      <c r="L13">
        <v>89</v>
      </c>
      <c r="M13">
        <v>84917207.207207203</v>
      </c>
      <c r="N13">
        <v>56840072.072072074</v>
      </c>
      <c r="O13">
        <v>108702756.75675675</v>
      </c>
      <c r="P13">
        <v>111651387.38738739</v>
      </c>
      <c r="Q13">
        <v>83506936.93693693</v>
      </c>
      <c r="R13">
        <v>55679279.279279277</v>
      </c>
      <c r="S13">
        <v>5738</v>
      </c>
      <c r="T13">
        <v>5658</v>
      </c>
    </row>
    <row r="14" spans="1:20" x14ac:dyDescent="0.35">
      <c r="A14" s="7" t="s">
        <v>65</v>
      </c>
      <c r="B14" s="12" t="s">
        <v>51</v>
      </c>
      <c r="C14">
        <v>285884828.2293939</v>
      </c>
      <c r="D14">
        <v>283006812.67478561</v>
      </c>
      <c r="E14">
        <v>3872072.0720720729</v>
      </c>
      <c r="F14">
        <v>4015315.3153153169</v>
      </c>
      <c r="G14">
        <v>66</v>
      </c>
      <c r="H14">
        <v>40</v>
      </c>
      <c r="K14">
        <v>83</v>
      </c>
      <c r="L14">
        <v>50</v>
      </c>
      <c r="M14">
        <v>31433603.603603605</v>
      </c>
      <c r="N14">
        <v>46684864.864864863</v>
      </c>
      <c r="O14">
        <v>108821351.35135135</v>
      </c>
      <c r="P14">
        <v>110128819.81981982</v>
      </c>
      <c r="Q14">
        <v>30959099.099099096</v>
      </c>
      <c r="R14">
        <v>36564504.504504502</v>
      </c>
      <c r="S14">
        <v>5633</v>
      </c>
      <c r="T14">
        <v>5530</v>
      </c>
    </row>
    <row r="15" spans="1:20" x14ac:dyDescent="0.35">
      <c r="A15" s="7" t="s">
        <v>66</v>
      </c>
      <c r="B15" s="12" t="s">
        <v>67</v>
      </c>
      <c r="C15">
        <v>290014419.25054735</v>
      </c>
      <c r="D15">
        <v>283997320.32974833</v>
      </c>
      <c r="E15">
        <v>7101801.8018018063</v>
      </c>
      <c r="F15">
        <v>14588738.73873874</v>
      </c>
      <c r="G15">
        <v>58</v>
      </c>
      <c r="H15">
        <v>78</v>
      </c>
      <c r="K15">
        <v>68</v>
      </c>
      <c r="L15">
        <v>93</v>
      </c>
      <c r="M15">
        <v>149041711.7117117</v>
      </c>
      <c r="N15">
        <v>202431081.08108109</v>
      </c>
      <c r="O15">
        <v>147078990.99099097</v>
      </c>
      <c r="P15">
        <v>143678234.23423424</v>
      </c>
      <c r="Q15">
        <v>128780180.18018018</v>
      </c>
      <c r="R15">
        <v>197188288.2882883</v>
      </c>
      <c r="S15">
        <v>7671</v>
      </c>
      <c r="T15">
        <v>5570</v>
      </c>
    </row>
    <row r="16" spans="1:20" x14ac:dyDescent="0.35">
      <c r="A16" s="7" t="s">
        <v>68</v>
      </c>
      <c r="B16" s="12" t="s">
        <v>69</v>
      </c>
      <c r="C16">
        <v>168819381.01194811</v>
      </c>
      <c r="D16">
        <v>169389926.73325175</v>
      </c>
      <c r="E16">
        <v>36304504.504504502</v>
      </c>
      <c r="F16">
        <v>30380180.180180181</v>
      </c>
      <c r="G16">
        <v>56</v>
      </c>
      <c r="H16">
        <v>36</v>
      </c>
      <c r="K16">
        <v>60</v>
      </c>
      <c r="L16">
        <v>42</v>
      </c>
      <c r="M16">
        <v>31323963.963963963</v>
      </c>
      <c r="N16">
        <v>30568873.873873871</v>
      </c>
      <c r="O16">
        <v>46285810.810810804</v>
      </c>
      <c r="P16">
        <v>49942423.423423424</v>
      </c>
      <c r="Q16">
        <v>21673693.693693697</v>
      </c>
      <c r="R16">
        <v>21906891.891891889</v>
      </c>
      <c r="S16">
        <v>3375</v>
      </c>
      <c r="T16">
        <v>3110</v>
      </c>
    </row>
    <row r="17" spans="1:20" x14ac:dyDescent="0.35">
      <c r="A17" s="7" t="s">
        <v>70</v>
      </c>
      <c r="B17" s="12" t="s">
        <v>71</v>
      </c>
      <c r="C17">
        <v>13198759.32676122</v>
      </c>
      <c r="D17">
        <v>12976491.775849583</v>
      </c>
      <c r="E17">
        <v>116216.216216217</v>
      </c>
      <c r="F17">
        <v>531531.53153153195</v>
      </c>
      <c r="G17">
        <v>4</v>
      </c>
      <c r="H17">
        <v>3</v>
      </c>
      <c r="K17">
        <v>4</v>
      </c>
      <c r="L17">
        <v>4</v>
      </c>
      <c r="M17">
        <v>404504.50450450502</v>
      </c>
      <c r="N17">
        <v>2117117.1171171172</v>
      </c>
      <c r="O17">
        <v>3835644.1441441439</v>
      </c>
      <c r="P17">
        <v>4135081.0810810812</v>
      </c>
      <c r="Q17">
        <v>404054.05405405402</v>
      </c>
      <c r="R17">
        <v>1709909.9099099101</v>
      </c>
      <c r="S17">
        <v>442</v>
      </c>
      <c r="T17">
        <v>370</v>
      </c>
    </row>
    <row r="18" spans="1:20" x14ac:dyDescent="0.35">
      <c r="A18" s="7" t="s">
        <v>72</v>
      </c>
      <c r="B18" s="12" t="s">
        <v>73</v>
      </c>
      <c r="C18">
        <v>2239888067.3754458</v>
      </c>
      <c r="D18">
        <v>2314774534.5455213</v>
      </c>
      <c r="E18">
        <v>568085627.02702713</v>
      </c>
      <c r="F18">
        <v>884492454.95495498</v>
      </c>
      <c r="G18">
        <v>695</v>
      </c>
      <c r="H18">
        <v>895</v>
      </c>
      <c r="I18">
        <v>17</v>
      </c>
      <c r="K18">
        <v>1066</v>
      </c>
      <c r="L18">
        <v>1360</v>
      </c>
      <c r="M18">
        <v>245683790.99099097</v>
      </c>
      <c r="N18">
        <v>318661036.03603601</v>
      </c>
      <c r="O18">
        <v>461965072.07207209</v>
      </c>
      <c r="P18">
        <v>581487642.34234238</v>
      </c>
      <c r="Q18">
        <v>210815448.64864865</v>
      </c>
      <c r="R18">
        <v>255555718.91891891</v>
      </c>
      <c r="S18">
        <v>47363</v>
      </c>
      <c r="T18">
        <v>48309</v>
      </c>
    </row>
    <row r="19" spans="1:20" x14ac:dyDescent="0.35">
      <c r="A19" s="7" t="s">
        <v>74</v>
      </c>
      <c r="B19" s="12" t="s">
        <v>73</v>
      </c>
      <c r="C19">
        <v>211415033.91713637</v>
      </c>
      <c r="D19">
        <v>220084807.90230617</v>
      </c>
      <c r="E19">
        <v>254954.95495495599</v>
      </c>
      <c r="F19">
        <v>108108.108108108</v>
      </c>
      <c r="G19">
        <v>47</v>
      </c>
      <c r="H19">
        <v>39</v>
      </c>
      <c r="I19">
        <v>1</v>
      </c>
      <c r="K19">
        <v>50</v>
      </c>
      <c r="L19">
        <v>44</v>
      </c>
      <c r="M19">
        <v>5795495.4954954963</v>
      </c>
      <c r="N19">
        <v>6594594.5945945941</v>
      </c>
      <c r="O19">
        <v>31277090.090090089</v>
      </c>
      <c r="P19">
        <v>33475225.225225225</v>
      </c>
      <c r="Q19">
        <v>5666486.4864864871</v>
      </c>
      <c r="R19">
        <v>4878918.9189189179</v>
      </c>
      <c r="S19">
        <v>3579</v>
      </c>
      <c r="T19">
        <v>3594</v>
      </c>
    </row>
    <row r="20" spans="1:20" x14ac:dyDescent="0.35">
      <c r="A20" s="7" t="s">
        <v>75</v>
      </c>
      <c r="B20" s="12" t="s">
        <v>71</v>
      </c>
      <c r="C20">
        <v>232398989.8777191</v>
      </c>
      <c r="D20">
        <v>231281636.44663122</v>
      </c>
      <c r="E20">
        <v>6176576.5765765803</v>
      </c>
      <c r="F20">
        <v>11276126.126126122</v>
      </c>
      <c r="G20">
        <v>69</v>
      </c>
      <c r="H20">
        <v>52</v>
      </c>
      <c r="I20">
        <v>1</v>
      </c>
      <c r="K20">
        <v>126</v>
      </c>
      <c r="L20">
        <v>89</v>
      </c>
      <c r="M20">
        <v>53069369.369369373</v>
      </c>
      <c r="N20">
        <v>352535585.58558559</v>
      </c>
      <c r="O20">
        <v>84716324.324324325</v>
      </c>
      <c r="P20">
        <v>84622603.603603601</v>
      </c>
      <c r="Q20">
        <v>50412972.972972974</v>
      </c>
      <c r="R20">
        <v>341926216.21621621</v>
      </c>
      <c r="S20">
        <v>5080</v>
      </c>
      <c r="T20">
        <v>4537</v>
      </c>
    </row>
    <row r="21" spans="1:20" x14ac:dyDescent="0.35">
      <c r="A21" s="7" t="s">
        <v>76</v>
      </c>
      <c r="B21" s="12" t="s">
        <v>77</v>
      </c>
      <c r="C21">
        <v>66384290.479633555</v>
      </c>
      <c r="D21">
        <v>69600068.298722893</v>
      </c>
      <c r="E21">
        <v>584684.68468468497</v>
      </c>
      <c r="F21">
        <v>454954.95495495503</v>
      </c>
      <c r="G21">
        <v>20</v>
      </c>
      <c r="H21">
        <v>33</v>
      </c>
      <c r="K21">
        <v>21</v>
      </c>
      <c r="L21">
        <v>34</v>
      </c>
      <c r="M21">
        <v>8553513.5135135148</v>
      </c>
      <c r="N21">
        <v>9961261.261261262</v>
      </c>
      <c r="O21">
        <v>16637351.351351352</v>
      </c>
      <c r="P21">
        <v>20076018.018018015</v>
      </c>
      <c r="Q21">
        <v>6069099.0990990996</v>
      </c>
      <c r="R21">
        <v>8195945.9459459456</v>
      </c>
      <c r="S21">
        <v>2151</v>
      </c>
      <c r="T21">
        <v>1491</v>
      </c>
    </row>
    <row r="22" spans="1:20" x14ac:dyDescent="0.35">
      <c r="A22" s="7" t="s">
        <v>78</v>
      </c>
      <c r="B22" s="12" t="s">
        <v>79</v>
      </c>
      <c r="C22">
        <v>144356361.99774286</v>
      </c>
      <c r="D22">
        <v>149302427.52311549</v>
      </c>
      <c r="E22">
        <v>2171171.1711711702</v>
      </c>
      <c r="F22">
        <v>2792342.3423423441</v>
      </c>
      <c r="G22">
        <v>25</v>
      </c>
      <c r="H22">
        <v>57</v>
      </c>
      <c r="I22">
        <v>1</v>
      </c>
      <c r="K22">
        <v>27</v>
      </c>
      <c r="L22">
        <v>87</v>
      </c>
      <c r="M22">
        <v>17527927.927927926</v>
      </c>
      <c r="N22">
        <v>27661711.711711712</v>
      </c>
      <c r="O22">
        <v>47236000</v>
      </c>
      <c r="P22">
        <v>48859700.9009009</v>
      </c>
      <c r="Q22">
        <v>17105585.585585583</v>
      </c>
      <c r="R22">
        <v>25597567.567567568</v>
      </c>
      <c r="S22">
        <v>2699</v>
      </c>
      <c r="T22">
        <v>1966</v>
      </c>
    </row>
    <row r="23" spans="1:20" x14ac:dyDescent="0.35">
      <c r="A23" s="7" t="s">
        <v>80</v>
      </c>
      <c r="B23" s="12" t="s">
        <v>81</v>
      </c>
      <c r="C23">
        <v>1333066506.557981</v>
      </c>
      <c r="D23">
        <v>1455361569.9309597</v>
      </c>
      <c r="E23">
        <v>8137837.8378378516</v>
      </c>
      <c r="F23">
        <v>15829729.729729742</v>
      </c>
      <c r="G23">
        <v>881</v>
      </c>
      <c r="H23">
        <v>910</v>
      </c>
      <c r="I23">
        <v>6</v>
      </c>
      <c r="K23">
        <v>994</v>
      </c>
      <c r="L23">
        <v>1258</v>
      </c>
      <c r="M23">
        <v>186000900.9009009</v>
      </c>
      <c r="N23">
        <v>181111711.7117117</v>
      </c>
      <c r="O23">
        <v>348460051.8018018</v>
      </c>
      <c r="P23">
        <v>451526084.68468469</v>
      </c>
      <c r="Q23">
        <v>172811531.53153151</v>
      </c>
      <c r="R23">
        <v>159867207.2072072</v>
      </c>
      <c r="S23">
        <v>29309</v>
      </c>
      <c r="T23">
        <v>26916</v>
      </c>
    </row>
    <row r="24" spans="1:20" x14ac:dyDescent="0.35">
      <c r="A24" s="7" t="s">
        <v>82</v>
      </c>
      <c r="B24" s="12" t="s">
        <v>55</v>
      </c>
      <c r="C24">
        <v>41683598.073136911</v>
      </c>
      <c r="D24">
        <v>39008116.419660419</v>
      </c>
      <c r="E24">
        <v>445045.04504504701</v>
      </c>
      <c r="F24">
        <v>328828.82882882899</v>
      </c>
      <c r="G24">
        <v>12</v>
      </c>
      <c r="H24">
        <v>10</v>
      </c>
      <c r="K24">
        <v>17</v>
      </c>
      <c r="L24">
        <v>10</v>
      </c>
      <c r="M24">
        <v>3132252.2522522518</v>
      </c>
      <c r="N24">
        <v>3536936.9369369368</v>
      </c>
      <c r="O24">
        <v>9862054.0540540554</v>
      </c>
      <c r="P24">
        <v>10599081.081081079</v>
      </c>
      <c r="Q24">
        <v>2713063.0630630632</v>
      </c>
      <c r="R24">
        <v>2933153.1531531531</v>
      </c>
      <c r="S24">
        <v>1495</v>
      </c>
      <c r="T24">
        <v>1394</v>
      </c>
    </row>
    <row r="25" spans="1:20" x14ac:dyDescent="0.35">
      <c r="A25" s="7" t="s">
        <v>83</v>
      </c>
      <c r="B25" s="12" t="s">
        <v>84</v>
      </c>
      <c r="C25">
        <v>957729899.23447406</v>
      </c>
      <c r="D25">
        <v>951268099.64373839</v>
      </c>
      <c r="E25">
        <v>10762387.387387387</v>
      </c>
      <c r="F25">
        <v>15385135.13513514</v>
      </c>
      <c r="G25">
        <v>187</v>
      </c>
      <c r="H25">
        <v>156</v>
      </c>
      <c r="I25">
        <v>2</v>
      </c>
      <c r="K25">
        <v>224</v>
      </c>
      <c r="L25">
        <v>213</v>
      </c>
      <c r="M25">
        <v>189288738.73873875</v>
      </c>
      <c r="N25">
        <v>223290090.09009007</v>
      </c>
      <c r="O25">
        <v>284896291.44144142</v>
      </c>
      <c r="P25">
        <v>295396154.95495492</v>
      </c>
      <c r="Q25">
        <v>144869729.72972974</v>
      </c>
      <c r="R25">
        <v>161717657.65765765</v>
      </c>
      <c r="S25">
        <v>15168</v>
      </c>
      <c r="T25">
        <v>15224</v>
      </c>
    </row>
    <row r="26" spans="1:20" x14ac:dyDescent="0.35">
      <c r="A26" s="7" t="s">
        <v>85</v>
      </c>
      <c r="B26" s="12" t="s">
        <v>86</v>
      </c>
      <c r="C26">
        <v>89586739.753070384</v>
      </c>
      <c r="D26">
        <v>86168620.492986739</v>
      </c>
      <c r="E26">
        <v>1783558.558558559</v>
      </c>
      <c r="F26">
        <v>7256756.7567567583</v>
      </c>
      <c r="G26">
        <v>50</v>
      </c>
      <c r="H26">
        <v>136</v>
      </c>
      <c r="K26">
        <v>59</v>
      </c>
      <c r="L26">
        <v>152</v>
      </c>
      <c r="M26">
        <v>206373423.42342341</v>
      </c>
      <c r="N26">
        <v>152973423.42342341</v>
      </c>
      <c r="O26">
        <v>31956423.423423424</v>
      </c>
      <c r="P26">
        <v>40588414.414414413</v>
      </c>
      <c r="Q26">
        <v>182931891.8918919</v>
      </c>
      <c r="R26">
        <v>120061347.74774775</v>
      </c>
      <c r="S26">
        <v>2334</v>
      </c>
      <c r="T26">
        <v>2137</v>
      </c>
    </row>
    <row r="27" spans="1:20" x14ac:dyDescent="0.35">
      <c r="A27" s="7" t="s">
        <v>87</v>
      </c>
      <c r="B27" s="12" t="s">
        <v>88</v>
      </c>
      <c r="C27">
        <v>3412881.219901836</v>
      </c>
      <c r="D27">
        <v>4468120.1836205134</v>
      </c>
      <c r="G27">
        <v>3</v>
      </c>
      <c r="K27">
        <v>3</v>
      </c>
      <c r="M27">
        <v>1081081.0810810809</v>
      </c>
      <c r="N27">
        <v>1756756.7567567569</v>
      </c>
      <c r="O27">
        <v>1651135.1351351361</v>
      </c>
      <c r="P27">
        <v>2233243.2432432431</v>
      </c>
      <c r="S27">
        <v>183</v>
      </c>
      <c r="T27">
        <v>176</v>
      </c>
    </row>
    <row r="28" spans="1:20" x14ac:dyDescent="0.35">
      <c r="A28" s="7" t="s">
        <v>89</v>
      </c>
      <c r="B28" s="12" t="s">
        <v>90</v>
      </c>
      <c r="C28">
        <v>195983468.95134029</v>
      </c>
      <c r="D28">
        <v>209929558.71529692</v>
      </c>
      <c r="E28">
        <v>3459459.4594594641</v>
      </c>
      <c r="F28">
        <v>3196396.3963964009</v>
      </c>
      <c r="G28">
        <v>30</v>
      </c>
      <c r="H28">
        <v>35</v>
      </c>
      <c r="K28">
        <v>32</v>
      </c>
      <c r="L28">
        <v>46</v>
      </c>
      <c r="M28">
        <v>33626306.306306303</v>
      </c>
      <c r="N28">
        <v>35031351.351351351</v>
      </c>
      <c r="O28">
        <v>70113153.153153151</v>
      </c>
      <c r="P28">
        <v>74954486.48648648</v>
      </c>
      <c r="Q28">
        <v>27277027.027027026</v>
      </c>
      <c r="R28">
        <v>37412702.702702701</v>
      </c>
      <c r="S28">
        <v>3618</v>
      </c>
      <c r="T28">
        <v>3338</v>
      </c>
    </row>
    <row r="29" spans="1:20" x14ac:dyDescent="0.35">
      <c r="A29" s="7" t="s">
        <v>91</v>
      </c>
      <c r="B29" s="12" t="s">
        <v>61</v>
      </c>
      <c r="C29">
        <v>69987402.796394423</v>
      </c>
      <c r="D29">
        <v>72087282.829034746</v>
      </c>
      <c r="E29">
        <v>122522.522522524</v>
      </c>
      <c r="F29">
        <v>1272972.972972973</v>
      </c>
      <c r="G29">
        <v>17</v>
      </c>
      <c r="H29">
        <v>46</v>
      </c>
      <c r="K29">
        <v>150</v>
      </c>
      <c r="L29">
        <v>157</v>
      </c>
      <c r="M29">
        <v>4600000</v>
      </c>
      <c r="N29">
        <v>8714414.4144144133</v>
      </c>
      <c r="O29">
        <v>41450072.072072074</v>
      </c>
      <c r="P29">
        <v>42968729.729729727</v>
      </c>
      <c r="Q29">
        <v>4002972.9729729728</v>
      </c>
      <c r="R29">
        <v>9226936.9369369373</v>
      </c>
      <c r="S29">
        <v>1788</v>
      </c>
      <c r="T29">
        <v>1963</v>
      </c>
    </row>
    <row r="30" spans="1:20" x14ac:dyDescent="0.35">
      <c r="A30" s="7" t="s">
        <v>92</v>
      </c>
      <c r="B30" s="12" t="s">
        <v>93</v>
      </c>
      <c r="C30">
        <v>58273618.03299737</v>
      </c>
      <c r="D30">
        <v>53786796.47900451</v>
      </c>
      <c r="E30">
        <v>136759827.92792794</v>
      </c>
      <c r="F30">
        <v>127070044.14414415</v>
      </c>
      <c r="G30">
        <v>13</v>
      </c>
      <c r="H30">
        <v>6</v>
      </c>
      <c r="K30">
        <v>15</v>
      </c>
      <c r="L30">
        <v>7</v>
      </c>
      <c r="M30">
        <v>25544684.684684683</v>
      </c>
      <c r="N30">
        <v>25630540.540540539</v>
      </c>
      <c r="O30">
        <v>18910639.639639638</v>
      </c>
      <c r="P30">
        <v>19621351.351351351</v>
      </c>
      <c r="Q30">
        <v>16771711.711711712</v>
      </c>
      <c r="R30">
        <v>19377117.117117114</v>
      </c>
      <c r="S30">
        <v>1087</v>
      </c>
      <c r="T30">
        <v>356</v>
      </c>
    </row>
    <row r="31" spans="1:20" x14ac:dyDescent="0.35">
      <c r="A31" s="7" t="s">
        <v>94</v>
      </c>
      <c r="B31" s="12" t="s">
        <v>95</v>
      </c>
      <c r="C31">
        <v>247901270.68060759</v>
      </c>
      <c r="D31">
        <v>264344787.86084682</v>
      </c>
      <c r="E31">
        <v>520270.27027027099</v>
      </c>
      <c r="F31">
        <v>252252.25225225301</v>
      </c>
      <c r="G31">
        <v>43</v>
      </c>
      <c r="H31">
        <v>20</v>
      </c>
      <c r="K31">
        <v>50</v>
      </c>
      <c r="L31">
        <v>25</v>
      </c>
      <c r="M31">
        <v>32556306.306306303</v>
      </c>
      <c r="N31">
        <v>35054054.054054052</v>
      </c>
      <c r="O31">
        <v>36571601.801801801</v>
      </c>
      <c r="P31">
        <v>45395696.396396399</v>
      </c>
      <c r="Q31">
        <v>27394144.144144144</v>
      </c>
      <c r="R31">
        <v>32631081.081081081</v>
      </c>
      <c r="S31">
        <v>4537</v>
      </c>
      <c r="T31">
        <v>4360</v>
      </c>
    </row>
    <row r="32" spans="1:20" x14ac:dyDescent="0.35">
      <c r="A32" s="7" t="s">
        <v>96</v>
      </c>
      <c r="B32" s="12" t="s">
        <v>97</v>
      </c>
      <c r="C32">
        <v>265524723.98178875</v>
      </c>
      <c r="D32">
        <v>273889694.44591719</v>
      </c>
      <c r="E32">
        <v>222202642.34234235</v>
      </c>
      <c r="F32">
        <v>446425893.6936937</v>
      </c>
      <c r="G32">
        <v>62</v>
      </c>
      <c r="H32">
        <v>101</v>
      </c>
      <c r="I32">
        <v>4</v>
      </c>
      <c r="K32">
        <v>67</v>
      </c>
      <c r="L32">
        <v>112</v>
      </c>
      <c r="M32">
        <v>135310216.21621624</v>
      </c>
      <c r="N32">
        <v>63225900.9009009</v>
      </c>
      <c r="O32">
        <v>133300936.93693694</v>
      </c>
      <c r="P32">
        <v>137653018.01801801</v>
      </c>
      <c r="Q32">
        <v>48236306.306306303</v>
      </c>
      <c r="R32">
        <v>47860180.180180177</v>
      </c>
      <c r="S32">
        <v>6558</v>
      </c>
      <c r="T32">
        <v>6166</v>
      </c>
    </row>
    <row r="33" spans="1:20" x14ac:dyDescent="0.35">
      <c r="A33" s="7" t="s">
        <v>98</v>
      </c>
      <c r="B33" s="12" t="s">
        <v>99</v>
      </c>
      <c r="C33">
        <v>920766874.40353513</v>
      </c>
      <c r="D33">
        <v>916635992.66811919</v>
      </c>
      <c r="E33">
        <v>9995495.4954954963</v>
      </c>
      <c r="F33">
        <v>11068018.01801802</v>
      </c>
      <c r="G33">
        <v>371</v>
      </c>
      <c r="H33">
        <v>241</v>
      </c>
      <c r="K33">
        <v>473</v>
      </c>
      <c r="L33">
        <v>276</v>
      </c>
      <c r="M33">
        <v>172762612.61261261</v>
      </c>
      <c r="N33">
        <v>232923648.64864865</v>
      </c>
      <c r="O33">
        <v>238789201.35135135</v>
      </c>
      <c r="P33">
        <v>256367279.27927926</v>
      </c>
      <c r="Q33">
        <v>121333423.42342342</v>
      </c>
      <c r="R33">
        <v>178148153.15315315</v>
      </c>
      <c r="S33">
        <v>24635</v>
      </c>
      <c r="T33">
        <v>21784</v>
      </c>
    </row>
    <row r="34" spans="1:20" x14ac:dyDescent="0.35">
      <c r="A34" s="7" t="s">
        <v>100</v>
      </c>
      <c r="B34" s="12" t="s">
        <v>99</v>
      </c>
      <c r="C34">
        <v>1489969713.4649951</v>
      </c>
      <c r="D34">
        <v>1500009117.4971578</v>
      </c>
      <c r="E34">
        <v>6038666.6666666707</v>
      </c>
      <c r="F34">
        <v>7671574.7747747768</v>
      </c>
      <c r="G34">
        <v>445</v>
      </c>
      <c r="H34">
        <v>473</v>
      </c>
      <c r="I34">
        <v>9</v>
      </c>
      <c r="K34">
        <v>741</v>
      </c>
      <c r="L34">
        <v>609</v>
      </c>
      <c r="M34">
        <v>81067567.567567572</v>
      </c>
      <c r="N34">
        <v>286756801.8018018</v>
      </c>
      <c r="O34">
        <v>286804707.65765768</v>
      </c>
      <c r="P34">
        <v>305125565.76576579</v>
      </c>
      <c r="Q34">
        <v>79791351.351351351</v>
      </c>
      <c r="R34">
        <v>100956621.62162161</v>
      </c>
      <c r="S34">
        <v>32820</v>
      </c>
      <c r="T34">
        <v>29338</v>
      </c>
    </row>
    <row r="35" spans="1:20" x14ac:dyDescent="0.35">
      <c r="A35" s="7" t="s">
        <v>101</v>
      </c>
      <c r="B35" s="12" t="s">
        <v>99</v>
      </c>
      <c r="C35">
        <v>1971491689.3250639</v>
      </c>
      <c r="D35">
        <v>2044434003.1644456</v>
      </c>
      <c r="E35">
        <v>15927027.027027031</v>
      </c>
      <c r="F35">
        <v>17300533.333333336</v>
      </c>
      <c r="G35">
        <v>407</v>
      </c>
      <c r="H35">
        <v>562</v>
      </c>
      <c r="I35">
        <v>10</v>
      </c>
      <c r="K35">
        <v>1040</v>
      </c>
      <c r="L35">
        <v>722</v>
      </c>
      <c r="M35">
        <v>733855990.990991</v>
      </c>
      <c r="N35">
        <v>273749407.2072072</v>
      </c>
      <c r="O35">
        <v>887635668.91891897</v>
      </c>
      <c r="P35">
        <v>898859259.45945942</v>
      </c>
      <c r="Q35">
        <v>181527522.52252254</v>
      </c>
      <c r="R35">
        <v>172505720.72072071</v>
      </c>
      <c r="S35">
        <v>38725</v>
      </c>
      <c r="T35">
        <v>33856</v>
      </c>
    </row>
    <row r="36" spans="1:20" x14ac:dyDescent="0.35">
      <c r="A36" s="7" t="s">
        <v>102</v>
      </c>
      <c r="B36" s="12" t="s">
        <v>99</v>
      </c>
      <c r="C36">
        <v>857349930.102584</v>
      </c>
      <c r="D36">
        <v>867890136.41302466</v>
      </c>
      <c r="E36">
        <v>184668468.46846849</v>
      </c>
      <c r="F36">
        <v>207594144.14414415</v>
      </c>
      <c r="G36">
        <v>248</v>
      </c>
      <c r="H36">
        <v>196</v>
      </c>
      <c r="I36">
        <v>3</v>
      </c>
      <c r="K36">
        <v>299</v>
      </c>
      <c r="L36">
        <v>251</v>
      </c>
      <c r="M36">
        <v>90969819.819819823</v>
      </c>
      <c r="N36">
        <v>84588454.954954967</v>
      </c>
      <c r="O36">
        <v>189552612.61261261</v>
      </c>
      <c r="P36">
        <v>194954846.84684685</v>
      </c>
      <c r="Q36">
        <v>61098288.288288288</v>
      </c>
      <c r="R36">
        <v>72110990.990990996</v>
      </c>
      <c r="S36">
        <v>25134</v>
      </c>
      <c r="T36">
        <v>21404</v>
      </c>
    </row>
    <row r="37" spans="1:20" x14ac:dyDescent="0.35">
      <c r="A37" s="7" t="s">
        <v>103</v>
      </c>
      <c r="B37" s="12" t="s">
        <v>99</v>
      </c>
      <c r="C37">
        <v>970022382.94334245</v>
      </c>
      <c r="D37">
        <v>997349616.80055571</v>
      </c>
      <c r="E37">
        <v>9435135.1351351365</v>
      </c>
      <c r="F37">
        <v>12953603.6036036</v>
      </c>
      <c r="G37">
        <v>218</v>
      </c>
      <c r="H37">
        <v>94</v>
      </c>
      <c r="I37">
        <v>1</v>
      </c>
      <c r="K37">
        <v>272</v>
      </c>
      <c r="L37">
        <v>155</v>
      </c>
      <c r="M37">
        <v>157554954.95495495</v>
      </c>
      <c r="N37">
        <v>220966486.48648649</v>
      </c>
      <c r="O37">
        <v>284154887.38738739</v>
      </c>
      <c r="P37">
        <v>289168405.4054054</v>
      </c>
      <c r="Q37">
        <v>181392342.34234235</v>
      </c>
      <c r="R37">
        <v>184118918.91891891</v>
      </c>
      <c r="S37">
        <v>29401</v>
      </c>
      <c r="T37">
        <v>25626</v>
      </c>
    </row>
    <row r="38" spans="1:20" x14ac:dyDescent="0.35">
      <c r="A38" s="7" t="s">
        <v>104</v>
      </c>
      <c r="B38" s="12" t="s">
        <v>99</v>
      </c>
      <c r="C38">
        <v>2496121695.4111872</v>
      </c>
      <c r="D38">
        <v>2497409450.924623</v>
      </c>
      <c r="E38">
        <v>948842789.1891892</v>
      </c>
      <c r="F38">
        <v>1891792572.9729731</v>
      </c>
      <c r="G38">
        <v>714</v>
      </c>
      <c r="H38">
        <v>468</v>
      </c>
      <c r="I38">
        <v>8</v>
      </c>
      <c r="K38">
        <v>1089</v>
      </c>
      <c r="L38">
        <v>570</v>
      </c>
      <c r="M38">
        <v>258851199.0990991</v>
      </c>
      <c r="N38">
        <v>1199252252.2522521</v>
      </c>
      <c r="O38">
        <v>532496061.26126122</v>
      </c>
      <c r="P38">
        <v>546389133.33333325</v>
      </c>
      <c r="Q38">
        <v>235232072.07207206</v>
      </c>
      <c r="R38">
        <v>906938738.73873866</v>
      </c>
      <c r="S38">
        <v>62558</v>
      </c>
      <c r="T38">
        <v>55060</v>
      </c>
    </row>
    <row r="39" spans="1:20" x14ac:dyDescent="0.35">
      <c r="A39" s="7" t="s">
        <v>105</v>
      </c>
      <c r="B39" s="12" t="s">
        <v>106</v>
      </c>
      <c r="C39">
        <v>173962004.4724113</v>
      </c>
      <c r="D39">
        <v>165552331.99468732</v>
      </c>
      <c r="E39">
        <v>1254954.9549549541</v>
      </c>
      <c r="F39">
        <v>165765.765765766</v>
      </c>
      <c r="G39">
        <v>36</v>
      </c>
      <c r="H39">
        <v>15</v>
      </c>
      <c r="K39">
        <v>39</v>
      </c>
      <c r="L39">
        <v>18</v>
      </c>
      <c r="M39">
        <v>1705405.405405405</v>
      </c>
      <c r="N39">
        <v>165765.765765766</v>
      </c>
      <c r="O39">
        <v>37644396.396396399</v>
      </c>
      <c r="P39">
        <v>40294369.369369365</v>
      </c>
      <c r="Q39">
        <v>1101261.2612612611</v>
      </c>
      <c r="R39">
        <v>283783.78378378402</v>
      </c>
      <c r="S39">
        <v>2623</v>
      </c>
      <c r="T39">
        <v>2751</v>
      </c>
    </row>
    <row r="40" spans="1:20" x14ac:dyDescent="0.35">
      <c r="A40" s="7" t="s">
        <v>107</v>
      </c>
      <c r="B40" s="12" t="s">
        <v>55</v>
      </c>
      <c r="C40">
        <v>59789888.34788315</v>
      </c>
      <c r="D40">
        <v>57092756.805526733</v>
      </c>
      <c r="E40">
        <v>48648.648648649003</v>
      </c>
      <c r="F40">
        <v>734234.23423423502</v>
      </c>
      <c r="G40">
        <v>32</v>
      </c>
      <c r="H40">
        <v>60</v>
      </c>
      <c r="I40">
        <v>9</v>
      </c>
      <c r="K40">
        <v>39</v>
      </c>
      <c r="L40">
        <v>71</v>
      </c>
      <c r="M40">
        <v>1791171.1711711721</v>
      </c>
      <c r="N40">
        <v>3948648.648648649</v>
      </c>
      <c r="O40">
        <v>15498522.522522522</v>
      </c>
      <c r="P40">
        <v>15516684.684684685</v>
      </c>
      <c r="Q40">
        <v>1827927.927927928</v>
      </c>
      <c r="R40">
        <v>3309819.8198198201</v>
      </c>
      <c r="S40">
        <v>1681</v>
      </c>
      <c r="T40">
        <v>1915</v>
      </c>
    </row>
    <row r="41" spans="1:20" x14ac:dyDescent="0.35">
      <c r="A41" s="7" t="s">
        <v>108</v>
      </c>
      <c r="B41" s="12" t="s">
        <v>109</v>
      </c>
      <c r="C41">
        <v>482202376.27149618</v>
      </c>
      <c r="D41">
        <v>505386166.21331155</v>
      </c>
      <c r="E41">
        <v>5192792.792792798</v>
      </c>
      <c r="F41">
        <v>8018918.9189189207</v>
      </c>
      <c r="G41">
        <v>135</v>
      </c>
      <c r="H41">
        <v>107</v>
      </c>
      <c r="I41">
        <v>1</v>
      </c>
      <c r="K41">
        <v>166</v>
      </c>
      <c r="L41">
        <v>130</v>
      </c>
      <c r="M41">
        <v>69573153.153153151</v>
      </c>
      <c r="N41">
        <v>72745945.945945948</v>
      </c>
      <c r="O41">
        <v>106395324.32432432</v>
      </c>
      <c r="P41">
        <v>110478765.76576576</v>
      </c>
      <c r="Q41">
        <v>60413603.603603601</v>
      </c>
      <c r="R41">
        <v>63046576.576576576</v>
      </c>
      <c r="S41">
        <v>11335</v>
      </c>
      <c r="T41">
        <v>10197</v>
      </c>
    </row>
    <row r="42" spans="1:20" x14ac:dyDescent="0.35">
      <c r="A42" s="7" t="s">
        <v>110</v>
      </c>
      <c r="B42" s="12" t="s">
        <v>109</v>
      </c>
      <c r="C42">
        <v>683552055.08015299</v>
      </c>
      <c r="D42">
        <v>702548039.98755848</v>
      </c>
      <c r="E42">
        <v>102456833.33333334</v>
      </c>
      <c r="F42">
        <v>718245801.8018018</v>
      </c>
      <c r="G42">
        <v>237</v>
      </c>
      <c r="H42">
        <v>201</v>
      </c>
      <c r="K42">
        <v>387</v>
      </c>
      <c r="L42">
        <v>389</v>
      </c>
      <c r="M42">
        <v>56776476.576576576</v>
      </c>
      <c r="N42">
        <v>351618774.77477479</v>
      </c>
      <c r="O42">
        <v>194259513.51351351</v>
      </c>
      <c r="P42">
        <v>193518486.48648649</v>
      </c>
      <c r="Q42">
        <v>171358468.46846849</v>
      </c>
      <c r="R42">
        <v>238138558.55855855</v>
      </c>
      <c r="S42">
        <v>16553</v>
      </c>
      <c r="T42">
        <v>15272</v>
      </c>
    </row>
    <row r="43" spans="1:20" x14ac:dyDescent="0.35">
      <c r="A43" s="7" t="s">
        <v>111</v>
      </c>
      <c r="B43" s="12" t="s">
        <v>112</v>
      </c>
      <c r="C43">
        <v>782655503.86253059</v>
      </c>
      <c r="D43">
        <v>815986111.7957561</v>
      </c>
      <c r="E43">
        <v>8801801.8018018045</v>
      </c>
      <c r="F43">
        <v>11340090.090090092</v>
      </c>
      <c r="G43">
        <v>259</v>
      </c>
      <c r="H43">
        <v>257</v>
      </c>
      <c r="K43">
        <v>500</v>
      </c>
      <c r="L43">
        <v>414</v>
      </c>
      <c r="M43">
        <v>75446150.45045045</v>
      </c>
      <c r="N43">
        <v>82225855.855855852</v>
      </c>
      <c r="O43">
        <v>276086342.34234232</v>
      </c>
      <c r="P43">
        <v>295738207.2072072</v>
      </c>
      <c r="Q43">
        <v>67381124.324324325</v>
      </c>
      <c r="R43">
        <v>76132432.432432428</v>
      </c>
      <c r="S43">
        <v>23103</v>
      </c>
      <c r="T43">
        <v>16593</v>
      </c>
    </row>
    <row r="44" spans="1:20" x14ac:dyDescent="0.35">
      <c r="A44" s="7" t="s">
        <v>113</v>
      </c>
      <c r="B44" s="12" t="s">
        <v>112</v>
      </c>
      <c r="C44">
        <v>1012801682.0230274</v>
      </c>
      <c r="D44">
        <v>1035450919.1750361</v>
      </c>
      <c r="E44">
        <v>96456756.756756768</v>
      </c>
      <c r="F44">
        <v>1078239856.7567568</v>
      </c>
      <c r="G44">
        <v>381</v>
      </c>
      <c r="H44">
        <v>258</v>
      </c>
      <c r="I44">
        <v>1</v>
      </c>
      <c r="K44">
        <v>649</v>
      </c>
      <c r="L44">
        <v>378</v>
      </c>
      <c r="M44">
        <v>82399652.252252251</v>
      </c>
      <c r="N44">
        <v>138322649.54954955</v>
      </c>
      <c r="O44">
        <v>377427885.58558559</v>
      </c>
      <c r="P44">
        <v>385164414.41441441</v>
      </c>
      <c r="Q44">
        <v>79335225.22522521</v>
      </c>
      <c r="R44">
        <v>173984547.74774775</v>
      </c>
      <c r="S44">
        <v>32948</v>
      </c>
      <c r="T44">
        <v>28503</v>
      </c>
    </row>
    <row r="45" spans="1:20" x14ac:dyDescent="0.35">
      <c r="A45" s="7" t="s">
        <v>114</v>
      </c>
      <c r="B45" s="12" t="s">
        <v>112</v>
      </c>
      <c r="C45">
        <v>1118604003.8222432</v>
      </c>
      <c r="D45">
        <v>707832494.58686924</v>
      </c>
      <c r="E45">
        <v>7646621.6216216274</v>
      </c>
      <c r="F45">
        <v>17998208.108108111</v>
      </c>
      <c r="G45">
        <v>367</v>
      </c>
      <c r="H45">
        <v>250</v>
      </c>
      <c r="K45">
        <v>597</v>
      </c>
      <c r="L45">
        <v>497</v>
      </c>
      <c r="M45">
        <v>495368663.96396399</v>
      </c>
      <c r="N45">
        <v>702822802.70270276</v>
      </c>
      <c r="O45">
        <v>653799890.09009016</v>
      </c>
      <c r="P45">
        <v>233141441.44144145</v>
      </c>
      <c r="Q45">
        <v>40086890.090090089</v>
      </c>
      <c r="R45">
        <v>104498018.01801802</v>
      </c>
      <c r="S45">
        <v>16674</v>
      </c>
      <c r="T45">
        <v>19682</v>
      </c>
    </row>
    <row r="46" spans="1:20" x14ac:dyDescent="0.35">
      <c r="A46" s="7" t="s">
        <v>115</v>
      </c>
      <c r="B46" s="12" t="s">
        <v>112</v>
      </c>
      <c r="C46">
        <v>808724408.56481564</v>
      </c>
      <c r="D46">
        <v>1421211667.5846796</v>
      </c>
      <c r="E46">
        <v>9632207.2072072178</v>
      </c>
      <c r="F46">
        <v>13663513.51351352</v>
      </c>
      <c r="G46">
        <v>454</v>
      </c>
      <c r="H46">
        <v>233</v>
      </c>
      <c r="I46">
        <v>11</v>
      </c>
      <c r="K46">
        <v>1025</v>
      </c>
      <c r="L46">
        <v>407</v>
      </c>
      <c r="M46">
        <v>80709909.909909919</v>
      </c>
      <c r="N46">
        <v>215078108.1081081</v>
      </c>
      <c r="O46">
        <v>241397171.17117116</v>
      </c>
      <c r="P46">
        <v>836553162.16216218</v>
      </c>
      <c r="Q46">
        <v>73805675.675675675</v>
      </c>
      <c r="R46">
        <v>206169279.27927926</v>
      </c>
      <c r="S46">
        <v>23150</v>
      </c>
      <c r="T46">
        <v>21553</v>
      </c>
    </row>
    <row r="47" spans="1:20" x14ac:dyDescent="0.35">
      <c r="A47" s="7" t="s">
        <v>116</v>
      </c>
      <c r="B47" s="12" t="s">
        <v>112</v>
      </c>
      <c r="C47">
        <v>989378804.45095086</v>
      </c>
      <c r="D47">
        <v>974501744.45518267</v>
      </c>
      <c r="E47">
        <v>1680133109.90991</v>
      </c>
      <c r="F47">
        <v>1886572334.2342343</v>
      </c>
      <c r="G47">
        <v>429</v>
      </c>
      <c r="H47">
        <v>372</v>
      </c>
      <c r="K47">
        <v>679</v>
      </c>
      <c r="L47">
        <v>635</v>
      </c>
      <c r="M47">
        <v>805091090.09009016</v>
      </c>
      <c r="N47">
        <v>328201154.05405408</v>
      </c>
      <c r="O47">
        <v>294336313.96396399</v>
      </c>
      <c r="P47">
        <v>276287090.0900901</v>
      </c>
      <c r="Q47">
        <v>166803690.09009007</v>
      </c>
      <c r="R47">
        <v>214504684.68468466</v>
      </c>
      <c r="S47">
        <v>28918</v>
      </c>
      <c r="T47">
        <v>20781</v>
      </c>
    </row>
    <row r="48" spans="1:20" x14ac:dyDescent="0.35">
      <c r="A48" s="7" t="s">
        <v>117</v>
      </c>
      <c r="B48" s="12" t="s">
        <v>55</v>
      </c>
      <c r="C48">
        <v>55271463.572416537</v>
      </c>
      <c r="D48">
        <v>53681218.363665611</v>
      </c>
      <c r="E48">
        <v>1143918.9189189179</v>
      </c>
      <c r="F48">
        <v>1685585.585585586</v>
      </c>
      <c r="G48">
        <v>10</v>
      </c>
      <c r="H48">
        <v>8</v>
      </c>
      <c r="K48">
        <v>10</v>
      </c>
      <c r="L48">
        <v>11</v>
      </c>
      <c r="M48">
        <v>4887837.8378378367</v>
      </c>
      <c r="N48">
        <v>8604504.5045045037</v>
      </c>
      <c r="O48">
        <v>13772585.585585587</v>
      </c>
      <c r="P48">
        <v>13253207.207207208</v>
      </c>
      <c r="Q48">
        <v>4371441.441441441</v>
      </c>
      <c r="R48">
        <v>8076576.5765765784</v>
      </c>
      <c r="S48">
        <v>1106</v>
      </c>
      <c r="T48">
        <v>974</v>
      </c>
    </row>
    <row r="49" spans="1:20" x14ac:dyDescent="0.35">
      <c r="A49" s="7" t="s">
        <v>119</v>
      </c>
      <c r="B49" s="12" t="s">
        <v>79</v>
      </c>
      <c r="C49">
        <v>465033632.07987398</v>
      </c>
      <c r="D49">
        <v>504598475.9892711</v>
      </c>
      <c r="E49">
        <v>272739293.6936937</v>
      </c>
      <c r="F49">
        <v>936228133.33333337</v>
      </c>
      <c r="G49">
        <v>164</v>
      </c>
      <c r="H49">
        <v>255</v>
      </c>
      <c r="I49">
        <v>7</v>
      </c>
      <c r="K49">
        <v>202</v>
      </c>
      <c r="L49">
        <v>354</v>
      </c>
      <c r="M49">
        <v>99963513.513513505</v>
      </c>
      <c r="N49">
        <v>126103603.6036036</v>
      </c>
      <c r="O49">
        <v>187086955.4054054</v>
      </c>
      <c r="P49">
        <v>203612738.73873875</v>
      </c>
      <c r="Q49">
        <v>97737747.747747749</v>
      </c>
      <c r="R49">
        <v>118403873.87387387</v>
      </c>
      <c r="S49">
        <v>12268</v>
      </c>
      <c r="T49">
        <v>11883</v>
      </c>
    </row>
    <row r="50" spans="1:20" x14ac:dyDescent="0.35">
      <c r="A50" s="7" t="s">
        <v>120</v>
      </c>
      <c r="B50" s="12" t="s">
        <v>51</v>
      </c>
      <c r="C50">
        <v>148063935.76568404</v>
      </c>
      <c r="D50">
        <v>146041159.64135972</v>
      </c>
      <c r="E50">
        <v>4138738.7387387389</v>
      </c>
      <c r="F50">
        <v>1976576.5765765801</v>
      </c>
      <c r="G50">
        <v>46</v>
      </c>
      <c r="H50">
        <v>23</v>
      </c>
      <c r="K50">
        <v>51</v>
      </c>
      <c r="L50">
        <v>26</v>
      </c>
      <c r="M50">
        <v>73644504.504504502</v>
      </c>
      <c r="N50">
        <v>20868468.468468465</v>
      </c>
      <c r="O50">
        <v>53918864.864864863</v>
      </c>
      <c r="P50">
        <v>56698819.819819823</v>
      </c>
      <c r="Q50">
        <v>69269819.819819823</v>
      </c>
      <c r="R50">
        <v>22617207.207207207</v>
      </c>
      <c r="S50">
        <v>2478</v>
      </c>
      <c r="T50">
        <v>2943</v>
      </c>
    </row>
    <row r="51" spans="1:20" x14ac:dyDescent="0.35">
      <c r="A51" s="7" t="s">
        <v>121</v>
      </c>
      <c r="B51" s="12" t="s">
        <v>122</v>
      </c>
      <c r="C51">
        <v>501351934.06045711</v>
      </c>
      <c r="D51">
        <v>463192584.68638635</v>
      </c>
      <c r="E51">
        <v>3743468.468468471</v>
      </c>
      <c r="F51">
        <v>2583783.7837837911</v>
      </c>
      <c r="G51">
        <v>188</v>
      </c>
      <c r="H51">
        <v>196</v>
      </c>
      <c r="K51">
        <v>208</v>
      </c>
      <c r="L51">
        <v>321</v>
      </c>
      <c r="M51">
        <v>19987387.387387387</v>
      </c>
      <c r="N51">
        <v>19611711.711711716</v>
      </c>
      <c r="O51">
        <v>41459585.585585587</v>
      </c>
      <c r="P51">
        <v>44342756.756756753</v>
      </c>
      <c r="Q51">
        <v>17837207.207207207</v>
      </c>
      <c r="R51">
        <v>17952072.072072074</v>
      </c>
      <c r="S51">
        <v>8338</v>
      </c>
      <c r="T51">
        <v>8051</v>
      </c>
    </row>
    <row r="52" spans="1:20" x14ac:dyDescent="0.35">
      <c r="A52" s="7" t="s">
        <v>123</v>
      </c>
      <c r="B52" s="12" t="s">
        <v>124</v>
      </c>
      <c r="C52">
        <v>263157068.16679969</v>
      </c>
      <c r="D52">
        <v>269767261.03775918</v>
      </c>
      <c r="E52">
        <v>1048423.4234234249</v>
      </c>
      <c r="F52">
        <v>2634234.2342342339</v>
      </c>
      <c r="G52">
        <v>36</v>
      </c>
      <c r="H52">
        <v>25</v>
      </c>
      <c r="K52">
        <v>43</v>
      </c>
      <c r="L52">
        <v>27</v>
      </c>
      <c r="M52">
        <v>45815855.855855852</v>
      </c>
      <c r="N52">
        <v>80550000</v>
      </c>
      <c r="O52">
        <v>119539936.93693694</v>
      </c>
      <c r="P52">
        <v>122155823.42342342</v>
      </c>
      <c r="Q52">
        <v>46022522.522522517</v>
      </c>
      <c r="R52">
        <v>61308778.378378376</v>
      </c>
      <c r="S52">
        <v>4972</v>
      </c>
      <c r="T52">
        <v>5345</v>
      </c>
    </row>
    <row r="53" spans="1:20" x14ac:dyDescent="0.35">
      <c r="A53" s="7" t="s">
        <v>125</v>
      </c>
      <c r="B53" s="12" t="s">
        <v>126</v>
      </c>
      <c r="C53">
        <v>345698177.23132217</v>
      </c>
      <c r="D53">
        <v>368221215.79514235</v>
      </c>
      <c r="E53">
        <v>167291742.34234235</v>
      </c>
      <c r="F53">
        <v>169916815.31531534</v>
      </c>
      <c r="G53">
        <v>74</v>
      </c>
      <c r="H53">
        <v>69</v>
      </c>
      <c r="K53">
        <v>128</v>
      </c>
      <c r="L53">
        <v>77</v>
      </c>
      <c r="M53">
        <v>107362162.16216215</v>
      </c>
      <c r="N53">
        <v>84588828.828828827</v>
      </c>
      <c r="O53">
        <v>107287481.08108109</v>
      </c>
      <c r="P53">
        <v>115897634.23423424</v>
      </c>
      <c r="Q53">
        <v>104840000</v>
      </c>
      <c r="R53">
        <v>80646126.126126125</v>
      </c>
      <c r="S53">
        <v>6556</v>
      </c>
      <c r="T53">
        <v>5851</v>
      </c>
    </row>
    <row r="54" spans="1:20" x14ac:dyDescent="0.35">
      <c r="A54" s="7" t="s">
        <v>127</v>
      </c>
      <c r="B54" s="12" t="s">
        <v>79</v>
      </c>
      <c r="C54">
        <v>226177877.44290268</v>
      </c>
      <c r="D54">
        <v>219886721.14856553</v>
      </c>
      <c r="E54">
        <v>4450450.4504504539</v>
      </c>
      <c r="F54">
        <v>6043243.2432432426</v>
      </c>
      <c r="G54">
        <v>70</v>
      </c>
      <c r="H54">
        <v>48</v>
      </c>
      <c r="I54">
        <v>1</v>
      </c>
      <c r="K54">
        <v>80</v>
      </c>
      <c r="L54">
        <v>55</v>
      </c>
      <c r="M54">
        <v>40950450.45045045</v>
      </c>
      <c r="N54">
        <v>44432432.432432435</v>
      </c>
      <c r="O54">
        <v>92818612.612612605</v>
      </c>
      <c r="P54">
        <v>91264153.153153151</v>
      </c>
      <c r="Q54">
        <v>37449009.009009011</v>
      </c>
      <c r="R54">
        <v>42705225.225225225</v>
      </c>
      <c r="S54">
        <v>5106</v>
      </c>
      <c r="T54">
        <v>5698</v>
      </c>
    </row>
    <row r="55" spans="1:20" x14ac:dyDescent="0.35">
      <c r="A55" s="7" t="s">
        <v>128</v>
      </c>
      <c r="B55" s="12" t="s">
        <v>79</v>
      </c>
      <c r="C55">
        <v>37655616.773044638</v>
      </c>
      <c r="D55">
        <v>37730436.287472978</v>
      </c>
      <c r="E55">
        <v>708108.108108107</v>
      </c>
      <c r="F55">
        <v>712612.61261261394</v>
      </c>
      <c r="G55">
        <v>14</v>
      </c>
      <c r="H55">
        <v>9</v>
      </c>
      <c r="K55">
        <v>18</v>
      </c>
      <c r="L55">
        <v>11</v>
      </c>
      <c r="M55">
        <v>12014414.414414413</v>
      </c>
      <c r="N55">
        <v>16118018.01801802</v>
      </c>
      <c r="O55">
        <v>21958198.198198199</v>
      </c>
      <c r="P55">
        <v>20921468.468468469</v>
      </c>
      <c r="Q55">
        <v>13468738.73873874</v>
      </c>
      <c r="R55">
        <v>11587207.207207208</v>
      </c>
      <c r="S55">
        <v>1320</v>
      </c>
      <c r="T55">
        <v>1214</v>
      </c>
    </row>
    <row r="56" spans="1:20" x14ac:dyDescent="0.35">
      <c r="A56" s="7" t="s">
        <v>129</v>
      </c>
      <c r="B56" s="12" t="s">
        <v>79</v>
      </c>
      <c r="C56">
        <v>216931289.11275429</v>
      </c>
      <c r="D56">
        <v>218482876.23479423</v>
      </c>
      <c r="E56">
        <v>2519819.8198198238</v>
      </c>
      <c r="F56">
        <v>3648198.198198203</v>
      </c>
      <c r="G56">
        <v>154</v>
      </c>
      <c r="H56">
        <v>71</v>
      </c>
      <c r="K56">
        <v>187</v>
      </c>
      <c r="L56">
        <v>97</v>
      </c>
      <c r="M56">
        <v>30159459.459459461</v>
      </c>
      <c r="N56">
        <v>39468018.018018015</v>
      </c>
      <c r="O56">
        <v>83892340.540540546</v>
      </c>
      <c r="P56">
        <v>89616432.432432428</v>
      </c>
      <c r="Q56">
        <v>27192612.612612609</v>
      </c>
      <c r="R56">
        <v>39837657.657657653</v>
      </c>
      <c r="S56">
        <v>5939</v>
      </c>
      <c r="T56">
        <v>3805</v>
      </c>
    </row>
    <row r="57" spans="1:20" x14ac:dyDescent="0.35">
      <c r="A57" s="7" t="s">
        <v>130</v>
      </c>
      <c r="B57" s="12" t="s">
        <v>86</v>
      </c>
      <c r="C57">
        <v>63845921.30857753</v>
      </c>
      <c r="D57">
        <v>67031340.74016045</v>
      </c>
      <c r="E57">
        <v>523185548.64864862</v>
      </c>
      <c r="F57">
        <v>713183545.04504502</v>
      </c>
      <c r="G57">
        <v>14</v>
      </c>
      <c r="H57">
        <v>49</v>
      </c>
      <c r="K57">
        <v>16</v>
      </c>
      <c r="L57">
        <v>54</v>
      </c>
      <c r="M57">
        <v>111294324.32432432</v>
      </c>
      <c r="N57">
        <v>100072522.52252252</v>
      </c>
      <c r="O57">
        <v>30497594.594594598</v>
      </c>
      <c r="P57">
        <v>38190045.045045048</v>
      </c>
      <c r="Q57">
        <v>66433873.873873875</v>
      </c>
      <c r="R57">
        <v>71118918.918918923</v>
      </c>
      <c r="S57">
        <v>1383</v>
      </c>
      <c r="T57">
        <v>1128</v>
      </c>
    </row>
    <row r="58" spans="1:20" x14ac:dyDescent="0.35">
      <c r="A58" s="7" t="s">
        <v>131</v>
      </c>
      <c r="B58" s="12" t="s">
        <v>90</v>
      </c>
      <c r="C58">
        <v>592198132.37007868</v>
      </c>
      <c r="D58">
        <v>593726376.42136538</v>
      </c>
      <c r="E58">
        <v>4377927.9279279336</v>
      </c>
      <c r="F58">
        <v>7791891.8918919014</v>
      </c>
      <c r="G58">
        <v>77</v>
      </c>
      <c r="H58">
        <v>82</v>
      </c>
      <c r="K58">
        <v>105</v>
      </c>
      <c r="L58">
        <v>88</v>
      </c>
      <c r="M58">
        <v>38877027.027027033</v>
      </c>
      <c r="N58">
        <v>55665495.495495498</v>
      </c>
      <c r="O58">
        <v>185799142.34234235</v>
      </c>
      <c r="P58">
        <v>191524135.13513514</v>
      </c>
      <c r="Q58">
        <v>36866439.639639631</v>
      </c>
      <c r="R58">
        <v>56060360.360360362</v>
      </c>
      <c r="S58">
        <v>11507</v>
      </c>
      <c r="T58">
        <v>10094</v>
      </c>
    </row>
    <row r="59" spans="1:20" x14ac:dyDescent="0.35">
      <c r="A59" s="7" t="s">
        <v>132</v>
      </c>
      <c r="B59" s="12" t="s">
        <v>133</v>
      </c>
      <c r="C59">
        <v>326582375.84360933</v>
      </c>
      <c r="D59">
        <v>315132611.73457611</v>
      </c>
      <c r="E59">
        <v>1562162.162162164</v>
      </c>
      <c r="F59">
        <v>2696396.3963964009</v>
      </c>
      <c r="G59">
        <v>184</v>
      </c>
      <c r="H59">
        <v>125</v>
      </c>
      <c r="K59">
        <v>195</v>
      </c>
      <c r="L59">
        <v>139</v>
      </c>
      <c r="M59">
        <v>32639639.639639638</v>
      </c>
      <c r="N59">
        <v>59644144.144144148</v>
      </c>
      <c r="O59">
        <v>103215484.23423424</v>
      </c>
      <c r="P59">
        <v>106383585.58558558</v>
      </c>
      <c r="Q59">
        <v>31118828.82882883</v>
      </c>
      <c r="R59">
        <v>51206396.396396399</v>
      </c>
      <c r="S59">
        <v>7483</v>
      </c>
      <c r="T59">
        <v>7426</v>
      </c>
    </row>
    <row r="60" spans="1:20" x14ac:dyDescent="0.35">
      <c r="A60" s="7" t="s">
        <v>134</v>
      </c>
      <c r="B60" s="12" t="s">
        <v>135</v>
      </c>
      <c r="C60">
        <v>35992040.960965864</v>
      </c>
      <c r="D60">
        <v>54228147.171547025</v>
      </c>
      <c r="G60">
        <v>3</v>
      </c>
      <c r="H60">
        <v>4</v>
      </c>
      <c r="K60">
        <v>3</v>
      </c>
      <c r="L60">
        <v>6</v>
      </c>
      <c r="O60">
        <v>6252872.072072072</v>
      </c>
      <c r="P60">
        <v>8895459.4594594594</v>
      </c>
      <c r="S60">
        <v>2211</v>
      </c>
      <c r="T60">
        <v>2292</v>
      </c>
    </row>
    <row r="61" spans="1:20" x14ac:dyDescent="0.35">
      <c r="A61" s="7" t="s">
        <v>136</v>
      </c>
      <c r="B61" s="12" t="s">
        <v>137</v>
      </c>
      <c r="C61">
        <v>267607608.72749114</v>
      </c>
      <c r="D61">
        <v>268555263.22642481</v>
      </c>
      <c r="E61">
        <v>1007207.20720721</v>
      </c>
      <c r="F61">
        <v>1459459.459459462</v>
      </c>
      <c r="G61">
        <v>74</v>
      </c>
      <c r="H61">
        <v>58</v>
      </c>
      <c r="I61">
        <v>3</v>
      </c>
      <c r="K61">
        <v>78</v>
      </c>
      <c r="L61">
        <v>60</v>
      </c>
      <c r="M61">
        <v>21007207.207207207</v>
      </c>
      <c r="N61">
        <v>28058558.558558561</v>
      </c>
      <c r="O61">
        <v>41944657.657657653</v>
      </c>
      <c r="P61">
        <v>48361169.369369365</v>
      </c>
      <c r="Q61">
        <v>19551261.261261258</v>
      </c>
      <c r="R61">
        <v>22700810.810810812</v>
      </c>
      <c r="S61">
        <v>3688</v>
      </c>
      <c r="T61">
        <v>3577</v>
      </c>
    </row>
    <row r="62" spans="1:20" x14ac:dyDescent="0.35">
      <c r="A62" s="7" t="s">
        <v>138</v>
      </c>
      <c r="B62" s="12" t="s">
        <v>90</v>
      </c>
      <c r="C62">
        <v>291856750.11881071</v>
      </c>
      <c r="D62">
        <v>299558073.50871599</v>
      </c>
      <c r="E62">
        <v>3104279.279279287</v>
      </c>
      <c r="F62">
        <v>5219819.8198198238</v>
      </c>
      <c r="G62">
        <v>62</v>
      </c>
      <c r="H62">
        <v>36</v>
      </c>
      <c r="I62">
        <v>9</v>
      </c>
      <c r="K62">
        <v>253</v>
      </c>
      <c r="L62">
        <v>51</v>
      </c>
      <c r="M62">
        <v>43599909.909909911</v>
      </c>
      <c r="N62">
        <v>62540180.180180177</v>
      </c>
      <c r="O62">
        <v>104851403.6036036</v>
      </c>
      <c r="P62">
        <v>112145135.13513513</v>
      </c>
      <c r="Q62">
        <v>34654504.504504509</v>
      </c>
      <c r="R62">
        <v>61964954.954954952</v>
      </c>
      <c r="S62">
        <v>4887</v>
      </c>
      <c r="T62">
        <v>5045</v>
      </c>
    </row>
    <row r="63" spans="1:20" x14ac:dyDescent="0.35">
      <c r="A63" s="7" t="s">
        <v>139</v>
      </c>
      <c r="B63" s="12" t="s">
        <v>79</v>
      </c>
      <c r="C63">
        <v>211023015.61449033</v>
      </c>
      <c r="D63">
        <v>211839673.24303269</v>
      </c>
      <c r="E63">
        <v>5683783.7837837869</v>
      </c>
      <c r="F63">
        <v>5176576.5765765794</v>
      </c>
      <c r="G63">
        <v>88</v>
      </c>
      <c r="H63">
        <v>83</v>
      </c>
      <c r="I63">
        <v>2</v>
      </c>
      <c r="K63">
        <v>104</v>
      </c>
      <c r="L63">
        <v>95</v>
      </c>
      <c r="M63">
        <v>28990090.090090089</v>
      </c>
      <c r="N63">
        <v>36906306.306306303</v>
      </c>
      <c r="O63">
        <v>91722479.729729727</v>
      </c>
      <c r="P63">
        <v>92886216.216216221</v>
      </c>
      <c r="Q63">
        <v>27113153.153153151</v>
      </c>
      <c r="R63">
        <v>33465495.495495494</v>
      </c>
      <c r="S63">
        <v>5402</v>
      </c>
      <c r="T63">
        <v>5424</v>
      </c>
    </row>
    <row r="64" spans="1:20" x14ac:dyDescent="0.35">
      <c r="A64" s="7" t="s">
        <v>140</v>
      </c>
      <c r="B64" s="12" t="s">
        <v>141</v>
      </c>
      <c r="C64">
        <v>290215041.96160257</v>
      </c>
      <c r="D64">
        <v>319874051.52588302</v>
      </c>
      <c r="E64">
        <v>3143243.243243244</v>
      </c>
      <c r="F64">
        <v>3141441.4414414428</v>
      </c>
      <c r="G64">
        <v>24</v>
      </c>
      <c r="H64">
        <v>27</v>
      </c>
      <c r="K64">
        <v>25</v>
      </c>
      <c r="L64">
        <v>33</v>
      </c>
      <c r="M64">
        <v>32009729.729729727</v>
      </c>
      <c r="N64">
        <v>29723423.423423424</v>
      </c>
      <c r="O64">
        <v>52367468.468468465</v>
      </c>
      <c r="P64">
        <v>57453663.063063063</v>
      </c>
      <c r="Q64">
        <v>25115405.405405402</v>
      </c>
      <c r="R64">
        <v>25018018.018018015</v>
      </c>
      <c r="S64">
        <v>4657</v>
      </c>
      <c r="T64">
        <v>4582</v>
      </c>
    </row>
    <row r="65" spans="1:20" x14ac:dyDescent="0.35">
      <c r="A65" s="7" t="s">
        <v>142</v>
      </c>
      <c r="B65" s="12" t="s">
        <v>63</v>
      </c>
      <c r="C65">
        <v>193133794.93855229</v>
      </c>
      <c r="D65">
        <v>202369078.67617989</v>
      </c>
      <c r="E65">
        <v>3335925.2252252279</v>
      </c>
      <c r="F65">
        <v>9310356.7567567583</v>
      </c>
      <c r="G65">
        <v>93</v>
      </c>
      <c r="H65">
        <v>27</v>
      </c>
      <c r="I65">
        <v>4</v>
      </c>
      <c r="K65">
        <v>111</v>
      </c>
      <c r="L65">
        <v>42</v>
      </c>
      <c r="M65">
        <v>104828551.35135137</v>
      </c>
      <c r="N65">
        <v>236568028.82882884</v>
      </c>
      <c r="O65">
        <v>42702945.945945941</v>
      </c>
      <c r="P65">
        <v>46978540.540540546</v>
      </c>
      <c r="Q65">
        <v>106367027.02702703</v>
      </c>
      <c r="R65">
        <v>240607567.56756756</v>
      </c>
      <c r="S65">
        <v>3943</v>
      </c>
      <c r="T65">
        <v>3992</v>
      </c>
    </row>
    <row r="66" spans="1:20" x14ac:dyDescent="0.35">
      <c r="A66" s="7" t="s">
        <v>143</v>
      </c>
      <c r="B66" s="12" t="s">
        <v>144</v>
      </c>
      <c r="C66">
        <v>1901371.003835083</v>
      </c>
      <c r="D66">
        <v>2152842.7809456252</v>
      </c>
      <c r="E66">
        <v>36846846.846846849</v>
      </c>
      <c r="F66">
        <v>24234234.234234232</v>
      </c>
      <c r="G66">
        <v>1</v>
      </c>
      <c r="K66">
        <v>1</v>
      </c>
      <c r="M66">
        <v>945945.94594594603</v>
      </c>
      <c r="N66">
        <v>1000000</v>
      </c>
      <c r="O66">
        <v>164504.50450450499</v>
      </c>
      <c r="P66">
        <v>273693.69369369402</v>
      </c>
      <c r="S66">
        <v>164</v>
      </c>
      <c r="T66">
        <v>150</v>
      </c>
    </row>
    <row r="67" spans="1:20" x14ac:dyDescent="0.35">
      <c r="A67" s="7" t="s">
        <v>145</v>
      </c>
      <c r="B67" s="12" t="s">
        <v>141</v>
      </c>
      <c r="C67">
        <v>412765409.65109164</v>
      </c>
      <c r="D67">
        <v>416405789.01279068</v>
      </c>
      <c r="E67">
        <v>2759009.0090090111</v>
      </c>
      <c r="F67">
        <v>3351351.3513513538</v>
      </c>
      <c r="G67">
        <v>92</v>
      </c>
      <c r="H67">
        <v>48</v>
      </c>
      <c r="K67">
        <v>112</v>
      </c>
      <c r="L67">
        <v>55</v>
      </c>
      <c r="M67">
        <v>46297657.657657653</v>
      </c>
      <c r="N67">
        <v>56250900.900900893</v>
      </c>
      <c r="O67">
        <v>77472594.594594598</v>
      </c>
      <c r="P67">
        <v>84215333.333333328</v>
      </c>
      <c r="Q67">
        <v>43996846.846846849</v>
      </c>
      <c r="R67">
        <v>54523693.693693697</v>
      </c>
      <c r="S67">
        <v>7719</v>
      </c>
      <c r="T67">
        <v>7619</v>
      </c>
    </row>
    <row r="68" spans="1:20" x14ac:dyDescent="0.35">
      <c r="A68" s="7" t="s">
        <v>146</v>
      </c>
      <c r="B68" s="12" t="s">
        <v>79</v>
      </c>
      <c r="C68">
        <v>295054935.83786726</v>
      </c>
      <c r="D68">
        <v>295276721.19958067</v>
      </c>
      <c r="E68">
        <v>91958558.558558553</v>
      </c>
      <c r="F68">
        <v>218234234.23423424</v>
      </c>
      <c r="G68">
        <v>89</v>
      </c>
      <c r="H68">
        <v>74</v>
      </c>
      <c r="K68">
        <v>102</v>
      </c>
      <c r="L68">
        <v>85</v>
      </c>
      <c r="M68">
        <v>28891891.891891893</v>
      </c>
      <c r="N68">
        <v>37594594.59459459</v>
      </c>
      <c r="O68">
        <v>83643666.666666672</v>
      </c>
      <c r="P68">
        <v>85733565.765765756</v>
      </c>
      <c r="Q68">
        <v>29356126.126126125</v>
      </c>
      <c r="R68">
        <v>31186126.126126129</v>
      </c>
      <c r="S68">
        <v>6507</v>
      </c>
      <c r="T68">
        <v>6455</v>
      </c>
    </row>
    <row r="69" spans="1:20" x14ac:dyDescent="0.35">
      <c r="A69" s="7" t="s">
        <v>147</v>
      </c>
      <c r="B69" s="12" t="s">
        <v>148</v>
      </c>
      <c r="C69">
        <v>194265920.27632079</v>
      </c>
      <c r="D69">
        <v>190497174.46900991</v>
      </c>
      <c r="E69">
        <v>451414777.47747749</v>
      </c>
      <c r="F69">
        <v>504603935.13513517</v>
      </c>
      <c r="G69">
        <v>36</v>
      </c>
      <c r="H69">
        <v>27</v>
      </c>
      <c r="K69">
        <v>40</v>
      </c>
      <c r="L69">
        <v>30</v>
      </c>
      <c r="M69">
        <v>60057741.441441439</v>
      </c>
      <c r="N69">
        <v>101564414.41441442</v>
      </c>
      <c r="O69">
        <v>62514945.945945941</v>
      </c>
      <c r="P69">
        <v>62072790.990990989</v>
      </c>
      <c r="Q69">
        <v>47600720.720720723</v>
      </c>
      <c r="R69">
        <v>76690720.720720723</v>
      </c>
      <c r="S69">
        <v>3934</v>
      </c>
      <c r="T69">
        <v>3686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22.077324659999999</v>
      </c>
      <c r="S70">
        <v>1</v>
      </c>
      <c r="T70">
        <v>11</v>
      </c>
    </row>
    <row r="71" spans="1:20" x14ac:dyDescent="0.35">
      <c r="A71" s="7" t="s">
        <v>150</v>
      </c>
      <c r="B71" s="12" t="s">
        <v>51</v>
      </c>
      <c r="C71">
        <v>172094835.70418906</v>
      </c>
      <c r="D71">
        <v>172649713.23630035</v>
      </c>
      <c r="E71">
        <v>762162.16216216295</v>
      </c>
      <c r="F71">
        <v>1024324.3243243271</v>
      </c>
      <c r="G71">
        <v>56</v>
      </c>
      <c r="H71">
        <v>23</v>
      </c>
      <c r="K71">
        <v>57</v>
      </c>
      <c r="L71">
        <v>27</v>
      </c>
      <c r="M71">
        <v>10672522.522522524</v>
      </c>
      <c r="N71">
        <v>16083243.243243244</v>
      </c>
      <c r="O71">
        <v>76965495.495495483</v>
      </c>
      <c r="P71">
        <v>78984540.540540546</v>
      </c>
      <c r="Q71">
        <v>10420000</v>
      </c>
      <c r="R71">
        <v>14325315.315315315</v>
      </c>
      <c r="S71">
        <v>3674</v>
      </c>
      <c r="T71">
        <v>3608</v>
      </c>
    </row>
    <row r="72" spans="1:20" x14ac:dyDescent="0.35">
      <c r="A72" s="7" t="s">
        <v>151</v>
      </c>
      <c r="B72" s="12" t="s">
        <v>152</v>
      </c>
      <c r="C72">
        <v>52113776.196864523</v>
      </c>
      <c r="D72">
        <v>49342191.430689275</v>
      </c>
      <c r="E72">
        <v>613524889.1891892</v>
      </c>
      <c r="F72">
        <v>521976081.08108109</v>
      </c>
      <c r="G72">
        <v>7</v>
      </c>
      <c r="H72">
        <v>3</v>
      </c>
      <c r="K72">
        <v>8</v>
      </c>
      <c r="L72">
        <v>3</v>
      </c>
      <c r="M72">
        <v>101500450.45045045</v>
      </c>
      <c r="N72">
        <v>67911711.711711705</v>
      </c>
      <c r="O72">
        <v>14392468.468468469</v>
      </c>
      <c r="P72">
        <v>13914810.810810812</v>
      </c>
      <c r="Q72">
        <v>24236216.216216218</v>
      </c>
      <c r="R72">
        <v>32268738.738738742</v>
      </c>
      <c r="S72">
        <v>797</v>
      </c>
      <c r="T72">
        <v>656</v>
      </c>
    </row>
    <row r="73" spans="1:20" x14ac:dyDescent="0.35">
      <c r="A73" s="7" t="s">
        <v>153</v>
      </c>
      <c r="B73" s="12" t="s">
        <v>152</v>
      </c>
      <c r="C73">
        <v>509772837.0443331</v>
      </c>
      <c r="D73">
        <v>498307065.61575818</v>
      </c>
      <c r="E73">
        <v>8602927.927927928</v>
      </c>
      <c r="F73">
        <v>4989219.8198198294</v>
      </c>
      <c r="G73">
        <v>290</v>
      </c>
      <c r="H73">
        <v>146</v>
      </c>
      <c r="I73">
        <v>2</v>
      </c>
      <c r="K73">
        <v>299</v>
      </c>
      <c r="L73">
        <v>159</v>
      </c>
      <c r="M73">
        <v>336140162.16216218</v>
      </c>
      <c r="N73">
        <v>379373003.6036036</v>
      </c>
      <c r="O73">
        <v>183045576.57657659</v>
      </c>
      <c r="P73">
        <v>183031882.88288289</v>
      </c>
      <c r="Q73">
        <v>281908547.74774772</v>
      </c>
      <c r="R73">
        <v>291614547.74774778</v>
      </c>
      <c r="S73">
        <v>8354</v>
      </c>
      <c r="T73">
        <v>8946</v>
      </c>
    </row>
    <row r="74" spans="1:20" x14ac:dyDescent="0.35">
      <c r="A74" s="7" t="s">
        <v>154</v>
      </c>
      <c r="B74" s="12" t="s">
        <v>155</v>
      </c>
      <c r="C74">
        <v>441730860.43168902</v>
      </c>
      <c r="D74">
        <v>419657941.18155056</v>
      </c>
      <c r="E74">
        <v>221185542.34234235</v>
      </c>
      <c r="F74">
        <v>239880855.85585588</v>
      </c>
      <c r="G74">
        <v>66</v>
      </c>
      <c r="H74">
        <v>33</v>
      </c>
      <c r="K74">
        <v>73</v>
      </c>
      <c r="L74">
        <v>45</v>
      </c>
      <c r="M74">
        <v>83174774.774774775</v>
      </c>
      <c r="N74">
        <v>109014189.18918918</v>
      </c>
      <c r="O74">
        <v>184050315.31531534</v>
      </c>
      <c r="P74">
        <v>187912585.58558559</v>
      </c>
      <c r="Q74">
        <v>52466036.036036029</v>
      </c>
      <c r="R74">
        <v>85146846.846846849</v>
      </c>
      <c r="S74">
        <v>7486</v>
      </c>
      <c r="T74">
        <v>6190</v>
      </c>
    </row>
    <row r="75" spans="1:20" x14ac:dyDescent="0.35">
      <c r="A75" s="7" t="s">
        <v>156</v>
      </c>
      <c r="B75" s="12" t="s">
        <v>155</v>
      </c>
      <c r="C75">
        <v>43925482.60469725</v>
      </c>
      <c r="D75">
        <v>50455421.68445152</v>
      </c>
      <c r="E75">
        <v>223423.423423425</v>
      </c>
      <c r="F75">
        <v>522522.52252252301</v>
      </c>
      <c r="G75">
        <v>11</v>
      </c>
      <c r="H75">
        <v>8</v>
      </c>
      <c r="K75">
        <v>12</v>
      </c>
      <c r="L75">
        <v>8</v>
      </c>
      <c r="M75">
        <v>5332432.4324324336</v>
      </c>
      <c r="N75">
        <v>23097297.297297295</v>
      </c>
      <c r="O75">
        <v>11440756.756756756</v>
      </c>
      <c r="P75">
        <v>15609216.216216216</v>
      </c>
      <c r="Q75">
        <v>4039549.5495495489</v>
      </c>
      <c r="R75">
        <v>17696126.126126129</v>
      </c>
      <c r="S75">
        <v>1289</v>
      </c>
      <c r="T75">
        <v>2067</v>
      </c>
    </row>
    <row r="76" spans="1:20" x14ac:dyDescent="0.35">
      <c r="A76" s="7" t="s">
        <v>157</v>
      </c>
      <c r="B76" s="12" t="s">
        <v>155</v>
      </c>
      <c r="C76">
        <v>497961045.26734364</v>
      </c>
      <c r="D76">
        <v>481926760.04081106</v>
      </c>
      <c r="E76">
        <v>4757882.8828828856</v>
      </c>
      <c r="F76">
        <v>9901801.8018018082</v>
      </c>
      <c r="G76">
        <v>39</v>
      </c>
      <c r="H76">
        <v>33</v>
      </c>
      <c r="K76">
        <v>131</v>
      </c>
      <c r="L76">
        <v>40</v>
      </c>
      <c r="M76">
        <v>89639189.189189181</v>
      </c>
      <c r="N76">
        <v>160796036.03603604</v>
      </c>
      <c r="O76">
        <v>193492063.06306309</v>
      </c>
      <c r="P76">
        <v>204667423.42342341</v>
      </c>
      <c r="Q76">
        <v>99537567.567567572</v>
      </c>
      <c r="R76">
        <v>134118288.2882883</v>
      </c>
      <c r="S76">
        <v>8276</v>
      </c>
      <c r="T76">
        <v>7494</v>
      </c>
    </row>
    <row r="77" spans="1:20" x14ac:dyDescent="0.35">
      <c r="A77" s="7" t="s">
        <v>158</v>
      </c>
      <c r="B77" s="12" t="s">
        <v>135</v>
      </c>
      <c r="C77">
        <v>230903177.2190626</v>
      </c>
      <c r="D77">
        <v>221869957.69902673</v>
      </c>
      <c r="E77">
        <v>1075675.675675679</v>
      </c>
      <c r="F77">
        <v>2839639.6396396412</v>
      </c>
      <c r="G77">
        <v>43</v>
      </c>
      <c r="H77">
        <v>60</v>
      </c>
      <c r="K77">
        <v>47</v>
      </c>
      <c r="L77">
        <v>97</v>
      </c>
      <c r="M77">
        <v>25413521.621621624</v>
      </c>
      <c r="N77">
        <v>25443243.243243244</v>
      </c>
      <c r="O77">
        <v>22865279.27927928</v>
      </c>
      <c r="P77">
        <v>24344459.459459461</v>
      </c>
      <c r="Q77">
        <v>11536666.666666668</v>
      </c>
      <c r="R77">
        <v>16241981.981981983</v>
      </c>
      <c r="S77">
        <v>4672</v>
      </c>
      <c r="T77">
        <v>4577</v>
      </c>
    </row>
    <row r="78" spans="1:20" x14ac:dyDescent="0.35">
      <c r="A78" s="7" t="s">
        <v>1</v>
      </c>
      <c r="B78" s="12" t="s">
        <v>159</v>
      </c>
      <c r="C78">
        <v>416304800.06947994</v>
      </c>
      <c r="D78">
        <v>415176018.41097152</v>
      </c>
      <c r="E78">
        <v>2831531.5315315342</v>
      </c>
      <c r="F78">
        <v>5806306.3063063072</v>
      </c>
      <c r="G78">
        <v>144</v>
      </c>
      <c r="H78">
        <v>72</v>
      </c>
      <c r="I78">
        <v>1</v>
      </c>
      <c r="K78">
        <v>256</v>
      </c>
      <c r="L78">
        <v>213</v>
      </c>
      <c r="M78">
        <v>47406936.936936937</v>
      </c>
      <c r="N78">
        <v>72565990.990990996</v>
      </c>
      <c r="O78">
        <v>198626738.73873875</v>
      </c>
      <c r="P78">
        <v>198449279.27927926</v>
      </c>
      <c r="Q78">
        <v>44820000</v>
      </c>
      <c r="R78">
        <v>69918783.783783779</v>
      </c>
      <c r="S78">
        <v>9088</v>
      </c>
      <c r="T78">
        <v>7856</v>
      </c>
    </row>
    <row r="79" spans="1:20" x14ac:dyDescent="0.35">
      <c r="A79" s="7" t="s">
        <v>160</v>
      </c>
      <c r="B79" s="12" t="s">
        <v>122</v>
      </c>
      <c r="C79">
        <v>15293436.562918289</v>
      </c>
      <c r="D79">
        <v>12933097.970831344</v>
      </c>
      <c r="G79">
        <v>7</v>
      </c>
      <c r="H79">
        <v>9</v>
      </c>
      <c r="K79">
        <v>8</v>
      </c>
      <c r="L79">
        <v>10</v>
      </c>
      <c r="O79">
        <v>1360180.1801801799</v>
      </c>
      <c r="P79">
        <v>1757747.7477477479</v>
      </c>
      <c r="Q79">
        <v>29729.729729729999</v>
      </c>
      <c r="R79">
        <v>116216.21621621599</v>
      </c>
      <c r="S79">
        <v>525</v>
      </c>
      <c r="T79">
        <v>485</v>
      </c>
    </row>
    <row r="80" spans="1:20" x14ac:dyDescent="0.35">
      <c r="A80" s="7" t="s">
        <v>161</v>
      </c>
      <c r="B80" s="12" t="s">
        <v>162</v>
      </c>
      <c r="C80">
        <v>221365449.92971894</v>
      </c>
      <c r="D80">
        <v>231918161.30543908</v>
      </c>
      <c r="E80">
        <v>138611454.05405405</v>
      </c>
      <c r="F80">
        <v>170557721.62162164</v>
      </c>
      <c r="G80">
        <v>130</v>
      </c>
      <c r="H80">
        <v>297</v>
      </c>
      <c r="K80">
        <v>207</v>
      </c>
      <c r="L80">
        <v>489</v>
      </c>
      <c r="M80">
        <v>80948665.765765756</v>
      </c>
      <c r="N80">
        <v>102151721.62162161</v>
      </c>
      <c r="O80">
        <v>96843846.846846849</v>
      </c>
      <c r="P80">
        <v>104562873.87387387</v>
      </c>
      <c r="Q80">
        <v>65735855.855855852</v>
      </c>
      <c r="R80">
        <v>79725090.090090096</v>
      </c>
      <c r="S80">
        <v>10762</v>
      </c>
      <c r="T80">
        <v>6227</v>
      </c>
    </row>
    <row r="81" spans="1:20" x14ac:dyDescent="0.35">
      <c r="A81" s="7" t="s">
        <v>163</v>
      </c>
      <c r="B81" s="12" t="s">
        <v>77</v>
      </c>
      <c r="C81">
        <v>98489599.968667105</v>
      </c>
      <c r="D81">
        <v>101574526.93388051</v>
      </c>
      <c r="E81">
        <v>74489189.189189181</v>
      </c>
      <c r="F81">
        <v>89022522.522522524</v>
      </c>
      <c r="G81">
        <v>43</v>
      </c>
      <c r="H81">
        <v>15</v>
      </c>
      <c r="K81">
        <v>47</v>
      </c>
      <c r="L81">
        <v>15</v>
      </c>
      <c r="M81">
        <v>1962612.612612613</v>
      </c>
      <c r="N81">
        <v>2852252.2522522518</v>
      </c>
      <c r="O81">
        <v>5356063.0630630627</v>
      </c>
      <c r="P81">
        <v>5466918.9189189188</v>
      </c>
      <c r="Q81">
        <v>1435675.675675676</v>
      </c>
      <c r="R81">
        <v>1410000</v>
      </c>
      <c r="S81">
        <v>970</v>
      </c>
      <c r="T81">
        <v>922</v>
      </c>
    </row>
    <row r="82" spans="1:20" x14ac:dyDescent="0.35">
      <c r="A82" s="7" t="s">
        <v>164</v>
      </c>
      <c r="B82" s="12" t="s">
        <v>53</v>
      </c>
      <c r="C82">
        <v>76648186.151668385</v>
      </c>
      <c r="D82">
        <v>72398911.42510055</v>
      </c>
      <c r="E82">
        <v>1116216.216216217</v>
      </c>
      <c r="F82">
        <v>1416216.216216218</v>
      </c>
      <c r="G82">
        <v>23</v>
      </c>
      <c r="H82">
        <v>7</v>
      </c>
      <c r="K82">
        <v>25</v>
      </c>
      <c r="L82">
        <v>9</v>
      </c>
      <c r="M82">
        <v>1368468.4684684691</v>
      </c>
      <c r="N82">
        <v>3309909.909909911</v>
      </c>
      <c r="O82">
        <v>37381756.756756753</v>
      </c>
      <c r="P82">
        <v>33997414.414414413</v>
      </c>
      <c r="Q82">
        <v>1533333.333333334</v>
      </c>
      <c r="R82">
        <v>3113963.963963964</v>
      </c>
      <c r="S82">
        <v>1739</v>
      </c>
      <c r="T82">
        <v>1530</v>
      </c>
    </row>
    <row r="83" spans="1:20" x14ac:dyDescent="0.35">
      <c r="A83" s="7" t="s">
        <v>165</v>
      </c>
      <c r="B83" s="12" t="s">
        <v>88</v>
      </c>
      <c r="C83">
        <v>40352448.665605843</v>
      </c>
      <c r="D83">
        <v>53575676.641313113</v>
      </c>
      <c r="E83">
        <v>93608139.639639646</v>
      </c>
      <c r="F83">
        <v>82547403.603603601</v>
      </c>
      <c r="G83">
        <v>11</v>
      </c>
      <c r="H83">
        <v>16</v>
      </c>
      <c r="K83">
        <v>13</v>
      </c>
      <c r="L83">
        <v>17</v>
      </c>
      <c r="M83">
        <v>1563963.9639639631</v>
      </c>
      <c r="N83">
        <v>1971171.1711711721</v>
      </c>
      <c r="O83">
        <v>3912837.8378378381</v>
      </c>
      <c r="P83">
        <v>8131036.036036036</v>
      </c>
      <c r="Q83">
        <v>1411801.8018018019</v>
      </c>
      <c r="R83">
        <v>2046126.1261261271</v>
      </c>
      <c r="S83">
        <v>1170</v>
      </c>
      <c r="T83">
        <v>1187</v>
      </c>
    </row>
    <row r="84" spans="1:20" x14ac:dyDescent="0.35">
      <c r="A84" s="7" t="s">
        <v>166</v>
      </c>
      <c r="B84" s="12" t="s">
        <v>144</v>
      </c>
      <c r="C84">
        <v>13198934.919285201</v>
      </c>
      <c r="D84">
        <v>12899436.809846355</v>
      </c>
      <c r="E84">
        <v>130630.630630631</v>
      </c>
      <c r="F84">
        <v>297297.29729729798</v>
      </c>
      <c r="G84">
        <v>10</v>
      </c>
      <c r="K84">
        <v>10</v>
      </c>
      <c r="M84">
        <v>1635135.1351351349</v>
      </c>
      <c r="N84">
        <v>747747.74774774804</v>
      </c>
      <c r="O84">
        <v>1479567.567567568</v>
      </c>
      <c r="P84">
        <v>1472063.063063063</v>
      </c>
      <c r="Q84">
        <v>756936.93693693704</v>
      </c>
      <c r="R84">
        <v>962972.97297297302</v>
      </c>
      <c r="S84">
        <v>364</v>
      </c>
      <c r="T84">
        <v>331</v>
      </c>
    </row>
    <row r="85" spans="1:20" x14ac:dyDescent="0.35">
      <c r="A85" s="7" t="s">
        <v>167</v>
      </c>
      <c r="B85" s="12" t="s">
        <v>168</v>
      </c>
      <c r="C85">
        <v>53416885.930016577</v>
      </c>
      <c r="D85">
        <v>49586477.967981078</v>
      </c>
      <c r="E85">
        <v>6372072.0720720729</v>
      </c>
      <c r="F85">
        <v>103852252.25225225</v>
      </c>
      <c r="G85">
        <v>15</v>
      </c>
      <c r="H85">
        <v>10</v>
      </c>
      <c r="K85">
        <v>16</v>
      </c>
      <c r="L85">
        <v>12</v>
      </c>
      <c r="M85">
        <v>4712162.1621621624</v>
      </c>
      <c r="N85">
        <v>7854954.9549549548</v>
      </c>
      <c r="O85">
        <v>25911809.009009007</v>
      </c>
      <c r="P85">
        <v>26408522.52252252</v>
      </c>
      <c r="Q85">
        <v>4570180.180180178</v>
      </c>
      <c r="R85">
        <v>4251441.4414414419</v>
      </c>
      <c r="S85">
        <v>1408</v>
      </c>
      <c r="T85">
        <v>1049</v>
      </c>
    </row>
    <row r="86" spans="1:20" x14ac:dyDescent="0.35">
      <c r="A86" s="7" t="s">
        <v>169</v>
      </c>
      <c r="B86" s="12" t="s">
        <v>170</v>
      </c>
      <c r="C86">
        <v>250767008.59322396</v>
      </c>
      <c r="D86">
        <v>264107828.32846427</v>
      </c>
      <c r="E86">
        <v>1525225.225225227</v>
      </c>
      <c r="F86">
        <v>4151351.3513513538</v>
      </c>
      <c r="G86">
        <v>33</v>
      </c>
      <c r="H86">
        <v>40</v>
      </c>
      <c r="K86">
        <v>39</v>
      </c>
      <c r="L86">
        <v>48</v>
      </c>
      <c r="M86">
        <v>37939889.189189181</v>
      </c>
      <c r="N86">
        <v>60030630.630630635</v>
      </c>
      <c r="O86">
        <v>77376840.090090096</v>
      </c>
      <c r="P86">
        <v>85407234.234234244</v>
      </c>
      <c r="Q86">
        <v>36592702.702702701</v>
      </c>
      <c r="R86">
        <v>56005855.855855852</v>
      </c>
      <c r="S86">
        <v>7139</v>
      </c>
      <c r="T86">
        <v>6626</v>
      </c>
    </row>
    <row r="87" spans="1:20" x14ac:dyDescent="0.35">
      <c r="A87" s="7" t="s">
        <v>171</v>
      </c>
      <c r="B87" s="12" t="s">
        <v>55</v>
      </c>
      <c r="C87">
        <v>37038746.074855931</v>
      </c>
      <c r="D87">
        <v>44929382.351270527</v>
      </c>
      <c r="E87">
        <v>381081.08108108101</v>
      </c>
      <c r="F87">
        <v>129729.72972972901</v>
      </c>
      <c r="G87">
        <v>3</v>
      </c>
      <c r="H87">
        <v>4</v>
      </c>
      <c r="K87">
        <v>3</v>
      </c>
      <c r="L87">
        <v>5</v>
      </c>
      <c r="M87">
        <v>2680630.630630631</v>
      </c>
      <c r="N87">
        <v>5859459.4594594603</v>
      </c>
      <c r="O87">
        <v>6004054.0540540544</v>
      </c>
      <c r="P87">
        <v>7251981.9819819815</v>
      </c>
      <c r="Q87">
        <v>3724504.5045045041</v>
      </c>
      <c r="R87">
        <v>5621981.9819819815</v>
      </c>
      <c r="S87">
        <v>753</v>
      </c>
      <c r="T87">
        <v>689</v>
      </c>
    </row>
    <row r="88" spans="1:20" x14ac:dyDescent="0.35">
      <c r="A88" s="7" t="s">
        <v>172</v>
      </c>
      <c r="B88" s="12" t="s">
        <v>61</v>
      </c>
      <c r="C88">
        <v>781619901.77382851</v>
      </c>
      <c r="D88">
        <v>765783727.19926059</v>
      </c>
      <c r="E88">
        <v>9753153.1531531569</v>
      </c>
      <c r="F88">
        <v>6380180.1801801883</v>
      </c>
      <c r="G88">
        <v>209</v>
      </c>
      <c r="H88">
        <v>53</v>
      </c>
      <c r="K88">
        <v>236</v>
      </c>
      <c r="L88">
        <v>71</v>
      </c>
      <c r="M88">
        <v>37371171.171171166</v>
      </c>
      <c r="N88">
        <v>43956756.75675676</v>
      </c>
      <c r="O88">
        <v>288397936.93693697</v>
      </c>
      <c r="P88">
        <v>281871322.52252251</v>
      </c>
      <c r="Q88">
        <v>36649909.909909911</v>
      </c>
      <c r="R88">
        <v>38969459.459459461</v>
      </c>
      <c r="S88">
        <v>13099</v>
      </c>
      <c r="T88">
        <v>11927</v>
      </c>
    </row>
    <row r="89" spans="1:20" x14ac:dyDescent="0.35">
      <c r="A89" s="7" t="s">
        <v>173</v>
      </c>
      <c r="B89" s="12" t="s">
        <v>122</v>
      </c>
      <c r="C89">
        <v>322937544.95358962</v>
      </c>
      <c r="D89">
        <v>299429757.31369293</v>
      </c>
      <c r="E89">
        <v>2181081.0810810821</v>
      </c>
      <c r="F89">
        <v>1315315.315315323</v>
      </c>
      <c r="G89">
        <v>146</v>
      </c>
      <c r="H89">
        <v>121</v>
      </c>
      <c r="K89">
        <v>157</v>
      </c>
      <c r="L89">
        <v>142</v>
      </c>
      <c r="M89">
        <v>20574774.774774771</v>
      </c>
      <c r="N89">
        <v>23657657.657657661</v>
      </c>
      <c r="O89">
        <v>43563772.522522517</v>
      </c>
      <c r="P89">
        <v>50439963.963963971</v>
      </c>
      <c r="Q89">
        <v>14815405.405405404</v>
      </c>
      <c r="R89">
        <v>15300990.990990989</v>
      </c>
      <c r="S89">
        <v>5852</v>
      </c>
      <c r="T89">
        <v>5645</v>
      </c>
    </row>
    <row r="90" spans="1:20" x14ac:dyDescent="0.35">
      <c r="A90" s="7" t="s">
        <v>174</v>
      </c>
      <c r="B90" s="12" t="s">
        <v>175</v>
      </c>
      <c r="C90">
        <v>228371842.48793471</v>
      </c>
      <c r="D90">
        <v>240971317.22973147</v>
      </c>
      <c r="E90">
        <v>123717082.88288288</v>
      </c>
      <c r="F90">
        <v>127508922.52252252</v>
      </c>
      <c r="G90">
        <v>49</v>
      </c>
      <c r="H90">
        <v>43</v>
      </c>
      <c r="K90">
        <v>66</v>
      </c>
      <c r="L90">
        <v>60</v>
      </c>
      <c r="M90">
        <v>57011261.261261262</v>
      </c>
      <c r="N90">
        <v>50864997.297297299</v>
      </c>
      <c r="O90">
        <v>29642540.540540542</v>
      </c>
      <c r="P90">
        <v>32195657.657657657</v>
      </c>
      <c r="Q90">
        <v>33201351.351351351</v>
      </c>
      <c r="R90">
        <v>33762972.972972974</v>
      </c>
      <c r="S90">
        <v>5267</v>
      </c>
      <c r="T90">
        <v>6269</v>
      </c>
    </row>
    <row r="91" spans="1:20" x14ac:dyDescent="0.35">
      <c r="A91" s="7" t="s">
        <v>176</v>
      </c>
      <c r="B91" s="12" t="s">
        <v>175</v>
      </c>
      <c r="C91">
        <v>358987895.38522905</v>
      </c>
      <c r="D91">
        <v>373172921.83248317</v>
      </c>
      <c r="E91">
        <v>2585360.360360364</v>
      </c>
      <c r="F91">
        <v>4020720.7207207289</v>
      </c>
      <c r="G91">
        <v>137</v>
      </c>
      <c r="H91">
        <v>173</v>
      </c>
      <c r="I91">
        <v>1</v>
      </c>
      <c r="K91">
        <v>165</v>
      </c>
      <c r="L91">
        <v>213</v>
      </c>
      <c r="M91">
        <v>45454954.954954952</v>
      </c>
      <c r="N91">
        <v>55601801.801801808</v>
      </c>
      <c r="O91">
        <v>59663135.135135137</v>
      </c>
      <c r="P91">
        <v>61604504.504504502</v>
      </c>
      <c r="Q91">
        <v>40640360.360360369</v>
      </c>
      <c r="R91">
        <v>41720270.270270273</v>
      </c>
      <c r="S91">
        <v>10686</v>
      </c>
      <c r="T91">
        <v>8584</v>
      </c>
    </row>
    <row r="92" spans="1:20" x14ac:dyDescent="0.35">
      <c r="A92" s="7" t="s">
        <v>177</v>
      </c>
      <c r="B92" s="12" t="s">
        <v>175</v>
      </c>
      <c r="C92">
        <v>489694148.26287282</v>
      </c>
      <c r="D92">
        <v>497320412.16268587</v>
      </c>
      <c r="E92">
        <v>19454279.279279284</v>
      </c>
      <c r="F92">
        <v>15417117.117117126</v>
      </c>
      <c r="G92">
        <v>225</v>
      </c>
      <c r="H92">
        <v>241</v>
      </c>
      <c r="K92">
        <v>270</v>
      </c>
      <c r="L92">
        <v>315</v>
      </c>
      <c r="M92">
        <v>47456756.756756753</v>
      </c>
      <c r="N92">
        <v>58777935.135135137</v>
      </c>
      <c r="O92">
        <v>74216202.702702701</v>
      </c>
      <c r="P92">
        <v>79667789.189189181</v>
      </c>
      <c r="Q92">
        <v>39910810.810810804</v>
      </c>
      <c r="R92">
        <v>51042072.072072081</v>
      </c>
      <c r="S92">
        <v>14744</v>
      </c>
      <c r="T92">
        <v>13000</v>
      </c>
    </row>
    <row r="93" spans="1:20" x14ac:dyDescent="0.35">
      <c r="A93" s="7" t="s">
        <v>178</v>
      </c>
      <c r="B93" s="12" t="s">
        <v>179</v>
      </c>
      <c r="C93">
        <v>168486997.51730606</v>
      </c>
      <c r="D93">
        <v>151945405.37509054</v>
      </c>
      <c r="E93">
        <v>499099.099099099</v>
      </c>
      <c r="F93">
        <v>2254954.9549549548</v>
      </c>
      <c r="G93">
        <v>31</v>
      </c>
      <c r="H93">
        <v>28</v>
      </c>
      <c r="K93">
        <v>37</v>
      </c>
      <c r="L93">
        <v>90</v>
      </c>
      <c r="M93">
        <v>9615540.5405405406</v>
      </c>
      <c r="N93">
        <v>11268018.018018017</v>
      </c>
      <c r="O93">
        <v>67491340.540540546</v>
      </c>
      <c r="P93">
        <v>60936027.027027026</v>
      </c>
      <c r="Q93">
        <v>9226171.1711711716</v>
      </c>
      <c r="R93">
        <v>9237927.927927928</v>
      </c>
      <c r="S93">
        <v>3615</v>
      </c>
      <c r="T93">
        <v>3435</v>
      </c>
    </row>
    <row r="94" spans="1:20" x14ac:dyDescent="0.35">
      <c r="A94" s="7" t="s">
        <v>180</v>
      </c>
      <c r="B94" s="12" t="s">
        <v>168</v>
      </c>
      <c r="C94">
        <v>195351774.4508208</v>
      </c>
      <c r="D94">
        <v>216604875.48175207</v>
      </c>
      <c r="E94">
        <v>2315090.0900900899</v>
      </c>
      <c r="F94">
        <v>7339189.1891891891</v>
      </c>
      <c r="G94">
        <v>28</v>
      </c>
      <c r="H94">
        <v>20</v>
      </c>
      <c r="K94">
        <v>36</v>
      </c>
      <c r="L94">
        <v>22</v>
      </c>
      <c r="M94">
        <v>5534234.2342342352</v>
      </c>
      <c r="N94">
        <v>22947747.747747749</v>
      </c>
      <c r="O94">
        <v>49027981.981981985</v>
      </c>
      <c r="P94">
        <v>69006882.882882878</v>
      </c>
      <c r="Q94">
        <v>2926576.5765765798</v>
      </c>
      <c r="R94">
        <v>17544234.234234236</v>
      </c>
      <c r="S94">
        <v>4613</v>
      </c>
      <c r="T94">
        <v>4037</v>
      </c>
    </row>
    <row r="95" spans="1:20" x14ac:dyDescent="0.35">
      <c r="A95" s="7" t="s">
        <v>181</v>
      </c>
      <c r="B95" s="12" t="s">
        <v>182</v>
      </c>
      <c r="C95">
        <v>157528361.90700582</v>
      </c>
      <c r="D95">
        <v>166008223.4408789</v>
      </c>
      <c r="E95">
        <v>357657.65765765798</v>
      </c>
      <c r="F95">
        <v>2354054.0540540572</v>
      </c>
      <c r="G95">
        <v>21</v>
      </c>
      <c r="H95">
        <v>31</v>
      </c>
      <c r="K95">
        <v>24</v>
      </c>
      <c r="L95">
        <v>35</v>
      </c>
      <c r="M95">
        <v>7767387.3873873837</v>
      </c>
      <c r="N95">
        <v>29779729.729729727</v>
      </c>
      <c r="O95">
        <v>39417975.225225225</v>
      </c>
      <c r="P95">
        <v>40393063.063063063</v>
      </c>
      <c r="Q95">
        <v>10502522.52252252</v>
      </c>
      <c r="R95">
        <v>29338558.558558557</v>
      </c>
      <c r="S95">
        <v>3110</v>
      </c>
      <c r="T95">
        <v>5910</v>
      </c>
    </row>
    <row r="96" spans="1:20" x14ac:dyDescent="0.35">
      <c r="A96" s="7" t="s">
        <v>664</v>
      </c>
      <c r="B96" s="12" t="s">
        <v>69</v>
      </c>
      <c r="T96">
        <v>2</v>
      </c>
    </row>
    <row r="97" spans="1:20" x14ac:dyDescent="0.35">
      <c r="A97" s="7" t="s">
        <v>183</v>
      </c>
      <c r="B97" s="12" t="s">
        <v>95</v>
      </c>
      <c r="C97">
        <v>152656116.89165083</v>
      </c>
      <c r="D97">
        <v>162575636.52768975</v>
      </c>
      <c r="E97">
        <v>54054.054054054002</v>
      </c>
      <c r="F97">
        <v>90090.090090090001</v>
      </c>
      <c r="G97">
        <v>44</v>
      </c>
      <c r="H97">
        <v>43</v>
      </c>
      <c r="K97">
        <v>53</v>
      </c>
      <c r="L97">
        <v>51</v>
      </c>
      <c r="M97">
        <v>4477477.4774774769</v>
      </c>
      <c r="N97">
        <v>1891891.8918918921</v>
      </c>
      <c r="O97">
        <v>16127558.558558557</v>
      </c>
      <c r="P97">
        <v>24508144.144144144</v>
      </c>
      <c r="Q97">
        <v>1783423.423423423</v>
      </c>
      <c r="R97">
        <v>700900.90090090095</v>
      </c>
      <c r="S97">
        <v>3778</v>
      </c>
      <c r="T97">
        <v>3662</v>
      </c>
    </row>
    <row r="98" spans="1:20" x14ac:dyDescent="0.35">
      <c r="A98" s="7" t="s">
        <v>184</v>
      </c>
      <c r="B98" s="12" t="s">
        <v>95</v>
      </c>
      <c r="C98">
        <v>939026599.69364202</v>
      </c>
      <c r="D98">
        <v>1010879283.6705067</v>
      </c>
      <c r="E98">
        <v>1066725757.6576577</v>
      </c>
      <c r="F98">
        <v>206934537.83783785</v>
      </c>
      <c r="G98">
        <v>192</v>
      </c>
      <c r="H98">
        <v>270</v>
      </c>
      <c r="K98">
        <v>230</v>
      </c>
      <c r="L98">
        <v>331</v>
      </c>
      <c r="M98">
        <v>61207657.657657653</v>
      </c>
      <c r="N98">
        <v>67210900.9009009</v>
      </c>
      <c r="O98">
        <v>115312419.36936937</v>
      </c>
      <c r="P98">
        <v>148319000</v>
      </c>
      <c r="Q98">
        <v>53034414.414414413</v>
      </c>
      <c r="R98">
        <v>51854954.954954959</v>
      </c>
      <c r="S98">
        <v>16515</v>
      </c>
      <c r="T98">
        <v>16677</v>
      </c>
    </row>
    <row r="99" spans="1:20" x14ac:dyDescent="0.35">
      <c r="A99" s="7" t="s">
        <v>185</v>
      </c>
      <c r="B99" s="12" t="s">
        <v>90</v>
      </c>
      <c r="C99">
        <v>85381226.340893894</v>
      </c>
      <c r="D99">
        <v>76197328.432918578</v>
      </c>
      <c r="E99">
        <v>798873.87387387396</v>
      </c>
      <c r="F99">
        <v>2290990.9909909898</v>
      </c>
      <c r="G99">
        <v>18</v>
      </c>
      <c r="H99">
        <v>9</v>
      </c>
      <c r="K99">
        <v>18</v>
      </c>
      <c r="L99">
        <v>9</v>
      </c>
      <c r="M99">
        <v>4585945.9459459456</v>
      </c>
      <c r="N99">
        <v>5926126.1261261273</v>
      </c>
      <c r="O99">
        <v>28882234.234234232</v>
      </c>
      <c r="P99">
        <v>29413684.684684683</v>
      </c>
      <c r="Q99">
        <v>3572612.6126126121</v>
      </c>
      <c r="R99">
        <v>5609009.0090090092</v>
      </c>
      <c r="S99">
        <v>1723</v>
      </c>
      <c r="T99">
        <v>1651</v>
      </c>
    </row>
    <row r="100" spans="1:20" x14ac:dyDescent="0.35">
      <c r="A100" s="7" t="s">
        <v>186</v>
      </c>
      <c r="B100" s="12" t="s">
        <v>61</v>
      </c>
      <c r="C100">
        <v>51553835.373595081</v>
      </c>
      <c r="D100">
        <v>55294745.27326069</v>
      </c>
      <c r="E100">
        <v>259459.45945946101</v>
      </c>
      <c r="F100">
        <v>1132432.4324324329</v>
      </c>
      <c r="G100">
        <v>11</v>
      </c>
      <c r="H100">
        <v>7</v>
      </c>
      <c r="K100">
        <v>12</v>
      </c>
      <c r="L100">
        <v>9</v>
      </c>
      <c r="M100">
        <v>1250450.450450452</v>
      </c>
      <c r="N100">
        <v>2817117.1171171181</v>
      </c>
      <c r="O100">
        <v>17858623.873873875</v>
      </c>
      <c r="P100">
        <v>19518954.954954956</v>
      </c>
      <c r="Q100">
        <v>953603.60360360402</v>
      </c>
      <c r="R100">
        <v>3563693.6936936928</v>
      </c>
      <c r="S100">
        <v>897</v>
      </c>
      <c r="T100">
        <v>848</v>
      </c>
    </row>
    <row r="101" spans="1:20" x14ac:dyDescent="0.35">
      <c r="A101" s="7" t="s">
        <v>187</v>
      </c>
      <c r="B101" s="12" t="s">
        <v>168</v>
      </c>
      <c r="C101">
        <v>127675100.4785039</v>
      </c>
      <c r="D101">
        <v>122460650.06551169</v>
      </c>
      <c r="E101">
        <v>1630405.4054054059</v>
      </c>
      <c r="F101">
        <v>4207207.2072072057</v>
      </c>
      <c r="G101">
        <v>5</v>
      </c>
      <c r="H101">
        <v>6</v>
      </c>
      <c r="K101">
        <v>5</v>
      </c>
      <c r="L101">
        <v>10</v>
      </c>
      <c r="M101">
        <v>1968468.4684684691</v>
      </c>
      <c r="N101">
        <v>8520720.7207207195</v>
      </c>
      <c r="O101">
        <v>33847954.954954959</v>
      </c>
      <c r="P101">
        <v>36344277.477477483</v>
      </c>
      <c r="Q101">
        <v>268828.82882882899</v>
      </c>
      <c r="R101">
        <v>6965225.2252252251</v>
      </c>
      <c r="S101">
        <v>2891</v>
      </c>
      <c r="T101">
        <v>2724</v>
      </c>
    </row>
    <row r="102" spans="1:20" x14ac:dyDescent="0.35">
      <c r="A102" s="7" t="s">
        <v>188</v>
      </c>
      <c r="B102" s="12" t="s">
        <v>168</v>
      </c>
      <c r="C102">
        <v>337355621.6500628</v>
      </c>
      <c r="D102">
        <v>362547022.94203871</v>
      </c>
      <c r="E102">
        <v>1312612.6126126151</v>
      </c>
      <c r="F102">
        <v>3772072.0720720692</v>
      </c>
      <c r="G102">
        <v>42</v>
      </c>
      <c r="H102">
        <v>17</v>
      </c>
      <c r="K102">
        <v>45</v>
      </c>
      <c r="L102">
        <v>18</v>
      </c>
      <c r="M102">
        <v>13520301.801801804</v>
      </c>
      <c r="N102">
        <v>24207207.207207207</v>
      </c>
      <c r="O102">
        <v>69733837.837837845</v>
      </c>
      <c r="P102">
        <v>86595007.207207203</v>
      </c>
      <c r="Q102">
        <v>10273963.963963967</v>
      </c>
      <c r="R102">
        <v>19924954.954954956</v>
      </c>
      <c r="S102">
        <v>6142</v>
      </c>
      <c r="T102">
        <v>4947</v>
      </c>
    </row>
    <row r="103" spans="1:20" x14ac:dyDescent="0.35">
      <c r="A103" s="7" t="s">
        <v>189</v>
      </c>
      <c r="B103" s="12" t="s">
        <v>190</v>
      </c>
      <c r="C103">
        <v>148660680.4162738</v>
      </c>
      <c r="D103">
        <v>154307753.11702266</v>
      </c>
      <c r="E103">
        <v>270270.27027027</v>
      </c>
      <c r="F103">
        <v>270270.27027027</v>
      </c>
      <c r="G103">
        <v>19</v>
      </c>
      <c r="H103">
        <v>35</v>
      </c>
      <c r="I103">
        <v>1</v>
      </c>
      <c r="K103">
        <v>19</v>
      </c>
      <c r="L103">
        <v>37</v>
      </c>
      <c r="M103">
        <v>2072072.072072072</v>
      </c>
      <c r="N103">
        <v>2657657.6576576582</v>
      </c>
      <c r="O103">
        <v>10613459.459459459</v>
      </c>
      <c r="P103">
        <v>13399738.738738738</v>
      </c>
      <c r="Q103">
        <v>1937387.387387387</v>
      </c>
      <c r="R103">
        <v>2075945.945945946</v>
      </c>
      <c r="S103">
        <v>1753</v>
      </c>
      <c r="T103">
        <v>1701</v>
      </c>
    </row>
    <row r="104" spans="1:20" x14ac:dyDescent="0.35">
      <c r="A104" s="7" t="s">
        <v>191</v>
      </c>
      <c r="B104" s="12" t="s">
        <v>135</v>
      </c>
      <c r="C104">
        <v>35511123.639930986</v>
      </c>
      <c r="D104">
        <v>32988124.57017022</v>
      </c>
      <c r="E104">
        <v>13513.513513514001</v>
      </c>
      <c r="G104">
        <v>20</v>
      </c>
      <c r="H104">
        <v>31</v>
      </c>
      <c r="K104">
        <v>23</v>
      </c>
      <c r="L104">
        <v>33</v>
      </c>
      <c r="M104">
        <v>58558.558558559002</v>
      </c>
      <c r="O104">
        <v>2468378.3783783792</v>
      </c>
      <c r="P104">
        <v>2817198.1981981979</v>
      </c>
      <c r="Q104">
        <v>200900.900900901</v>
      </c>
      <c r="S104">
        <v>1082</v>
      </c>
      <c r="T104">
        <v>907</v>
      </c>
    </row>
    <row r="105" spans="1:20" x14ac:dyDescent="0.35">
      <c r="A105" s="7" t="s">
        <v>192</v>
      </c>
      <c r="B105" s="12" t="s">
        <v>61</v>
      </c>
      <c r="C105">
        <v>214502569.68148562</v>
      </c>
      <c r="D105">
        <v>216480310.04730642</v>
      </c>
      <c r="E105">
        <v>3081756.756756756</v>
      </c>
      <c r="F105">
        <v>2973873.873873875</v>
      </c>
      <c r="G105">
        <v>21</v>
      </c>
      <c r="H105">
        <v>48</v>
      </c>
      <c r="K105">
        <v>30</v>
      </c>
      <c r="L105">
        <v>98</v>
      </c>
      <c r="M105">
        <v>18253153.153153151</v>
      </c>
      <c r="N105">
        <v>25948648.648648649</v>
      </c>
      <c r="O105">
        <v>71925927.927927926</v>
      </c>
      <c r="P105">
        <v>74792702.702702701</v>
      </c>
      <c r="Q105">
        <v>17398108.108108107</v>
      </c>
      <c r="R105">
        <v>25677027.02702703</v>
      </c>
      <c r="S105">
        <v>4113</v>
      </c>
      <c r="T105">
        <v>5733</v>
      </c>
    </row>
    <row r="106" spans="1:20" x14ac:dyDescent="0.35">
      <c r="A106" s="7" t="s">
        <v>193</v>
      </c>
      <c r="B106" s="12" t="s">
        <v>61</v>
      </c>
      <c r="C106">
        <v>371169460.57455909</v>
      </c>
      <c r="D106">
        <v>375482284.57615179</v>
      </c>
      <c r="E106">
        <v>3701801.8018018012</v>
      </c>
      <c r="F106">
        <v>3631081.0810810821</v>
      </c>
      <c r="G106">
        <v>31</v>
      </c>
      <c r="H106">
        <v>38</v>
      </c>
      <c r="I106">
        <v>2</v>
      </c>
      <c r="K106">
        <v>37</v>
      </c>
      <c r="L106">
        <v>56</v>
      </c>
      <c r="M106">
        <v>20071171.17117117</v>
      </c>
      <c r="N106">
        <v>31964414.414414417</v>
      </c>
      <c r="O106">
        <v>87830180.180180177</v>
      </c>
      <c r="P106">
        <v>89631484.684684694</v>
      </c>
      <c r="Q106">
        <v>19293513.513513517</v>
      </c>
      <c r="R106">
        <v>31456079.27927928</v>
      </c>
      <c r="S106">
        <v>6531</v>
      </c>
      <c r="T106">
        <v>5476</v>
      </c>
    </row>
    <row r="107" spans="1:20" x14ac:dyDescent="0.35">
      <c r="A107" s="7" t="s">
        <v>2</v>
      </c>
      <c r="B107" s="12" t="s">
        <v>194</v>
      </c>
      <c r="C107">
        <v>40745324.57866928</v>
      </c>
      <c r="D107">
        <v>23463792.172574889</v>
      </c>
      <c r="E107">
        <v>310810.81081081199</v>
      </c>
      <c r="F107">
        <v>373873.87387387402</v>
      </c>
      <c r="G107">
        <v>4</v>
      </c>
      <c r="K107">
        <v>4</v>
      </c>
      <c r="M107">
        <v>6662162.1621621633</v>
      </c>
      <c r="N107">
        <v>3256756.7567567569</v>
      </c>
      <c r="O107">
        <v>22999702.702702705</v>
      </c>
      <c r="P107">
        <v>14458108.108108109</v>
      </c>
      <c r="Q107">
        <v>6763063.0630630637</v>
      </c>
      <c r="R107">
        <v>3175225.2252252251</v>
      </c>
      <c r="S107">
        <v>1262</v>
      </c>
      <c r="T107">
        <v>1051</v>
      </c>
    </row>
    <row r="108" spans="1:20" x14ac:dyDescent="0.35">
      <c r="A108" s="7" t="s">
        <v>195</v>
      </c>
      <c r="B108" s="12" t="s">
        <v>196</v>
      </c>
      <c r="C108">
        <v>1286524777.8270943</v>
      </c>
      <c r="D108">
        <v>1331878271.8307757</v>
      </c>
      <c r="E108">
        <v>4043918.9189189202</v>
      </c>
      <c r="F108">
        <v>4793693.6936936956</v>
      </c>
      <c r="G108">
        <v>304</v>
      </c>
      <c r="H108">
        <v>136</v>
      </c>
      <c r="I108">
        <v>2</v>
      </c>
      <c r="K108">
        <v>325</v>
      </c>
      <c r="L108">
        <v>188</v>
      </c>
      <c r="M108">
        <v>56353873.873873875</v>
      </c>
      <c r="N108">
        <v>59478378.378378376</v>
      </c>
      <c r="O108">
        <v>249269324.32432431</v>
      </c>
      <c r="P108">
        <v>266175018.01801801</v>
      </c>
      <c r="Q108">
        <v>49921351.351351351</v>
      </c>
      <c r="R108">
        <v>56095045.045045041</v>
      </c>
      <c r="S108">
        <v>18245</v>
      </c>
      <c r="T108">
        <v>18505</v>
      </c>
    </row>
    <row r="109" spans="1:20" x14ac:dyDescent="0.35">
      <c r="A109" s="7" t="s">
        <v>197</v>
      </c>
      <c r="B109" s="12" t="s">
        <v>81</v>
      </c>
      <c r="C109">
        <v>395393192.3047871</v>
      </c>
      <c r="D109">
        <v>384003824.23673165</v>
      </c>
      <c r="E109">
        <v>1952252.2522522539</v>
      </c>
      <c r="F109">
        <v>3368468.4684684682</v>
      </c>
      <c r="G109">
        <v>96</v>
      </c>
      <c r="H109">
        <v>59</v>
      </c>
      <c r="K109">
        <v>107</v>
      </c>
      <c r="L109">
        <v>78</v>
      </c>
      <c r="M109">
        <v>47534234.234234229</v>
      </c>
      <c r="N109">
        <v>61072522.522522517</v>
      </c>
      <c r="O109">
        <v>107689135.13513513</v>
      </c>
      <c r="P109">
        <v>106014351.35135135</v>
      </c>
      <c r="Q109">
        <v>49583063.063063063</v>
      </c>
      <c r="R109">
        <v>60668468.468468472</v>
      </c>
      <c r="S109">
        <v>7046</v>
      </c>
      <c r="T109">
        <v>5770</v>
      </c>
    </row>
    <row r="110" spans="1:20" x14ac:dyDescent="0.35">
      <c r="A110" s="7" t="s">
        <v>198</v>
      </c>
      <c r="B110" s="12" t="s">
        <v>109</v>
      </c>
      <c r="C110">
        <v>315485262.95675385</v>
      </c>
      <c r="D110">
        <v>321484126.91253096</v>
      </c>
      <c r="E110">
        <v>2811711.7117117108</v>
      </c>
      <c r="F110">
        <v>4492342.3423423478</v>
      </c>
      <c r="G110">
        <v>112</v>
      </c>
      <c r="H110">
        <v>77</v>
      </c>
      <c r="I110">
        <v>1</v>
      </c>
      <c r="K110">
        <v>127</v>
      </c>
      <c r="L110">
        <v>107</v>
      </c>
      <c r="M110">
        <v>17596396.396396391</v>
      </c>
      <c r="N110">
        <v>25679729.729729731</v>
      </c>
      <c r="O110">
        <v>96833423.423423424</v>
      </c>
      <c r="P110">
        <v>98513585.585585579</v>
      </c>
      <c r="Q110">
        <v>17060540.540540539</v>
      </c>
      <c r="R110">
        <v>23499909.909909908</v>
      </c>
      <c r="S110">
        <v>7816</v>
      </c>
      <c r="T110">
        <v>7414</v>
      </c>
    </row>
    <row r="111" spans="1:20" x14ac:dyDescent="0.35">
      <c r="A111" s="7" t="s">
        <v>199</v>
      </c>
      <c r="B111" s="12" t="s">
        <v>93</v>
      </c>
      <c r="C111">
        <v>169774315.42958441</v>
      </c>
      <c r="D111">
        <v>175514554.04606864</v>
      </c>
      <c r="E111">
        <v>66954054.054054059</v>
      </c>
      <c r="F111">
        <v>15637837.837837838</v>
      </c>
      <c r="G111">
        <v>157</v>
      </c>
      <c r="H111">
        <v>30</v>
      </c>
      <c r="K111">
        <v>194</v>
      </c>
      <c r="L111">
        <v>33</v>
      </c>
      <c r="M111">
        <v>51372972.972972974</v>
      </c>
      <c r="N111">
        <v>38424774.774774775</v>
      </c>
      <c r="O111">
        <v>46621432.432432435</v>
      </c>
      <c r="P111">
        <v>45764459.459459454</v>
      </c>
      <c r="Q111">
        <v>49551891.891891897</v>
      </c>
      <c r="R111">
        <v>38397387.387387387</v>
      </c>
      <c r="S111">
        <v>2862</v>
      </c>
      <c r="T111">
        <v>6411</v>
      </c>
    </row>
    <row r="112" spans="1:20" x14ac:dyDescent="0.35">
      <c r="A112" s="7" t="s">
        <v>200</v>
      </c>
      <c r="B112" s="12" t="s">
        <v>124</v>
      </c>
      <c r="C112">
        <v>157983558.10677943</v>
      </c>
      <c r="D112">
        <v>130445673.84116091</v>
      </c>
      <c r="E112">
        <v>557657.65765765705</v>
      </c>
      <c r="F112">
        <v>1637837.8378378381</v>
      </c>
      <c r="G112">
        <v>51</v>
      </c>
      <c r="H112">
        <v>22</v>
      </c>
      <c r="K112">
        <v>55</v>
      </c>
      <c r="L112">
        <v>24</v>
      </c>
      <c r="M112">
        <v>4332072.0720720729</v>
      </c>
      <c r="N112">
        <v>9202522.5225225221</v>
      </c>
      <c r="O112">
        <v>29693378.378378376</v>
      </c>
      <c r="P112">
        <v>30430027.02702703</v>
      </c>
      <c r="Q112">
        <v>6317477.4774774779</v>
      </c>
      <c r="R112">
        <v>7228558.5585585581</v>
      </c>
      <c r="S112">
        <v>2550</v>
      </c>
      <c r="T112">
        <v>1898</v>
      </c>
    </row>
    <row r="113" spans="1:20" x14ac:dyDescent="0.35">
      <c r="A113" s="7" t="s">
        <v>201</v>
      </c>
      <c r="B113" s="12" t="s">
        <v>61</v>
      </c>
      <c r="C113">
        <v>115179399.11688311</v>
      </c>
      <c r="D113">
        <v>117988909.16508733</v>
      </c>
      <c r="E113">
        <v>1796396.3963963981</v>
      </c>
      <c r="F113">
        <v>1404054.0540540579</v>
      </c>
      <c r="G113">
        <v>26</v>
      </c>
      <c r="H113">
        <v>7</v>
      </c>
      <c r="I113">
        <v>1</v>
      </c>
      <c r="K113">
        <v>31</v>
      </c>
      <c r="L113">
        <v>18</v>
      </c>
      <c r="M113">
        <v>13643243.243243244</v>
      </c>
      <c r="N113">
        <v>16935585.585585587</v>
      </c>
      <c r="O113">
        <v>21338572.072072074</v>
      </c>
      <c r="P113">
        <v>21915648.648648649</v>
      </c>
      <c r="Q113">
        <v>8323243.2432432426</v>
      </c>
      <c r="R113">
        <v>7888198.1981982002</v>
      </c>
      <c r="S113">
        <v>3930</v>
      </c>
      <c r="T113">
        <v>3666</v>
      </c>
    </row>
    <row r="114" spans="1:20" x14ac:dyDescent="0.35">
      <c r="A114" s="7" t="s">
        <v>202</v>
      </c>
      <c r="B114" s="12" t="s">
        <v>61</v>
      </c>
      <c r="C114">
        <v>38461855.196225673</v>
      </c>
      <c r="D114">
        <v>38228341.509614378</v>
      </c>
      <c r="E114">
        <v>226126.126126127</v>
      </c>
      <c r="F114">
        <v>517117.11711711797</v>
      </c>
      <c r="G114">
        <v>15</v>
      </c>
      <c r="H114">
        <v>7</v>
      </c>
      <c r="K114">
        <v>16</v>
      </c>
      <c r="L114">
        <v>9</v>
      </c>
      <c r="M114">
        <v>2298198.1981981979</v>
      </c>
      <c r="N114">
        <v>2724324.3243243238</v>
      </c>
      <c r="O114">
        <v>6902819.8198198192</v>
      </c>
      <c r="P114">
        <v>8116315.3153153146</v>
      </c>
      <c r="Q114">
        <v>1027747.747747747</v>
      </c>
      <c r="R114">
        <v>1489549.5495495501</v>
      </c>
      <c r="S114">
        <v>1260</v>
      </c>
      <c r="T114">
        <v>1195</v>
      </c>
    </row>
    <row r="115" spans="1:20" x14ac:dyDescent="0.35">
      <c r="A115" s="7" t="s">
        <v>203</v>
      </c>
      <c r="B115" s="12" t="s">
        <v>122</v>
      </c>
      <c r="C115">
        <v>73379947.243453667</v>
      </c>
      <c r="D115">
        <v>66652091.135761932</v>
      </c>
      <c r="E115">
        <v>585585.58558558603</v>
      </c>
      <c r="F115">
        <v>828828.82882883097</v>
      </c>
      <c r="G115">
        <v>41</v>
      </c>
      <c r="H115">
        <v>27</v>
      </c>
      <c r="K115">
        <v>45</v>
      </c>
      <c r="L115">
        <v>29</v>
      </c>
      <c r="M115">
        <v>1941441.4414414419</v>
      </c>
      <c r="N115">
        <v>1234234.2342342359</v>
      </c>
      <c r="O115">
        <v>7134351.3513513505</v>
      </c>
      <c r="P115">
        <v>6633864.8648648653</v>
      </c>
      <c r="Q115">
        <v>1427477.4774774781</v>
      </c>
      <c r="R115">
        <v>472972.97297297302</v>
      </c>
      <c r="S115">
        <v>1479</v>
      </c>
      <c r="T115">
        <v>1384</v>
      </c>
    </row>
    <row r="116" spans="1:20" x14ac:dyDescent="0.35">
      <c r="A116" s="7" t="s">
        <v>204</v>
      </c>
      <c r="B116" s="12" t="s">
        <v>55</v>
      </c>
      <c r="C116">
        <v>117739083.90589045</v>
      </c>
      <c r="D116">
        <v>123705766.11546487</v>
      </c>
      <c r="E116">
        <v>1115315.315315316</v>
      </c>
      <c r="F116">
        <v>1558108.1081081091</v>
      </c>
      <c r="G116">
        <v>27</v>
      </c>
      <c r="H116">
        <v>19</v>
      </c>
      <c r="K116">
        <v>28</v>
      </c>
      <c r="L116">
        <v>19</v>
      </c>
      <c r="M116">
        <v>6236936.9369369354</v>
      </c>
      <c r="N116">
        <v>7661711.7117117122</v>
      </c>
      <c r="O116">
        <v>30556603.603603605</v>
      </c>
      <c r="P116">
        <v>32365630.630630631</v>
      </c>
      <c r="Q116">
        <v>6651981.9819819815</v>
      </c>
      <c r="R116">
        <v>7972432.4324324327</v>
      </c>
      <c r="S116">
        <v>4136</v>
      </c>
      <c r="T116">
        <v>3858</v>
      </c>
    </row>
    <row r="117" spans="1:20" x14ac:dyDescent="0.35">
      <c r="A117" s="7" t="s">
        <v>205</v>
      </c>
      <c r="B117" s="12" t="s">
        <v>137</v>
      </c>
      <c r="C117">
        <v>423109759.8402524</v>
      </c>
      <c r="D117">
        <v>407776530.07222217</v>
      </c>
      <c r="E117">
        <v>967567.56756756897</v>
      </c>
      <c r="F117">
        <v>1107207.207207215</v>
      </c>
      <c r="G117">
        <v>60</v>
      </c>
      <c r="H117">
        <v>65</v>
      </c>
      <c r="K117">
        <v>67</v>
      </c>
      <c r="L117">
        <v>69</v>
      </c>
      <c r="M117">
        <v>35985585.585585587</v>
      </c>
      <c r="N117">
        <v>37607207.20720721</v>
      </c>
      <c r="O117">
        <v>73936680.180180177</v>
      </c>
      <c r="P117">
        <v>78254099.0990991</v>
      </c>
      <c r="Q117">
        <v>29728558.558558557</v>
      </c>
      <c r="R117">
        <v>32675585.585585587</v>
      </c>
      <c r="S117">
        <v>5954</v>
      </c>
      <c r="T117">
        <v>5574</v>
      </c>
    </row>
    <row r="118" spans="1:20" x14ac:dyDescent="0.35">
      <c r="A118" s="7" t="s">
        <v>206</v>
      </c>
      <c r="B118" s="12" t="s">
        <v>137</v>
      </c>
      <c r="C118">
        <v>210252848.6811223</v>
      </c>
      <c r="D118">
        <v>202538405.41976228</v>
      </c>
      <c r="E118">
        <v>658558.55855855905</v>
      </c>
      <c r="F118">
        <v>68468.468468469</v>
      </c>
      <c r="G118">
        <v>39</v>
      </c>
      <c r="H118">
        <v>30</v>
      </c>
      <c r="K118">
        <v>44</v>
      </c>
      <c r="L118">
        <v>31</v>
      </c>
      <c r="M118">
        <v>6856756.7567567565</v>
      </c>
      <c r="N118">
        <v>7329729.7297297288</v>
      </c>
      <c r="O118">
        <v>40920151.351351351</v>
      </c>
      <c r="P118">
        <v>46102450.45045045</v>
      </c>
      <c r="Q118">
        <v>3893513.5135135138</v>
      </c>
      <c r="R118">
        <v>4037207.2072072071</v>
      </c>
      <c r="S118">
        <v>3098</v>
      </c>
      <c r="T118">
        <v>3193</v>
      </c>
    </row>
    <row r="119" spans="1:20" x14ac:dyDescent="0.35">
      <c r="A119" s="7" t="s">
        <v>207</v>
      </c>
      <c r="B119" s="12" t="s">
        <v>170</v>
      </c>
      <c r="C119">
        <v>494391738.79845697</v>
      </c>
      <c r="D119">
        <v>514697852.42377323</v>
      </c>
      <c r="E119">
        <v>1534234.2342342341</v>
      </c>
      <c r="F119">
        <v>26545230.630630631</v>
      </c>
      <c r="G119">
        <v>20</v>
      </c>
      <c r="H119">
        <v>24</v>
      </c>
      <c r="K119">
        <v>21</v>
      </c>
      <c r="L119">
        <v>27</v>
      </c>
      <c r="M119">
        <v>2470452094.594595</v>
      </c>
      <c r="N119">
        <v>925163175.67567563</v>
      </c>
      <c r="O119">
        <v>233470990.99099097</v>
      </c>
      <c r="P119">
        <v>251068972.97297296</v>
      </c>
      <c r="Q119">
        <v>739223711.71171176</v>
      </c>
      <c r="R119">
        <v>262258162.16216218</v>
      </c>
      <c r="S119">
        <v>7900</v>
      </c>
      <c r="T119">
        <v>7867</v>
      </c>
    </row>
    <row r="120" spans="1:20" x14ac:dyDescent="0.35">
      <c r="A120" s="7" t="s">
        <v>208</v>
      </c>
      <c r="B120" s="12" t="s">
        <v>162</v>
      </c>
      <c r="C120">
        <v>549389964.53557849</v>
      </c>
      <c r="D120">
        <v>563017538.07883203</v>
      </c>
      <c r="E120">
        <v>3995945.945945947</v>
      </c>
      <c r="F120">
        <v>3872972.9729729788</v>
      </c>
      <c r="G120">
        <v>343</v>
      </c>
      <c r="H120">
        <v>140</v>
      </c>
      <c r="K120">
        <v>489</v>
      </c>
      <c r="L120">
        <v>391</v>
      </c>
      <c r="M120">
        <v>68489909.909909919</v>
      </c>
      <c r="N120">
        <v>76723603.603603601</v>
      </c>
      <c r="O120">
        <v>159247400.9009009</v>
      </c>
      <c r="P120">
        <v>183367099.0990991</v>
      </c>
      <c r="Q120">
        <v>69614000</v>
      </c>
      <c r="R120">
        <v>74312425.22522521</v>
      </c>
      <c r="S120">
        <v>23047</v>
      </c>
      <c r="T120">
        <v>12777</v>
      </c>
    </row>
    <row r="121" spans="1:20" x14ac:dyDescent="0.35">
      <c r="A121" s="7" t="s">
        <v>209</v>
      </c>
      <c r="B121" s="12" t="s">
        <v>77</v>
      </c>
      <c r="C121">
        <v>16626336.57423614</v>
      </c>
      <c r="D121">
        <v>18045268.06972843</v>
      </c>
      <c r="H121">
        <v>3</v>
      </c>
      <c r="L121">
        <v>3</v>
      </c>
      <c r="O121">
        <v>1123108.1081081079</v>
      </c>
      <c r="P121">
        <v>1384459.4594594589</v>
      </c>
      <c r="S121">
        <v>521</v>
      </c>
      <c r="T121">
        <v>640</v>
      </c>
    </row>
    <row r="122" spans="1:20" x14ac:dyDescent="0.35">
      <c r="A122" s="7" t="s">
        <v>210</v>
      </c>
      <c r="B122" s="12" t="s">
        <v>77</v>
      </c>
      <c r="C122">
        <v>246440989.12854117</v>
      </c>
      <c r="D122">
        <v>241656654.98627415</v>
      </c>
      <c r="E122">
        <v>149089589.1891892</v>
      </c>
      <c r="F122">
        <v>215455060.36036035</v>
      </c>
      <c r="G122">
        <v>131</v>
      </c>
      <c r="H122">
        <v>146</v>
      </c>
      <c r="I122">
        <v>4</v>
      </c>
      <c r="K122">
        <v>247</v>
      </c>
      <c r="L122">
        <v>206</v>
      </c>
      <c r="M122">
        <v>26771351.351351347</v>
      </c>
      <c r="N122">
        <v>29281900</v>
      </c>
      <c r="O122">
        <v>38149738.738738738</v>
      </c>
      <c r="P122">
        <v>41292891.891891897</v>
      </c>
      <c r="Q122">
        <v>25161351.351351351</v>
      </c>
      <c r="R122">
        <v>26970630.630630631</v>
      </c>
      <c r="S122">
        <v>5003</v>
      </c>
      <c r="T122">
        <v>4754</v>
      </c>
    </row>
    <row r="123" spans="1:20" x14ac:dyDescent="0.35">
      <c r="A123" s="7" t="s">
        <v>211</v>
      </c>
      <c r="B123" s="12" t="s">
        <v>77</v>
      </c>
      <c r="C123">
        <v>307461624.87043732</v>
      </c>
      <c r="D123">
        <v>335269325.8137666</v>
      </c>
      <c r="E123">
        <v>4404504.5045045102</v>
      </c>
      <c r="F123">
        <v>8216216.2162162215</v>
      </c>
      <c r="G123">
        <v>167</v>
      </c>
      <c r="H123">
        <v>346</v>
      </c>
      <c r="I123">
        <v>1</v>
      </c>
      <c r="K123">
        <v>242</v>
      </c>
      <c r="L123">
        <v>386</v>
      </c>
      <c r="M123">
        <v>99465675.675675675</v>
      </c>
      <c r="N123">
        <v>129730900.90090092</v>
      </c>
      <c r="O123">
        <v>93825412.612612605</v>
      </c>
      <c r="P123">
        <v>115553396.3963964</v>
      </c>
      <c r="Q123">
        <v>74753196.396396399</v>
      </c>
      <c r="R123">
        <v>104677477.47747748</v>
      </c>
      <c r="S123">
        <v>7058</v>
      </c>
      <c r="T123">
        <v>7120</v>
      </c>
    </row>
    <row r="124" spans="1:20" x14ac:dyDescent="0.35">
      <c r="A124" s="7" t="s">
        <v>212</v>
      </c>
      <c r="B124" s="12" t="s">
        <v>77</v>
      </c>
      <c r="C124">
        <v>225149771.63978568</v>
      </c>
      <c r="D124">
        <v>217629034.70493475</v>
      </c>
      <c r="E124">
        <v>3366441.441441447</v>
      </c>
      <c r="F124">
        <v>3177477.4774774811</v>
      </c>
      <c r="G124">
        <v>95</v>
      </c>
      <c r="H124">
        <v>147</v>
      </c>
      <c r="K124">
        <v>111</v>
      </c>
      <c r="L124">
        <v>156</v>
      </c>
      <c r="M124">
        <v>18230990.990990993</v>
      </c>
      <c r="N124">
        <v>30587395.495495494</v>
      </c>
      <c r="O124">
        <v>34386993.243243247</v>
      </c>
      <c r="P124">
        <v>36089945.945945941</v>
      </c>
      <c r="Q124">
        <v>17744054.054054052</v>
      </c>
      <c r="R124">
        <v>27773693.693693697</v>
      </c>
      <c r="S124">
        <v>4256</v>
      </c>
      <c r="T124">
        <v>4177</v>
      </c>
    </row>
    <row r="125" spans="1:20" x14ac:dyDescent="0.35">
      <c r="A125" s="7" t="s">
        <v>213</v>
      </c>
      <c r="B125" s="12" t="s">
        <v>77</v>
      </c>
      <c r="C125">
        <v>81413129.026421249</v>
      </c>
      <c r="D125">
        <v>93188783.454972759</v>
      </c>
      <c r="E125">
        <v>65765.765765764998</v>
      </c>
      <c r="F125">
        <v>120720.720720721</v>
      </c>
      <c r="G125">
        <v>16</v>
      </c>
      <c r="H125">
        <v>11</v>
      </c>
      <c r="K125">
        <v>17</v>
      </c>
      <c r="L125">
        <v>12</v>
      </c>
      <c r="M125">
        <v>1540720.7207207191</v>
      </c>
      <c r="N125">
        <v>4512612.6126126116</v>
      </c>
      <c r="O125">
        <v>12870504.504504504</v>
      </c>
      <c r="P125">
        <v>14924675.675675675</v>
      </c>
      <c r="Q125">
        <v>1986396.396396396</v>
      </c>
      <c r="R125">
        <v>3841171.171171173</v>
      </c>
      <c r="S125">
        <v>1885</v>
      </c>
      <c r="T125">
        <v>2164</v>
      </c>
    </row>
    <row r="126" spans="1:20" x14ac:dyDescent="0.35">
      <c r="A126" s="7" t="s">
        <v>214</v>
      </c>
      <c r="B126" s="12" t="s">
        <v>215</v>
      </c>
      <c r="C126">
        <v>115779628.15521365</v>
      </c>
      <c r="D126">
        <v>118330264.4948065</v>
      </c>
      <c r="E126">
        <v>3287387.387387387</v>
      </c>
      <c r="F126">
        <v>120307657.65765767</v>
      </c>
      <c r="G126">
        <v>35</v>
      </c>
      <c r="H126">
        <v>17</v>
      </c>
      <c r="I126">
        <v>1</v>
      </c>
      <c r="K126">
        <v>39</v>
      </c>
      <c r="L126">
        <v>17</v>
      </c>
      <c r="M126">
        <v>15234702.702702705</v>
      </c>
      <c r="N126">
        <v>27069819.819819819</v>
      </c>
      <c r="O126">
        <v>52595531.531531535</v>
      </c>
      <c r="P126">
        <v>58297639.639639638</v>
      </c>
      <c r="Q126">
        <v>11783603.603603603</v>
      </c>
      <c r="R126">
        <v>26077477.477477476</v>
      </c>
      <c r="S126">
        <v>2455</v>
      </c>
      <c r="T126">
        <v>2239</v>
      </c>
    </row>
    <row r="127" spans="1:20" x14ac:dyDescent="0.35">
      <c r="A127" s="7" t="s">
        <v>216</v>
      </c>
      <c r="B127" s="12" t="s">
        <v>168</v>
      </c>
      <c r="C127">
        <v>126460257.72286235</v>
      </c>
      <c r="D127">
        <v>121879427.5783577</v>
      </c>
      <c r="E127">
        <v>1833333.333333333</v>
      </c>
      <c r="F127">
        <v>1351351.3513513501</v>
      </c>
      <c r="G127">
        <v>7</v>
      </c>
      <c r="H127">
        <v>1</v>
      </c>
      <c r="K127">
        <v>7</v>
      </c>
      <c r="L127">
        <v>1</v>
      </c>
      <c r="M127">
        <v>2462162.1621621619</v>
      </c>
      <c r="N127">
        <v>4243243.2432432426</v>
      </c>
      <c r="O127">
        <v>21969549.54954955</v>
      </c>
      <c r="P127">
        <v>33339747.747747749</v>
      </c>
      <c r="Q127">
        <v>240090.09009009099</v>
      </c>
      <c r="R127">
        <v>2796846.8468468459</v>
      </c>
      <c r="S127">
        <v>1882</v>
      </c>
      <c r="T127">
        <v>1884</v>
      </c>
    </row>
    <row r="128" spans="1:20" x14ac:dyDescent="0.35">
      <c r="A128" s="7" t="s">
        <v>217</v>
      </c>
      <c r="B128" s="12" t="s">
        <v>86</v>
      </c>
      <c r="C128">
        <v>29424359.520124432</v>
      </c>
      <c r="D128">
        <v>32354842.493524052</v>
      </c>
      <c r="E128">
        <v>729729.72972973005</v>
      </c>
      <c r="F128">
        <v>2922522.5225225231</v>
      </c>
      <c r="G128">
        <v>10</v>
      </c>
      <c r="H128">
        <v>4</v>
      </c>
      <c r="K128">
        <v>12</v>
      </c>
      <c r="L128">
        <v>4</v>
      </c>
      <c r="M128">
        <v>51184234.234234229</v>
      </c>
      <c r="N128">
        <v>43596396.396396399</v>
      </c>
      <c r="O128">
        <v>9218090.0900900904</v>
      </c>
      <c r="P128">
        <v>10995745.945945946</v>
      </c>
      <c r="Q128">
        <v>43588378.378378376</v>
      </c>
      <c r="R128">
        <v>37386396.396396399</v>
      </c>
      <c r="S128">
        <v>658</v>
      </c>
      <c r="T128">
        <v>572</v>
      </c>
    </row>
    <row r="129" spans="1:20" x14ac:dyDescent="0.35">
      <c r="A129" s="7" t="s">
        <v>218</v>
      </c>
      <c r="B129" s="12" t="s">
        <v>86</v>
      </c>
      <c r="C129">
        <v>113091937.70980342</v>
      </c>
      <c r="D129">
        <v>116707755.20698678</v>
      </c>
      <c r="E129">
        <v>457657.65765765798</v>
      </c>
      <c r="F129">
        <v>734234.23423423397</v>
      </c>
      <c r="G129">
        <v>39</v>
      </c>
      <c r="H129">
        <v>17</v>
      </c>
      <c r="K129">
        <v>42</v>
      </c>
      <c r="L129">
        <v>21</v>
      </c>
      <c r="M129">
        <v>27785315.315315317</v>
      </c>
      <c r="N129">
        <v>29966224.324324325</v>
      </c>
      <c r="O129">
        <v>21859900.9009009</v>
      </c>
      <c r="P129">
        <v>24583567.567567568</v>
      </c>
      <c r="Q129">
        <v>27409819.819819819</v>
      </c>
      <c r="R129">
        <v>22082252.252252255</v>
      </c>
      <c r="S129">
        <v>2498</v>
      </c>
      <c r="T129">
        <v>2414</v>
      </c>
    </row>
    <row r="130" spans="1:20" x14ac:dyDescent="0.35">
      <c r="A130" s="7" t="s">
        <v>219</v>
      </c>
      <c r="B130" s="12" t="s">
        <v>148</v>
      </c>
      <c r="C130">
        <v>110290936.16947488</v>
      </c>
      <c r="D130">
        <v>102537283.83145192</v>
      </c>
      <c r="E130">
        <v>7689189.1891891882</v>
      </c>
      <c r="F130">
        <v>9067567.5675675683</v>
      </c>
      <c r="G130">
        <v>70</v>
      </c>
      <c r="H130">
        <v>20</v>
      </c>
      <c r="K130">
        <v>79</v>
      </c>
      <c r="L130">
        <v>28</v>
      </c>
      <c r="M130">
        <v>61528854.954954959</v>
      </c>
      <c r="N130">
        <v>97910957.657657668</v>
      </c>
      <c r="O130">
        <v>35088018.018018015</v>
      </c>
      <c r="P130">
        <v>30964090.090090092</v>
      </c>
      <c r="Q130">
        <v>60667837.837837838</v>
      </c>
      <c r="R130">
        <v>96122612.612612605</v>
      </c>
      <c r="S130">
        <v>2954</v>
      </c>
      <c r="T130">
        <v>2813</v>
      </c>
    </row>
    <row r="131" spans="1:20" x14ac:dyDescent="0.35">
      <c r="A131" s="7" t="s">
        <v>220</v>
      </c>
      <c r="B131" s="12" t="s">
        <v>221</v>
      </c>
      <c r="C131">
        <v>218309715.99979869</v>
      </c>
      <c r="D131">
        <v>211605618.14254966</v>
      </c>
      <c r="E131">
        <v>452092536.93693697</v>
      </c>
      <c r="F131">
        <v>304624190.990991</v>
      </c>
      <c r="G131">
        <v>69</v>
      </c>
      <c r="H131">
        <v>92</v>
      </c>
      <c r="K131">
        <v>77</v>
      </c>
      <c r="L131">
        <v>140</v>
      </c>
      <c r="M131">
        <v>196973699.0990991</v>
      </c>
      <c r="N131">
        <v>403850079.27927929</v>
      </c>
      <c r="O131">
        <v>55957966.216216214</v>
      </c>
      <c r="P131">
        <v>60284387.387387395</v>
      </c>
      <c r="Q131">
        <v>306351981.98198199</v>
      </c>
      <c r="R131">
        <v>341894954.95495492</v>
      </c>
      <c r="S131">
        <v>6567</v>
      </c>
      <c r="T131">
        <v>6402</v>
      </c>
    </row>
    <row r="132" spans="1:20" x14ac:dyDescent="0.35">
      <c r="A132" s="7" t="s">
        <v>222</v>
      </c>
      <c r="B132" s="12" t="s">
        <v>53</v>
      </c>
      <c r="C132">
        <v>512635241.35085529</v>
      </c>
      <c r="D132">
        <v>541297381.62462819</v>
      </c>
      <c r="E132">
        <v>5004504.5045045055</v>
      </c>
      <c r="F132">
        <v>9158108.1081081145</v>
      </c>
      <c r="G132">
        <v>108</v>
      </c>
      <c r="H132">
        <v>114</v>
      </c>
      <c r="K132">
        <v>137</v>
      </c>
      <c r="L132">
        <v>174</v>
      </c>
      <c r="M132">
        <v>40112612.612612613</v>
      </c>
      <c r="N132">
        <v>63939459.459459461</v>
      </c>
      <c r="O132">
        <v>165499144.14414412</v>
      </c>
      <c r="P132">
        <v>175404171.17117116</v>
      </c>
      <c r="Q132">
        <v>50720990.990990989</v>
      </c>
      <c r="R132">
        <v>54994324.324324317</v>
      </c>
      <c r="S132">
        <v>12435</v>
      </c>
      <c r="T132">
        <v>9910</v>
      </c>
    </row>
    <row r="133" spans="1:20" x14ac:dyDescent="0.35">
      <c r="A133" s="7" t="s">
        <v>223</v>
      </c>
      <c r="B133" s="12" t="s">
        <v>77</v>
      </c>
      <c r="C133">
        <v>398376047.51728421</v>
      </c>
      <c r="D133">
        <v>409069055.68038696</v>
      </c>
      <c r="E133">
        <v>1269369.3693693781</v>
      </c>
      <c r="F133">
        <v>1666666.6666666749</v>
      </c>
      <c r="G133">
        <v>110</v>
      </c>
      <c r="H133">
        <v>102</v>
      </c>
      <c r="K133">
        <v>119</v>
      </c>
      <c r="L133">
        <v>108</v>
      </c>
      <c r="M133">
        <v>27988108.108108107</v>
      </c>
      <c r="N133">
        <v>38406306.30630631</v>
      </c>
      <c r="O133">
        <v>76832579.279279277</v>
      </c>
      <c r="P133">
        <v>86775558.558558553</v>
      </c>
      <c r="Q133">
        <v>22350720.72072072</v>
      </c>
      <c r="R133">
        <v>32614234.234234232</v>
      </c>
      <c r="S133">
        <v>7083</v>
      </c>
      <c r="T133">
        <v>7263</v>
      </c>
    </row>
    <row r="134" spans="1:20" x14ac:dyDescent="0.35">
      <c r="A134" s="7" t="s">
        <v>224</v>
      </c>
      <c r="B134" s="12" t="s">
        <v>225</v>
      </c>
      <c r="C134">
        <v>34915696.813409753</v>
      </c>
      <c r="D134">
        <v>34353555.739385754</v>
      </c>
      <c r="E134">
        <v>5405.4054054050002</v>
      </c>
      <c r="F134">
        <v>13513.513513514001</v>
      </c>
      <c r="G134">
        <v>3</v>
      </c>
      <c r="H134">
        <v>2</v>
      </c>
      <c r="K134">
        <v>3</v>
      </c>
      <c r="L134">
        <v>2</v>
      </c>
      <c r="M134">
        <v>5405.4054054050002</v>
      </c>
      <c r="N134">
        <v>413513.51351351402</v>
      </c>
      <c r="O134">
        <v>8767819.8198198192</v>
      </c>
      <c r="P134">
        <v>8441828.8288288284</v>
      </c>
      <c r="Q134">
        <v>837567.56756756804</v>
      </c>
      <c r="R134">
        <v>954234.23423423397</v>
      </c>
      <c r="S134">
        <v>799</v>
      </c>
      <c r="T134">
        <v>779</v>
      </c>
    </row>
    <row r="135" spans="1:20" x14ac:dyDescent="0.35">
      <c r="A135" s="7" t="s">
        <v>226</v>
      </c>
      <c r="B135" s="12" t="s">
        <v>144</v>
      </c>
      <c r="C135">
        <v>322520581.45846015</v>
      </c>
      <c r="D135">
        <v>336774659.86215502</v>
      </c>
      <c r="E135">
        <v>108556227.92792794</v>
      </c>
      <c r="F135">
        <v>140773506.30630633</v>
      </c>
      <c r="G135">
        <v>98</v>
      </c>
      <c r="H135">
        <v>28</v>
      </c>
      <c r="K135">
        <v>108</v>
      </c>
      <c r="L135">
        <v>38</v>
      </c>
      <c r="M135">
        <v>27623423.423423424</v>
      </c>
      <c r="N135">
        <v>47481981.981981985</v>
      </c>
      <c r="O135">
        <v>40734996.846846849</v>
      </c>
      <c r="P135">
        <v>49478378.378378376</v>
      </c>
      <c r="Q135">
        <v>12664774.774774777</v>
      </c>
      <c r="R135">
        <v>15112072.072072072</v>
      </c>
      <c r="S135">
        <v>6128</v>
      </c>
      <c r="T135">
        <v>6509</v>
      </c>
    </row>
    <row r="136" spans="1:20" x14ac:dyDescent="0.35">
      <c r="A136" s="7" t="s">
        <v>227</v>
      </c>
      <c r="B136" s="12" t="s">
        <v>225</v>
      </c>
      <c r="C136">
        <v>37829495.498488866</v>
      </c>
      <c r="D136">
        <v>37428764.65852771</v>
      </c>
      <c r="E136">
        <v>121621.62162162201</v>
      </c>
      <c r="F136">
        <v>117117.117117117</v>
      </c>
      <c r="G136">
        <v>13</v>
      </c>
      <c r="H136">
        <v>9</v>
      </c>
      <c r="K136">
        <v>15</v>
      </c>
      <c r="L136">
        <v>9</v>
      </c>
      <c r="M136">
        <v>4954054.0540540544</v>
      </c>
      <c r="N136">
        <v>10424774.774774777</v>
      </c>
      <c r="O136">
        <v>10135977.477477476</v>
      </c>
      <c r="P136">
        <v>8826918.9189189188</v>
      </c>
      <c r="Q136">
        <v>4422882.8828828828</v>
      </c>
      <c r="R136">
        <v>8832432.4324324317</v>
      </c>
      <c r="S136">
        <v>802</v>
      </c>
      <c r="T136">
        <v>770</v>
      </c>
    </row>
    <row r="137" spans="1:20" x14ac:dyDescent="0.35">
      <c r="A137" s="7" t="s">
        <v>228</v>
      </c>
      <c r="B137" s="12" t="s">
        <v>79</v>
      </c>
      <c r="C137">
        <v>305648189.39954537</v>
      </c>
      <c r="D137">
        <v>320960544.8751061</v>
      </c>
      <c r="E137">
        <v>3352252.2522522528</v>
      </c>
      <c r="F137">
        <v>3118018.0180180222</v>
      </c>
      <c r="G137">
        <v>63</v>
      </c>
      <c r="H137">
        <v>31</v>
      </c>
      <c r="K137">
        <v>71</v>
      </c>
      <c r="L137">
        <v>39</v>
      </c>
      <c r="M137">
        <v>33030090.090090089</v>
      </c>
      <c r="N137">
        <v>29829099.0990991</v>
      </c>
      <c r="O137">
        <v>123197153.15315315</v>
      </c>
      <c r="P137">
        <v>130868909.9099099</v>
      </c>
      <c r="Q137">
        <v>25825675.675675675</v>
      </c>
      <c r="R137">
        <v>26712295.495495494</v>
      </c>
      <c r="S137">
        <v>4912</v>
      </c>
      <c r="T137">
        <v>4791</v>
      </c>
    </row>
    <row r="138" spans="1:20" x14ac:dyDescent="0.35">
      <c r="A138" s="7" t="s">
        <v>229</v>
      </c>
      <c r="B138" s="12" t="s">
        <v>137</v>
      </c>
      <c r="C138">
        <v>401469354.99039495</v>
      </c>
      <c r="D138">
        <v>421845700.84834689</v>
      </c>
      <c r="E138">
        <v>2912162.1621621661</v>
      </c>
      <c r="F138">
        <v>2905405.405405411</v>
      </c>
      <c r="G138">
        <v>102</v>
      </c>
      <c r="H138">
        <v>71</v>
      </c>
      <c r="I138">
        <v>1</v>
      </c>
      <c r="K138">
        <v>117</v>
      </c>
      <c r="L138">
        <v>83</v>
      </c>
      <c r="M138">
        <v>45251351.351351351</v>
      </c>
      <c r="N138">
        <v>64947747.747747742</v>
      </c>
      <c r="O138">
        <v>93996063.06306307</v>
      </c>
      <c r="P138">
        <v>102062365.76576576</v>
      </c>
      <c r="Q138">
        <v>37581351.351351343</v>
      </c>
      <c r="R138">
        <v>58196306.306306303</v>
      </c>
      <c r="S138">
        <v>7665</v>
      </c>
      <c r="T138">
        <v>7648</v>
      </c>
    </row>
    <row r="139" spans="1:20" x14ac:dyDescent="0.35">
      <c r="A139" s="7" t="s">
        <v>230</v>
      </c>
      <c r="B139" s="12" t="s">
        <v>79</v>
      </c>
      <c r="C139">
        <v>114698216.81749207</v>
      </c>
      <c r="D139">
        <v>125946112.96391425</v>
      </c>
      <c r="E139">
        <v>4309459.4594594575</v>
      </c>
      <c r="F139">
        <v>5399099.0990990987</v>
      </c>
      <c r="G139">
        <v>45</v>
      </c>
      <c r="H139">
        <v>35</v>
      </c>
      <c r="I139">
        <v>2</v>
      </c>
      <c r="K139">
        <v>49</v>
      </c>
      <c r="L139">
        <v>43</v>
      </c>
      <c r="M139">
        <v>23321621.621621624</v>
      </c>
      <c r="N139">
        <v>28309009.009009007</v>
      </c>
      <c r="O139">
        <v>55214349.54954955</v>
      </c>
      <c r="P139">
        <v>61201646.846846849</v>
      </c>
      <c r="Q139">
        <v>24138511.711711712</v>
      </c>
      <c r="R139">
        <v>25252565.765765764</v>
      </c>
      <c r="S139">
        <v>2528</v>
      </c>
      <c r="T139">
        <v>2668</v>
      </c>
    </row>
    <row r="140" spans="1:20" x14ac:dyDescent="0.35">
      <c r="A140" s="7" t="s">
        <v>231</v>
      </c>
      <c r="B140" s="12" t="s">
        <v>55</v>
      </c>
      <c r="C140">
        <v>332748324.24185425</v>
      </c>
      <c r="D140">
        <v>339914081.02631623</v>
      </c>
      <c r="E140">
        <v>982882.88288288296</v>
      </c>
      <c r="F140">
        <v>1012612.612612613</v>
      </c>
      <c r="G140">
        <v>35</v>
      </c>
      <c r="H140">
        <v>49</v>
      </c>
      <c r="K140">
        <v>37</v>
      </c>
      <c r="L140">
        <v>57</v>
      </c>
      <c r="M140">
        <v>22565765.765765768</v>
      </c>
      <c r="N140">
        <v>20715675.675675675</v>
      </c>
      <c r="O140">
        <v>81585545.945945948</v>
      </c>
      <c r="P140">
        <v>85677324.324324325</v>
      </c>
      <c r="Q140">
        <v>26045675.675675679</v>
      </c>
      <c r="R140">
        <v>13998738.73873874</v>
      </c>
      <c r="S140">
        <v>6999</v>
      </c>
      <c r="T140">
        <v>6775</v>
      </c>
    </row>
    <row r="141" spans="1:20" x14ac:dyDescent="0.35">
      <c r="A141" s="7" t="s">
        <v>232</v>
      </c>
      <c r="B141" s="12" t="s">
        <v>79</v>
      </c>
      <c r="C141">
        <v>128000245.25029971</v>
      </c>
      <c r="D141">
        <v>131097616.26429643</v>
      </c>
      <c r="E141">
        <v>3071171.1711711721</v>
      </c>
      <c r="F141">
        <v>6673423.4234234272</v>
      </c>
      <c r="G141">
        <v>61</v>
      </c>
      <c r="H141">
        <v>46</v>
      </c>
      <c r="I141">
        <v>1</v>
      </c>
      <c r="K141">
        <v>76</v>
      </c>
      <c r="L141">
        <v>60</v>
      </c>
      <c r="M141">
        <v>29158558.558558561</v>
      </c>
      <c r="N141">
        <v>39759009.009009011</v>
      </c>
      <c r="O141">
        <v>61075990.990990989</v>
      </c>
      <c r="P141">
        <v>61865108.108108111</v>
      </c>
      <c r="Q141">
        <v>30125405.405405402</v>
      </c>
      <c r="R141">
        <v>39200810.810810804</v>
      </c>
      <c r="S141">
        <v>4124</v>
      </c>
      <c r="T141">
        <v>4041</v>
      </c>
    </row>
    <row r="142" spans="1:20" x14ac:dyDescent="0.35">
      <c r="A142" s="7" t="s">
        <v>233</v>
      </c>
      <c r="B142" s="12" t="s">
        <v>61</v>
      </c>
      <c r="C142">
        <v>115610158.62936907</v>
      </c>
      <c r="D142">
        <v>115278596.73711167</v>
      </c>
      <c r="G142">
        <v>39</v>
      </c>
      <c r="H142">
        <v>2</v>
      </c>
      <c r="K142">
        <v>43</v>
      </c>
      <c r="L142">
        <v>4</v>
      </c>
      <c r="O142">
        <v>48401306.306306303</v>
      </c>
      <c r="P142">
        <v>48681018.018018015</v>
      </c>
      <c r="S142">
        <v>1968</v>
      </c>
      <c r="T142">
        <v>1567</v>
      </c>
    </row>
    <row r="143" spans="1:20" x14ac:dyDescent="0.35">
      <c r="A143" s="7" t="s">
        <v>234</v>
      </c>
      <c r="B143" s="12" t="s">
        <v>55</v>
      </c>
      <c r="C143">
        <v>56030715.595422149</v>
      </c>
      <c r="D143">
        <v>54869010.86198575</v>
      </c>
      <c r="E143">
        <v>98198.198198198996</v>
      </c>
      <c r="F143">
        <v>1844144.1441441439</v>
      </c>
      <c r="G143">
        <v>41</v>
      </c>
      <c r="H143">
        <v>6</v>
      </c>
      <c r="K143">
        <v>61</v>
      </c>
      <c r="L143">
        <v>7</v>
      </c>
      <c r="M143">
        <v>2336306.3063063058</v>
      </c>
      <c r="N143">
        <v>6129189.18918919</v>
      </c>
      <c r="O143">
        <v>12143774.774774777</v>
      </c>
      <c r="P143">
        <v>13969378.37837838</v>
      </c>
      <c r="Q143">
        <v>2544684.684684684</v>
      </c>
      <c r="R143">
        <v>4963513.5135135129</v>
      </c>
      <c r="S143">
        <v>1878</v>
      </c>
      <c r="T143">
        <v>1088</v>
      </c>
    </row>
    <row r="144" spans="1:20" x14ac:dyDescent="0.35">
      <c r="A144" s="7" t="s">
        <v>235</v>
      </c>
      <c r="B144" s="12" t="s">
        <v>168</v>
      </c>
      <c r="C144">
        <v>258287939.26890844</v>
      </c>
      <c r="D144">
        <v>247972672.78702208</v>
      </c>
      <c r="E144">
        <v>391891.89189189201</v>
      </c>
      <c r="F144">
        <v>2053153.153153151</v>
      </c>
      <c r="G144">
        <v>15</v>
      </c>
      <c r="H144">
        <v>21</v>
      </c>
      <c r="K144">
        <v>18</v>
      </c>
      <c r="L144">
        <v>27</v>
      </c>
      <c r="M144">
        <v>26552600.900900904</v>
      </c>
      <c r="N144">
        <v>41730630.630630635</v>
      </c>
      <c r="O144">
        <v>72177698.198198199</v>
      </c>
      <c r="P144">
        <v>86220297.297297299</v>
      </c>
      <c r="Q144">
        <v>13591351.351351352</v>
      </c>
      <c r="R144">
        <v>22426846.846846849</v>
      </c>
      <c r="S144">
        <v>5130</v>
      </c>
      <c r="T144">
        <v>4855</v>
      </c>
    </row>
    <row r="145" spans="1:20" x14ac:dyDescent="0.35">
      <c r="A145" s="7" t="s">
        <v>236</v>
      </c>
      <c r="B145" s="12" t="s">
        <v>237</v>
      </c>
      <c r="C145">
        <v>186.29900494899999</v>
      </c>
      <c r="D145">
        <v>1099.260215212</v>
      </c>
      <c r="O145">
        <v>4504.5045045050001</v>
      </c>
      <c r="T145">
        <v>42</v>
      </c>
    </row>
    <row r="146" spans="1:20" x14ac:dyDescent="0.35">
      <c r="A146" s="7" t="s">
        <v>238</v>
      </c>
      <c r="B146" s="12" t="s">
        <v>106</v>
      </c>
      <c r="C146">
        <v>151615297.50959611</v>
      </c>
      <c r="D146">
        <v>152194062.56346175</v>
      </c>
      <c r="E146">
        <v>854954.95495495398</v>
      </c>
      <c r="F146">
        <v>490990.99099099298</v>
      </c>
      <c r="G146">
        <v>21</v>
      </c>
      <c r="H146">
        <v>21</v>
      </c>
      <c r="K146">
        <v>22</v>
      </c>
      <c r="L146">
        <v>21</v>
      </c>
      <c r="M146">
        <v>21854414.414414417</v>
      </c>
      <c r="N146">
        <v>22308108.108108107</v>
      </c>
      <c r="O146">
        <v>44446558.558558561</v>
      </c>
      <c r="P146">
        <v>48676207.20720721</v>
      </c>
      <c r="Q146">
        <v>22943603.603603605</v>
      </c>
      <c r="R146">
        <v>19534414.414414417</v>
      </c>
      <c r="S146">
        <v>2067</v>
      </c>
      <c r="T146">
        <v>1881</v>
      </c>
    </row>
    <row r="147" spans="1:20" x14ac:dyDescent="0.35">
      <c r="A147" s="7" t="s">
        <v>3</v>
      </c>
      <c r="B147" s="12" t="s">
        <v>159</v>
      </c>
      <c r="C147">
        <v>311955598.46795988</v>
      </c>
      <c r="D147">
        <v>277325659.96632874</v>
      </c>
      <c r="E147">
        <v>4639639.6396396421</v>
      </c>
      <c r="F147">
        <v>1901351.351351354</v>
      </c>
      <c r="G147">
        <v>49</v>
      </c>
      <c r="H147">
        <v>50</v>
      </c>
      <c r="K147">
        <v>53</v>
      </c>
      <c r="L147">
        <v>55</v>
      </c>
      <c r="M147">
        <v>62177477.477477483</v>
      </c>
      <c r="N147">
        <v>88087387.387387395</v>
      </c>
      <c r="O147">
        <v>86998495.495495483</v>
      </c>
      <c r="P147">
        <v>79519954.954954967</v>
      </c>
      <c r="Q147">
        <v>57432972.972972974</v>
      </c>
      <c r="R147">
        <v>84512612.612612605</v>
      </c>
      <c r="S147">
        <v>3642</v>
      </c>
      <c r="T147">
        <v>3547</v>
      </c>
    </row>
    <row r="148" spans="1:20" x14ac:dyDescent="0.35">
      <c r="A148" s="7" t="s">
        <v>239</v>
      </c>
      <c r="B148" s="12" t="s">
        <v>179</v>
      </c>
      <c r="C148">
        <v>239711976.27505058</v>
      </c>
      <c r="D148">
        <v>255756148.42529833</v>
      </c>
      <c r="E148">
        <v>5705405.4054054059</v>
      </c>
      <c r="F148">
        <v>180001801.8018018</v>
      </c>
      <c r="G148">
        <v>48</v>
      </c>
      <c r="H148">
        <v>49</v>
      </c>
      <c r="K148">
        <v>58</v>
      </c>
      <c r="L148">
        <v>61</v>
      </c>
      <c r="M148">
        <v>38303153.153153151</v>
      </c>
      <c r="N148">
        <v>46959684.684684686</v>
      </c>
      <c r="O148">
        <v>75711675.675675675</v>
      </c>
      <c r="P148">
        <v>83066846.846846849</v>
      </c>
      <c r="Q148">
        <v>28731441.441441443</v>
      </c>
      <c r="R148">
        <v>41502612.612612613</v>
      </c>
      <c r="S148">
        <v>5371</v>
      </c>
      <c r="T148">
        <v>5157</v>
      </c>
    </row>
    <row r="149" spans="1:20" x14ac:dyDescent="0.35">
      <c r="A149" s="7" t="s">
        <v>240</v>
      </c>
      <c r="B149" s="12" t="s">
        <v>55</v>
      </c>
      <c r="C149">
        <v>172317620.20489743</v>
      </c>
      <c r="D149">
        <v>184029494.99920303</v>
      </c>
      <c r="E149">
        <v>3860360.3603603612</v>
      </c>
      <c r="F149">
        <v>1823423.4234234239</v>
      </c>
      <c r="G149">
        <v>31</v>
      </c>
      <c r="H149">
        <v>54</v>
      </c>
      <c r="K149">
        <v>33</v>
      </c>
      <c r="L149">
        <v>73</v>
      </c>
      <c r="M149">
        <v>23103963.963963963</v>
      </c>
      <c r="N149">
        <v>23262972.972972974</v>
      </c>
      <c r="O149">
        <v>48364798.198198199</v>
      </c>
      <c r="P149">
        <v>54802562.162162162</v>
      </c>
      <c r="Q149">
        <v>20123149.54954955</v>
      </c>
      <c r="R149">
        <v>23651981.981981982</v>
      </c>
      <c r="S149">
        <v>3509</v>
      </c>
      <c r="T149">
        <v>3503</v>
      </c>
    </row>
    <row r="150" spans="1:20" x14ac:dyDescent="0.35">
      <c r="A150" s="7" t="s">
        <v>241</v>
      </c>
      <c r="B150" s="12" t="s">
        <v>242</v>
      </c>
      <c r="C150">
        <v>148318896.03566512</v>
      </c>
      <c r="D150">
        <v>142179003.71493822</v>
      </c>
      <c r="E150">
        <v>997297.29729729902</v>
      </c>
      <c r="F150">
        <v>1742792.7927927941</v>
      </c>
      <c r="G150">
        <v>67</v>
      </c>
      <c r="H150">
        <v>47</v>
      </c>
      <c r="K150">
        <v>71</v>
      </c>
      <c r="L150">
        <v>58</v>
      </c>
      <c r="M150">
        <v>28568648.648648653</v>
      </c>
      <c r="N150">
        <v>23033423.423423424</v>
      </c>
      <c r="O150">
        <v>34917475.675675675</v>
      </c>
      <c r="P150">
        <v>37701288.288288288</v>
      </c>
      <c r="Q150">
        <v>19541981.981981985</v>
      </c>
      <c r="R150">
        <v>20647297.297297299</v>
      </c>
      <c r="S150">
        <v>2986</v>
      </c>
      <c r="T150">
        <v>2767</v>
      </c>
    </row>
    <row r="151" spans="1:20" x14ac:dyDescent="0.35">
      <c r="A151" s="7" t="s">
        <v>243</v>
      </c>
      <c r="B151" s="12" t="s">
        <v>242</v>
      </c>
      <c r="C151">
        <v>386835942.57106721</v>
      </c>
      <c r="D151">
        <v>342925415.55632472</v>
      </c>
      <c r="E151">
        <v>4143243.2432432449</v>
      </c>
      <c r="F151">
        <v>8015765.7657657675</v>
      </c>
      <c r="G151">
        <v>151</v>
      </c>
      <c r="H151">
        <v>129</v>
      </c>
      <c r="K151">
        <v>170</v>
      </c>
      <c r="L151">
        <v>143</v>
      </c>
      <c r="M151">
        <v>95965405.405405402</v>
      </c>
      <c r="N151">
        <v>122219639.63963963</v>
      </c>
      <c r="O151">
        <v>114581045.04504503</v>
      </c>
      <c r="P151">
        <v>111837180.18018018</v>
      </c>
      <c r="Q151">
        <v>88122342.342342332</v>
      </c>
      <c r="R151">
        <v>116486666.66666667</v>
      </c>
      <c r="S151">
        <v>7564</v>
      </c>
      <c r="T151">
        <v>6671</v>
      </c>
    </row>
    <row r="152" spans="1:20" x14ac:dyDescent="0.35">
      <c r="A152" s="7" t="s">
        <v>244</v>
      </c>
      <c r="B152" s="12" t="s">
        <v>51</v>
      </c>
      <c r="C152">
        <v>67856800.436836198</v>
      </c>
      <c r="D152">
        <v>61597876.915012069</v>
      </c>
      <c r="E152">
        <v>2869369.3693693699</v>
      </c>
      <c r="F152">
        <v>2277477.4774774788</v>
      </c>
      <c r="G152">
        <v>13</v>
      </c>
      <c r="H152">
        <v>9</v>
      </c>
      <c r="K152">
        <v>13</v>
      </c>
      <c r="L152">
        <v>10</v>
      </c>
      <c r="M152">
        <v>12853513.513513517</v>
      </c>
      <c r="N152">
        <v>5546171.1711711697</v>
      </c>
      <c r="O152">
        <v>21961495.495495494</v>
      </c>
      <c r="P152">
        <v>21594630.630630631</v>
      </c>
      <c r="Q152">
        <v>11431351.351351352</v>
      </c>
      <c r="R152">
        <v>4336351.3513513533</v>
      </c>
      <c r="S152">
        <v>1216</v>
      </c>
      <c r="T152">
        <v>1110</v>
      </c>
    </row>
    <row r="153" spans="1:20" x14ac:dyDescent="0.35">
      <c r="A153" s="7" t="s">
        <v>245</v>
      </c>
      <c r="B153" s="12" t="s">
        <v>182</v>
      </c>
      <c r="C153">
        <v>2086854269.0099099</v>
      </c>
      <c r="D153">
        <v>2003168583.1861963</v>
      </c>
      <c r="E153">
        <v>227770423.42342341</v>
      </c>
      <c r="F153">
        <v>274877438.73873878</v>
      </c>
      <c r="G153">
        <v>879</v>
      </c>
      <c r="H153">
        <v>823</v>
      </c>
      <c r="I153">
        <v>15</v>
      </c>
      <c r="K153">
        <v>1375</v>
      </c>
      <c r="L153">
        <v>1029</v>
      </c>
      <c r="M153">
        <v>284497747.74774772</v>
      </c>
      <c r="N153">
        <v>543463934.23423421</v>
      </c>
      <c r="O153">
        <v>457496505.4054054</v>
      </c>
      <c r="P153">
        <v>467605421.62162161</v>
      </c>
      <c r="Q153">
        <v>281135045.04504502</v>
      </c>
      <c r="R153">
        <v>530552657.65765768</v>
      </c>
      <c r="S153">
        <v>50605</v>
      </c>
      <c r="T153">
        <v>41454</v>
      </c>
    </row>
    <row r="154" spans="1:20" x14ac:dyDescent="0.35">
      <c r="A154" s="7" t="s">
        <v>246</v>
      </c>
      <c r="B154" s="12" t="s">
        <v>49</v>
      </c>
      <c r="C154">
        <v>91541668.771121174</v>
      </c>
      <c r="D154">
        <v>92725955.963229746</v>
      </c>
      <c r="E154">
        <v>2002027.0270270279</v>
      </c>
      <c r="F154">
        <v>127927.927927928</v>
      </c>
      <c r="G154">
        <v>5</v>
      </c>
      <c r="H154">
        <v>6</v>
      </c>
      <c r="K154">
        <v>9</v>
      </c>
      <c r="L154">
        <v>7</v>
      </c>
      <c r="M154">
        <v>21905585.585585583</v>
      </c>
      <c r="N154">
        <v>9836036.0360360388</v>
      </c>
      <c r="O154">
        <v>21802576.576576576</v>
      </c>
      <c r="P154">
        <v>25582450.45045045</v>
      </c>
      <c r="Q154">
        <v>23136396.396396395</v>
      </c>
      <c r="R154">
        <v>9490540.5405405406</v>
      </c>
      <c r="S154">
        <v>2030</v>
      </c>
      <c r="T154">
        <v>1799</v>
      </c>
    </row>
    <row r="155" spans="1:20" x14ac:dyDescent="0.35">
      <c r="A155" s="7" t="s">
        <v>247</v>
      </c>
      <c r="B155" s="12" t="s">
        <v>95</v>
      </c>
      <c r="C155">
        <v>27456109.457512591</v>
      </c>
      <c r="D155">
        <v>23669717.925651725</v>
      </c>
      <c r="G155">
        <v>5</v>
      </c>
      <c r="K155">
        <v>5</v>
      </c>
      <c r="O155">
        <v>5491135.1351351347</v>
      </c>
      <c r="P155">
        <v>4832981.9819819815</v>
      </c>
      <c r="S155">
        <v>711</v>
      </c>
      <c r="T155">
        <v>718</v>
      </c>
    </row>
    <row r="156" spans="1:20" x14ac:dyDescent="0.35">
      <c r="A156" s="7" t="s">
        <v>248</v>
      </c>
      <c r="B156" s="12" t="s">
        <v>118</v>
      </c>
      <c r="C156">
        <v>85912935.152888164</v>
      </c>
      <c r="D156">
        <v>79732996.643269062</v>
      </c>
      <c r="E156">
        <v>1688247.7477477479</v>
      </c>
      <c r="F156">
        <v>2425850.4504504511</v>
      </c>
      <c r="G156">
        <v>11</v>
      </c>
      <c r="H156">
        <v>17</v>
      </c>
      <c r="K156">
        <v>13</v>
      </c>
      <c r="L156">
        <v>21</v>
      </c>
      <c r="M156">
        <v>10306486.486486487</v>
      </c>
      <c r="N156">
        <v>107596346.84684685</v>
      </c>
      <c r="O156">
        <v>40951099.0990991</v>
      </c>
      <c r="P156">
        <v>41445072.072072074</v>
      </c>
      <c r="Q156">
        <v>12295675.675675675</v>
      </c>
      <c r="R156">
        <v>11748828.828828828</v>
      </c>
      <c r="S156">
        <v>1834</v>
      </c>
      <c r="T156">
        <v>1710</v>
      </c>
    </row>
    <row r="157" spans="1:20" x14ac:dyDescent="0.35">
      <c r="A157" s="7" t="s">
        <v>249</v>
      </c>
      <c r="B157" s="12" t="s">
        <v>122</v>
      </c>
      <c r="C157">
        <v>140220195.96448314</v>
      </c>
      <c r="D157">
        <v>126024372.93216677</v>
      </c>
      <c r="E157">
        <v>850450.450450451</v>
      </c>
      <c r="F157">
        <v>247747.747747752</v>
      </c>
      <c r="G157">
        <v>83</v>
      </c>
      <c r="H157">
        <v>75</v>
      </c>
      <c r="K157">
        <v>90</v>
      </c>
      <c r="L157">
        <v>82</v>
      </c>
      <c r="M157">
        <v>6761261.2612612611</v>
      </c>
      <c r="N157">
        <v>7886036.0360360378</v>
      </c>
      <c r="O157">
        <v>16311315.315315315</v>
      </c>
      <c r="P157">
        <v>14003747.747747747</v>
      </c>
      <c r="Q157">
        <v>4874594.5945945941</v>
      </c>
      <c r="R157">
        <v>5476576.5765765747</v>
      </c>
      <c r="S157">
        <v>2456</v>
      </c>
      <c r="T157">
        <v>3001</v>
      </c>
    </row>
    <row r="158" spans="1:20" x14ac:dyDescent="0.35">
      <c r="A158" s="7" t="s">
        <v>250</v>
      </c>
      <c r="B158" s="12" t="s">
        <v>77</v>
      </c>
      <c r="C158">
        <v>60887512.507837959</v>
      </c>
      <c r="D158">
        <v>57725627.784279346</v>
      </c>
      <c r="G158">
        <v>5</v>
      </c>
      <c r="K158">
        <v>6</v>
      </c>
      <c r="O158">
        <v>5889549.5495495489</v>
      </c>
      <c r="P158">
        <v>7034387.3873873875</v>
      </c>
      <c r="S158">
        <v>1671</v>
      </c>
      <c r="T158">
        <v>1689</v>
      </c>
    </row>
    <row r="159" spans="1:20" x14ac:dyDescent="0.35">
      <c r="A159" s="7" t="s">
        <v>251</v>
      </c>
      <c r="B159" s="12" t="s">
        <v>168</v>
      </c>
      <c r="C159">
        <v>197339034.4168478</v>
      </c>
      <c r="D159">
        <v>200618229.84245354</v>
      </c>
      <c r="F159">
        <v>900900.90090090001</v>
      </c>
      <c r="G159">
        <v>14</v>
      </c>
      <c r="H159">
        <v>9</v>
      </c>
      <c r="K159">
        <v>14</v>
      </c>
      <c r="L159">
        <v>11</v>
      </c>
      <c r="M159">
        <v>3909909.9099099059</v>
      </c>
      <c r="N159">
        <v>9091441.4414414391</v>
      </c>
      <c r="O159">
        <v>37594549.54954955</v>
      </c>
      <c r="P159">
        <v>52074828.828828834</v>
      </c>
      <c r="Q159">
        <v>3104054.0540540512</v>
      </c>
      <c r="R159">
        <v>5506306.3063063063</v>
      </c>
      <c r="S159">
        <v>3697</v>
      </c>
      <c r="T159">
        <v>3562</v>
      </c>
    </row>
    <row r="160" spans="1:20" x14ac:dyDescent="0.35">
      <c r="A160" s="7" t="s">
        <v>252</v>
      </c>
      <c r="B160" s="12" t="s">
        <v>90</v>
      </c>
      <c r="C160">
        <v>578944168.8550024</v>
      </c>
      <c r="D160">
        <v>597512346.29112077</v>
      </c>
      <c r="E160">
        <v>147767117.11711711</v>
      </c>
      <c r="F160">
        <v>420372522.52252257</v>
      </c>
      <c r="G160">
        <v>107</v>
      </c>
      <c r="H160">
        <v>47</v>
      </c>
      <c r="I160">
        <v>1</v>
      </c>
      <c r="K160">
        <v>120</v>
      </c>
      <c r="L160">
        <v>68</v>
      </c>
      <c r="M160">
        <v>47626936.936936937</v>
      </c>
      <c r="N160">
        <v>52774594.594594598</v>
      </c>
      <c r="O160">
        <v>143403018.01801801</v>
      </c>
      <c r="P160">
        <v>158080360.36036035</v>
      </c>
      <c r="Q160">
        <v>43933693.693693697</v>
      </c>
      <c r="R160">
        <v>50392342.342342347</v>
      </c>
      <c r="S160">
        <v>10228</v>
      </c>
      <c r="T160">
        <v>10715</v>
      </c>
    </row>
    <row r="161" spans="1:20" x14ac:dyDescent="0.35">
      <c r="A161" s="7" t="s">
        <v>253</v>
      </c>
      <c r="B161" s="12" t="s">
        <v>79</v>
      </c>
      <c r="C161">
        <v>171201037.65034217</v>
      </c>
      <c r="D161">
        <v>173096133.78896219</v>
      </c>
      <c r="E161">
        <v>2683783.783783786</v>
      </c>
      <c r="F161">
        <v>1834234.234234239</v>
      </c>
      <c r="G161">
        <v>27</v>
      </c>
      <c r="H161">
        <v>12</v>
      </c>
      <c r="K161">
        <v>29</v>
      </c>
      <c r="L161">
        <v>14</v>
      </c>
      <c r="M161">
        <v>34203243.243243247</v>
      </c>
      <c r="N161">
        <v>29974414.414414417</v>
      </c>
      <c r="O161">
        <v>48522477.477477483</v>
      </c>
      <c r="P161">
        <v>49605468.468468465</v>
      </c>
      <c r="Q161">
        <v>31679459.459459461</v>
      </c>
      <c r="R161">
        <v>29389099.099099103</v>
      </c>
      <c r="S161">
        <v>3596</v>
      </c>
      <c r="T161">
        <v>3017</v>
      </c>
    </row>
    <row r="162" spans="1:20" x14ac:dyDescent="0.35">
      <c r="A162" s="7" t="s">
        <v>254</v>
      </c>
      <c r="B162" s="12" t="s">
        <v>106</v>
      </c>
      <c r="C162">
        <v>334986049.99096835</v>
      </c>
      <c r="D162">
        <v>349047997.85780406</v>
      </c>
      <c r="E162">
        <v>172261454.95495495</v>
      </c>
      <c r="F162">
        <v>205574990.990991</v>
      </c>
      <c r="G162">
        <v>148</v>
      </c>
      <c r="H162">
        <v>84</v>
      </c>
      <c r="I162">
        <v>1</v>
      </c>
      <c r="K162">
        <v>191</v>
      </c>
      <c r="L162">
        <v>105</v>
      </c>
      <c r="M162">
        <v>47533513.513513513</v>
      </c>
      <c r="N162">
        <v>177060225.22522521</v>
      </c>
      <c r="O162">
        <v>97980063.063063055</v>
      </c>
      <c r="P162">
        <v>105008801.80180179</v>
      </c>
      <c r="Q162">
        <v>48141171.171171166</v>
      </c>
      <c r="R162">
        <v>176259504.5045045</v>
      </c>
      <c r="S162">
        <v>5500</v>
      </c>
      <c r="T162">
        <v>5444</v>
      </c>
    </row>
    <row r="163" spans="1:20" x14ac:dyDescent="0.35">
      <c r="A163" s="7" t="s">
        <v>666</v>
      </c>
      <c r="B163" s="12" t="s">
        <v>182</v>
      </c>
      <c r="E163">
        <v>65472972.972972974</v>
      </c>
      <c r="F163">
        <v>217972972.97297296</v>
      </c>
      <c r="M163">
        <v>3377027.0270270272</v>
      </c>
      <c r="N163">
        <v>3297297.297297297</v>
      </c>
    </row>
    <row r="164" spans="1:20" x14ac:dyDescent="0.35">
      <c r="A164" s="7" t="s">
        <v>255</v>
      </c>
      <c r="B164" s="12" t="s">
        <v>106</v>
      </c>
      <c r="C164">
        <v>222325462.49880543</v>
      </c>
      <c r="D164">
        <v>203486972.49599782</v>
      </c>
      <c r="E164">
        <v>7750450.450450452</v>
      </c>
      <c r="F164">
        <v>134437837.83783785</v>
      </c>
      <c r="G164">
        <v>26</v>
      </c>
      <c r="H164">
        <v>34</v>
      </c>
      <c r="I164">
        <v>1</v>
      </c>
      <c r="K164">
        <v>33</v>
      </c>
      <c r="L164">
        <v>37</v>
      </c>
      <c r="M164">
        <v>22119279.27927928</v>
      </c>
      <c r="N164">
        <v>24567117.117117114</v>
      </c>
      <c r="O164">
        <v>69162225.225225225</v>
      </c>
      <c r="P164">
        <v>70178252.252252251</v>
      </c>
      <c r="Q164">
        <v>15390270.270270269</v>
      </c>
      <c r="R164">
        <v>21134414.414414417</v>
      </c>
      <c r="S164">
        <v>4033</v>
      </c>
      <c r="T164">
        <v>3908</v>
      </c>
    </row>
    <row r="165" spans="1:20" x14ac:dyDescent="0.35">
      <c r="A165" s="7" t="s">
        <v>256</v>
      </c>
      <c r="B165" s="12" t="s">
        <v>106</v>
      </c>
      <c r="C165">
        <v>183427968.11209324</v>
      </c>
      <c r="D165">
        <v>199818854.15329042</v>
      </c>
      <c r="E165">
        <v>132432.43243243301</v>
      </c>
      <c r="F165">
        <v>69369.369369370004</v>
      </c>
      <c r="G165">
        <v>32</v>
      </c>
      <c r="H165">
        <v>24</v>
      </c>
      <c r="I165">
        <v>4</v>
      </c>
      <c r="K165">
        <v>33</v>
      </c>
      <c r="L165">
        <v>27</v>
      </c>
      <c r="M165">
        <v>2384684.684684685</v>
      </c>
      <c r="N165">
        <v>2096396.3963963969</v>
      </c>
      <c r="O165">
        <v>39279475.675675675</v>
      </c>
      <c r="P165">
        <v>47299918.918918923</v>
      </c>
      <c r="Q165">
        <v>2338918.9189189188</v>
      </c>
      <c r="R165">
        <v>1904774.7747747749</v>
      </c>
      <c r="S165">
        <v>2322</v>
      </c>
      <c r="T165">
        <v>2126</v>
      </c>
    </row>
    <row r="166" spans="1:20" x14ac:dyDescent="0.35">
      <c r="A166" s="7" t="s">
        <v>257</v>
      </c>
      <c r="B166" s="12" t="s">
        <v>135</v>
      </c>
      <c r="C166">
        <v>284623018.51543611</v>
      </c>
      <c r="D166">
        <v>305720611.25611281</v>
      </c>
      <c r="E166">
        <v>909909.90990991099</v>
      </c>
      <c r="F166">
        <v>801801.80180180201</v>
      </c>
      <c r="G166">
        <v>22</v>
      </c>
      <c r="H166">
        <v>14</v>
      </c>
      <c r="K166">
        <v>23</v>
      </c>
      <c r="L166">
        <v>18</v>
      </c>
      <c r="M166">
        <v>3531531.5315315318</v>
      </c>
      <c r="N166">
        <v>6702702.702702703</v>
      </c>
      <c r="O166">
        <v>20069351.351351351</v>
      </c>
      <c r="P166">
        <v>30428432.432432432</v>
      </c>
      <c r="Q166">
        <v>4376576.5765765766</v>
      </c>
      <c r="R166">
        <v>5356036.036036036</v>
      </c>
      <c r="S166">
        <v>4312</v>
      </c>
      <c r="T166">
        <v>4229</v>
      </c>
    </row>
    <row r="167" spans="1:20" x14ac:dyDescent="0.35">
      <c r="A167" s="7" t="s">
        <v>258</v>
      </c>
      <c r="B167" s="12" t="s">
        <v>168</v>
      </c>
      <c r="C167">
        <v>100868772.49616872</v>
      </c>
      <c r="D167">
        <v>114146215.33920574</v>
      </c>
      <c r="E167">
        <v>1184684.684684685</v>
      </c>
      <c r="F167">
        <v>874774.77477477503</v>
      </c>
      <c r="G167">
        <v>25</v>
      </c>
      <c r="H167">
        <v>7</v>
      </c>
      <c r="K167">
        <v>27</v>
      </c>
      <c r="L167">
        <v>9</v>
      </c>
      <c r="M167">
        <v>4388981.0810810812</v>
      </c>
      <c r="N167">
        <v>9245045.045045048</v>
      </c>
      <c r="O167">
        <v>33871678.378378376</v>
      </c>
      <c r="P167">
        <v>43948270.270270273</v>
      </c>
      <c r="Q167">
        <v>5056396.3963963958</v>
      </c>
      <c r="R167">
        <v>8416216.2162162177</v>
      </c>
      <c r="S167">
        <v>2646</v>
      </c>
      <c r="T167">
        <v>2193</v>
      </c>
    </row>
    <row r="168" spans="1:20" x14ac:dyDescent="0.35">
      <c r="A168" s="7" t="s">
        <v>259</v>
      </c>
      <c r="B168" s="12" t="s">
        <v>61</v>
      </c>
      <c r="C168">
        <v>39562718.744609803</v>
      </c>
      <c r="D168">
        <v>40419641.362088174</v>
      </c>
      <c r="E168">
        <v>320720.720720721</v>
      </c>
      <c r="F168">
        <v>1263513.513513512</v>
      </c>
      <c r="G168">
        <v>18</v>
      </c>
      <c r="H168">
        <v>14</v>
      </c>
      <c r="I168">
        <v>3</v>
      </c>
      <c r="K168">
        <v>25</v>
      </c>
      <c r="L168">
        <v>22</v>
      </c>
      <c r="M168">
        <v>7609009.0090090102</v>
      </c>
      <c r="N168">
        <v>13245495.495495496</v>
      </c>
      <c r="O168">
        <v>14309081.081081079</v>
      </c>
      <c r="P168">
        <v>15015765.765765766</v>
      </c>
      <c r="Q168">
        <v>7670540.5405405397</v>
      </c>
      <c r="R168">
        <v>9678738.7387387399</v>
      </c>
      <c r="S168">
        <v>696</v>
      </c>
      <c r="T168">
        <v>690</v>
      </c>
    </row>
    <row r="169" spans="1:20" x14ac:dyDescent="0.35">
      <c r="A169" s="7" t="s">
        <v>260</v>
      </c>
      <c r="B169" s="12" t="s">
        <v>261</v>
      </c>
      <c r="C169">
        <v>23871160.035663877</v>
      </c>
      <c r="D169">
        <v>25208721.07555528</v>
      </c>
      <c r="E169">
        <v>13513.513513514001</v>
      </c>
      <c r="F169">
        <v>1090090.0900900899</v>
      </c>
      <c r="G169">
        <v>7</v>
      </c>
      <c r="H169">
        <v>1</v>
      </c>
      <c r="K169">
        <v>11</v>
      </c>
      <c r="L169">
        <v>1</v>
      </c>
      <c r="M169">
        <v>4101351.351351351</v>
      </c>
      <c r="N169">
        <v>2891891.8918918921</v>
      </c>
      <c r="O169">
        <v>4242909.9099099096</v>
      </c>
      <c r="P169">
        <v>6022819.8198198201</v>
      </c>
      <c r="Q169">
        <v>2028648.6486486481</v>
      </c>
      <c r="R169">
        <v>1537927.927927928</v>
      </c>
      <c r="S169">
        <v>572</v>
      </c>
      <c r="T169">
        <v>628</v>
      </c>
    </row>
    <row r="170" spans="1:20" x14ac:dyDescent="0.35">
      <c r="A170" s="7" t="s">
        <v>262</v>
      </c>
      <c r="B170" s="12" t="s">
        <v>61</v>
      </c>
      <c r="C170">
        <v>371647905.68013555</v>
      </c>
      <c r="D170">
        <v>372847058.91054726</v>
      </c>
      <c r="E170">
        <v>236371106.3063063</v>
      </c>
      <c r="F170">
        <v>794362141.44144142</v>
      </c>
      <c r="G170">
        <v>243</v>
      </c>
      <c r="H170">
        <v>235</v>
      </c>
      <c r="I170">
        <v>3</v>
      </c>
      <c r="K170">
        <v>749</v>
      </c>
      <c r="L170">
        <v>361</v>
      </c>
      <c r="M170">
        <v>72731981.981981978</v>
      </c>
      <c r="N170">
        <v>104019413.51351352</v>
      </c>
      <c r="O170">
        <v>137778470.72072071</v>
      </c>
      <c r="P170">
        <v>136865378.37837839</v>
      </c>
      <c r="Q170">
        <v>78794504.504504517</v>
      </c>
      <c r="R170">
        <v>97780360.360360354</v>
      </c>
      <c r="S170">
        <v>7437</v>
      </c>
      <c r="T170">
        <v>6403</v>
      </c>
    </row>
    <row r="171" spans="1:20" x14ac:dyDescent="0.35">
      <c r="A171" s="7" t="s">
        <v>263</v>
      </c>
      <c r="B171" s="12" t="s">
        <v>124</v>
      </c>
      <c r="C171">
        <v>286665331.16597015</v>
      </c>
      <c r="D171">
        <v>270012693.55779356</v>
      </c>
      <c r="E171">
        <v>426126.12612612703</v>
      </c>
      <c r="F171">
        <v>918018.01801801997</v>
      </c>
      <c r="G171">
        <v>80</v>
      </c>
      <c r="H171">
        <v>75</v>
      </c>
      <c r="I171">
        <v>1</v>
      </c>
      <c r="K171">
        <v>102</v>
      </c>
      <c r="L171">
        <v>95</v>
      </c>
      <c r="M171">
        <v>18919639.639639638</v>
      </c>
      <c r="N171">
        <v>22767117.117117122</v>
      </c>
      <c r="O171">
        <v>112601909.9099099</v>
      </c>
      <c r="P171">
        <v>110022358.55855855</v>
      </c>
      <c r="Q171">
        <v>17095765.765765764</v>
      </c>
      <c r="R171">
        <v>22611711.711711712</v>
      </c>
      <c r="S171">
        <v>5638</v>
      </c>
      <c r="T171">
        <v>5488</v>
      </c>
    </row>
    <row r="172" spans="1:20" x14ac:dyDescent="0.35">
      <c r="A172" s="7" t="s">
        <v>264</v>
      </c>
      <c r="B172" s="12" t="s">
        <v>124</v>
      </c>
      <c r="C172">
        <v>121948868.04094514</v>
      </c>
      <c r="D172">
        <v>126835817.97768602</v>
      </c>
      <c r="E172">
        <v>2693018.0180180199</v>
      </c>
      <c r="F172">
        <v>5346396.3963964013</v>
      </c>
      <c r="G172">
        <v>76</v>
      </c>
      <c r="H172">
        <v>76</v>
      </c>
      <c r="I172">
        <v>2</v>
      </c>
      <c r="K172">
        <v>273</v>
      </c>
      <c r="L172">
        <v>270</v>
      </c>
      <c r="M172">
        <v>60123873.873873875</v>
      </c>
      <c r="N172">
        <v>39168378.378378384</v>
      </c>
      <c r="O172">
        <v>51172513.513513513</v>
      </c>
      <c r="P172">
        <v>58119252.252252251</v>
      </c>
      <c r="Q172">
        <v>60021081.081081077</v>
      </c>
      <c r="R172">
        <v>37568288.288288288</v>
      </c>
      <c r="S172">
        <v>2851</v>
      </c>
      <c r="T172">
        <v>4054</v>
      </c>
    </row>
    <row r="173" spans="1:20" x14ac:dyDescent="0.35">
      <c r="A173" s="7" t="s">
        <v>265</v>
      </c>
      <c r="B173" s="12" t="s">
        <v>126</v>
      </c>
      <c r="C173">
        <v>310034036.78044236</v>
      </c>
      <c r="D173">
        <v>307648713.61482745</v>
      </c>
      <c r="E173">
        <v>3490540.5405405401</v>
      </c>
      <c r="F173">
        <v>3444594.5945945992</v>
      </c>
      <c r="G173">
        <v>86</v>
      </c>
      <c r="H173">
        <v>43</v>
      </c>
      <c r="K173">
        <v>87</v>
      </c>
      <c r="L173">
        <v>47</v>
      </c>
      <c r="M173">
        <v>28445045.045045048</v>
      </c>
      <c r="N173">
        <v>31867117.117117114</v>
      </c>
      <c r="O173">
        <v>112621527.92792793</v>
      </c>
      <c r="P173">
        <v>109551801.8018018</v>
      </c>
      <c r="Q173">
        <v>26952205.405405402</v>
      </c>
      <c r="R173">
        <v>25589279.27927928</v>
      </c>
      <c r="S173">
        <v>4556</v>
      </c>
      <c r="T173">
        <v>4170</v>
      </c>
    </row>
    <row r="174" spans="1:20" x14ac:dyDescent="0.35">
      <c r="A174" s="7" t="s">
        <v>266</v>
      </c>
      <c r="B174" s="12" t="s">
        <v>124</v>
      </c>
      <c r="C174">
        <v>294993131.57157445</v>
      </c>
      <c r="D174">
        <v>285543235.73745441</v>
      </c>
      <c r="E174">
        <v>2066666.666666667</v>
      </c>
      <c r="F174">
        <v>2159909.9099099129</v>
      </c>
      <c r="G174">
        <v>45</v>
      </c>
      <c r="H174">
        <v>45</v>
      </c>
      <c r="I174">
        <v>1</v>
      </c>
      <c r="K174">
        <v>50</v>
      </c>
      <c r="L174">
        <v>51</v>
      </c>
      <c r="M174">
        <v>33638288.288288288</v>
      </c>
      <c r="N174">
        <v>36931621.621621624</v>
      </c>
      <c r="O174">
        <v>103904165.76576576</v>
      </c>
      <c r="P174">
        <v>109401772.97297297</v>
      </c>
      <c r="Q174">
        <v>33958738.738738738</v>
      </c>
      <c r="R174">
        <v>36423693.693693697</v>
      </c>
      <c r="S174">
        <v>4961</v>
      </c>
      <c r="T174">
        <v>2432</v>
      </c>
    </row>
    <row r="175" spans="1:20" x14ac:dyDescent="0.35">
      <c r="A175" s="7" t="s">
        <v>267</v>
      </c>
      <c r="B175" s="12" t="s">
        <v>124</v>
      </c>
      <c r="C175">
        <v>307106628.41578436</v>
      </c>
      <c r="D175">
        <v>312630763.67042947</v>
      </c>
      <c r="E175">
        <v>160041351.35135135</v>
      </c>
      <c r="F175">
        <v>431669819.81981987</v>
      </c>
      <c r="G175">
        <v>64</v>
      </c>
      <c r="H175">
        <v>74</v>
      </c>
      <c r="K175">
        <v>69</v>
      </c>
      <c r="L175">
        <v>81</v>
      </c>
      <c r="M175">
        <v>45225585.585585587</v>
      </c>
      <c r="N175">
        <v>40472072.072072074</v>
      </c>
      <c r="O175">
        <v>125455700.9009009</v>
      </c>
      <c r="P175">
        <v>125115511.7117117</v>
      </c>
      <c r="Q175">
        <v>43859189.189189196</v>
      </c>
      <c r="R175">
        <v>38282612.612612605</v>
      </c>
      <c r="S175">
        <v>5761</v>
      </c>
      <c r="T175">
        <v>5547</v>
      </c>
    </row>
    <row r="176" spans="1:20" x14ac:dyDescent="0.35">
      <c r="A176" s="7" t="s">
        <v>268</v>
      </c>
      <c r="B176" s="12" t="s">
        <v>179</v>
      </c>
      <c r="C176">
        <v>1560706091.5696127</v>
      </c>
      <c r="D176">
        <v>1557720921.290024</v>
      </c>
      <c r="E176">
        <v>989338249.54954958</v>
      </c>
      <c r="F176">
        <v>854396787.38738739</v>
      </c>
      <c r="G176">
        <v>759</v>
      </c>
      <c r="H176">
        <v>569</v>
      </c>
      <c r="I176">
        <v>1</v>
      </c>
      <c r="K176">
        <v>1183</v>
      </c>
      <c r="L176">
        <v>1275</v>
      </c>
      <c r="M176">
        <v>211693627.02702704</v>
      </c>
      <c r="N176">
        <v>465652927.92792791</v>
      </c>
      <c r="O176">
        <v>468748263.96396399</v>
      </c>
      <c r="P176">
        <v>502971436.03603601</v>
      </c>
      <c r="Q176">
        <v>197081531.53153151</v>
      </c>
      <c r="R176">
        <v>239058603.6036036</v>
      </c>
      <c r="S176">
        <v>35101</v>
      </c>
      <c r="T176">
        <v>31682</v>
      </c>
    </row>
    <row r="177" spans="1:20" x14ac:dyDescent="0.35">
      <c r="A177" s="7" t="s">
        <v>269</v>
      </c>
      <c r="B177" s="12" t="s">
        <v>63</v>
      </c>
      <c r="C177">
        <v>253940355.57832563</v>
      </c>
      <c r="D177">
        <v>265509834.89235976</v>
      </c>
      <c r="E177">
        <v>5803603.6036036052</v>
      </c>
      <c r="F177">
        <v>8578018.0180180203</v>
      </c>
      <c r="G177">
        <v>54</v>
      </c>
      <c r="H177">
        <v>188</v>
      </c>
      <c r="K177">
        <v>58</v>
      </c>
      <c r="L177">
        <v>250</v>
      </c>
      <c r="M177">
        <v>77504234.234234229</v>
      </c>
      <c r="N177">
        <v>87952792.792792797</v>
      </c>
      <c r="O177">
        <v>84459774.774774775</v>
      </c>
      <c r="P177">
        <v>97007088.288288295</v>
      </c>
      <c r="Q177">
        <v>69346486.486486495</v>
      </c>
      <c r="R177">
        <v>90499099.0990991</v>
      </c>
      <c r="S177">
        <v>4840</v>
      </c>
      <c r="T177">
        <v>4979</v>
      </c>
    </row>
    <row r="178" spans="1:20" x14ac:dyDescent="0.35">
      <c r="A178" s="7" t="s">
        <v>270</v>
      </c>
      <c r="B178" s="12" t="s">
        <v>71</v>
      </c>
      <c r="C178">
        <v>328052979.94891864</v>
      </c>
      <c r="D178">
        <v>316939819.21560472</v>
      </c>
      <c r="E178">
        <v>6033243.2432432491</v>
      </c>
      <c r="F178">
        <v>13798198.198198201</v>
      </c>
      <c r="G178">
        <v>121</v>
      </c>
      <c r="H178">
        <v>148</v>
      </c>
      <c r="K178">
        <v>408</v>
      </c>
      <c r="L178">
        <v>205</v>
      </c>
      <c r="M178">
        <v>31681081.081081089</v>
      </c>
      <c r="N178">
        <v>65487154.054054059</v>
      </c>
      <c r="O178">
        <v>153375027.02702704</v>
      </c>
      <c r="P178">
        <v>153818279.27927926</v>
      </c>
      <c r="Q178">
        <v>23133963.963963967</v>
      </c>
      <c r="R178">
        <v>52352612.612612605</v>
      </c>
      <c r="S178">
        <v>7365</v>
      </c>
      <c r="T178">
        <v>7191</v>
      </c>
    </row>
    <row r="179" spans="1:20" x14ac:dyDescent="0.35">
      <c r="A179" s="7" t="s">
        <v>271</v>
      </c>
      <c r="B179" s="12" t="s">
        <v>135</v>
      </c>
      <c r="C179">
        <v>4922996.3764884872</v>
      </c>
      <c r="D179">
        <v>4977842.7952334676</v>
      </c>
      <c r="L179">
        <v>1</v>
      </c>
      <c r="O179">
        <v>257297.29729729699</v>
      </c>
      <c r="P179">
        <v>335225.22522522497</v>
      </c>
      <c r="S179">
        <v>238</v>
      </c>
      <c r="T179">
        <v>253</v>
      </c>
    </row>
    <row r="180" spans="1:20" x14ac:dyDescent="0.35">
      <c r="A180" s="7" t="s">
        <v>272</v>
      </c>
      <c r="B180" s="12" t="s">
        <v>77</v>
      </c>
      <c r="C180">
        <v>152341769.56935081</v>
      </c>
      <c r="D180">
        <v>143552814.13836762</v>
      </c>
      <c r="E180">
        <v>76576.576576577005</v>
      </c>
      <c r="F180">
        <v>515315.31531531498</v>
      </c>
      <c r="G180">
        <v>18</v>
      </c>
      <c r="H180">
        <v>20</v>
      </c>
      <c r="K180">
        <v>20</v>
      </c>
      <c r="L180">
        <v>20</v>
      </c>
      <c r="M180">
        <v>166666.66666666701</v>
      </c>
      <c r="N180">
        <v>731531.53153153101</v>
      </c>
      <c r="O180">
        <v>9037653.1531531513</v>
      </c>
      <c r="P180">
        <v>10527711.711711712</v>
      </c>
      <c r="Q180">
        <v>271171.17117117101</v>
      </c>
      <c r="R180">
        <v>646846.84684684698</v>
      </c>
      <c r="S180">
        <v>2490</v>
      </c>
      <c r="T180">
        <v>2369</v>
      </c>
    </row>
    <row r="181" spans="1:20" x14ac:dyDescent="0.35">
      <c r="A181" s="7" t="s">
        <v>273</v>
      </c>
      <c r="B181" s="12" t="s">
        <v>77</v>
      </c>
      <c r="C181">
        <v>53214306.324244745</v>
      </c>
      <c r="D181">
        <v>60793026.139654785</v>
      </c>
      <c r="E181">
        <v>150450.450450451</v>
      </c>
      <c r="F181">
        <v>327027.02702702698</v>
      </c>
      <c r="G181">
        <v>5</v>
      </c>
      <c r="H181">
        <v>16</v>
      </c>
      <c r="K181">
        <v>6</v>
      </c>
      <c r="L181">
        <v>16</v>
      </c>
      <c r="M181">
        <v>12775855.855855856</v>
      </c>
      <c r="N181">
        <v>13672972.972972974</v>
      </c>
      <c r="O181">
        <v>13175639.63963964</v>
      </c>
      <c r="P181">
        <v>17400583.783783782</v>
      </c>
      <c r="Q181">
        <v>9461261.2612612601</v>
      </c>
      <c r="R181">
        <v>12243873.873873875</v>
      </c>
      <c r="S181">
        <v>767</v>
      </c>
      <c r="T181">
        <v>837</v>
      </c>
    </row>
    <row r="182" spans="1:20" x14ac:dyDescent="0.35">
      <c r="A182" s="7" t="s">
        <v>274</v>
      </c>
      <c r="B182" s="12" t="s">
        <v>261</v>
      </c>
      <c r="C182">
        <v>1097950767.486913</v>
      </c>
      <c r="D182">
        <v>1143230550.1531718</v>
      </c>
      <c r="E182">
        <v>399082785.58558559</v>
      </c>
      <c r="F182">
        <v>473196666.66666669</v>
      </c>
      <c r="G182">
        <v>312</v>
      </c>
      <c r="H182">
        <v>485</v>
      </c>
      <c r="K182">
        <v>405</v>
      </c>
      <c r="L182">
        <v>658</v>
      </c>
      <c r="M182">
        <v>271309009.009009</v>
      </c>
      <c r="N182">
        <v>342588693.6936937</v>
      </c>
      <c r="O182">
        <v>336828545.04504508</v>
      </c>
      <c r="P182">
        <v>383838286.48648643</v>
      </c>
      <c r="Q182">
        <v>197901711.7117117</v>
      </c>
      <c r="R182">
        <v>262029864.86486486</v>
      </c>
      <c r="S182">
        <v>19913</v>
      </c>
      <c r="T182">
        <v>18504</v>
      </c>
    </row>
    <row r="183" spans="1:20" x14ac:dyDescent="0.35">
      <c r="A183" s="7" t="s">
        <v>275</v>
      </c>
      <c r="B183" s="12" t="s">
        <v>261</v>
      </c>
      <c r="C183">
        <v>244763604.85523957</v>
      </c>
      <c r="D183">
        <v>237317988.29047447</v>
      </c>
      <c r="E183">
        <v>1405630.6306306331</v>
      </c>
      <c r="F183">
        <v>606306.30630631</v>
      </c>
      <c r="G183">
        <v>14</v>
      </c>
      <c r="H183">
        <v>35</v>
      </c>
      <c r="K183">
        <v>18</v>
      </c>
      <c r="L183">
        <v>36</v>
      </c>
      <c r="M183">
        <v>17404954.954954956</v>
      </c>
      <c r="N183">
        <v>23789189.189189192</v>
      </c>
      <c r="O183">
        <v>50104216.216216214</v>
      </c>
      <c r="P183">
        <v>55143684.684684686</v>
      </c>
      <c r="Q183">
        <v>14530630.630630627</v>
      </c>
      <c r="R183">
        <v>21165899.0990991</v>
      </c>
      <c r="S183">
        <v>3829</v>
      </c>
      <c r="T183">
        <v>3789</v>
      </c>
    </row>
    <row r="184" spans="1:20" x14ac:dyDescent="0.35">
      <c r="A184" s="7" t="s">
        <v>276</v>
      </c>
      <c r="B184" s="12" t="s">
        <v>261</v>
      </c>
      <c r="C184">
        <v>271990895.81084037</v>
      </c>
      <c r="D184">
        <v>308108646.99437064</v>
      </c>
      <c r="E184">
        <v>6493333.333333334</v>
      </c>
      <c r="F184">
        <v>8591850.4504504558</v>
      </c>
      <c r="G184">
        <v>36</v>
      </c>
      <c r="H184">
        <v>49</v>
      </c>
      <c r="K184">
        <v>38</v>
      </c>
      <c r="L184">
        <v>52</v>
      </c>
      <c r="M184">
        <v>50014414.414414413</v>
      </c>
      <c r="N184">
        <v>42407021.621621624</v>
      </c>
      <c r="O184">
        <v>61640603.603603601</v>
      </c>
      <c r="P184">
        <v>83329241.441441447</v>
      </c>
      <c r="Q184">
        <v>49505765.765765756</v>
      </c>
      <c r="R184">
        <v>41351441.441441439</v>
      </c>
      <c r="S184">
        <v>6369</v>
      </c>
      <c r="T184">
        <v>5900</v>
      </c>
    </row>
    <row r="185" spans="1:20" x14ac:dyDescent="0.35">
      <c r="A185" s="7" t="s">
        <v>277</v>
      </c>
      <c r="B185" s="12" t="s">
        <v>135</v>
      </c>
      <c r="C185">
        <v>343375892.77559847</v>
      </c>
      <c r="D185">
        <v>366434052.27077913</v>
      </c>
      <c r="E185">
        <v>2211711.7117117131</v>
      </c>
      <c r="F185">
        <v>2252252.2522522528</v>
      </c>
      <c r="G185">
        <v>65</v>
      </c>
      <c r="H185">
        <v>34</v>
      </c>
      <c r="K185">
        <v>73</v>
      </c>
      <c r="L185">
        <v>36</v>
      </c>
      <c r="M185">
        <v>17527027.02702703</v>
      </c>
      <c r="N185">
        <v>18918918.918918919</v>
      </c>
      <c r="O185">
        <v>30848067.567567568</v>
      </c>
      <c r="P185">
        <v>37572367.567567565</v>
      </c>
      <c r="Q185">
        <v>8109369.369369369</v>
      </c>
      <c r="R185">
        <v>9011261.261261262</v>
      </c>
      <c r="S185">
        <v>5825</v>
      </c>
      <c r="T185">
        <v>5361</v>
      </c>
    </row>
    <row r="186" spans="1:20" x14ac:dyDescent="0.35">
      <c r="A186" s="7" t="s">
        <v>278</v>
      </c>
      <c r="B186" s="12" t="s">
        <v>170</v>
      </c>
      <c r="C186">
        <v>197714644.43831927</v>
      </c>
      <c r="D186">
        <v>186493021.37277141</v>
      </c>
      <c r="E186">
        <v>1505405.4054054059</v>
      </c>
      <c r="F186">
        <v>2718018.0180180199</v>
      </c>
      <c r="G186">
        <v>33</v>
      </c>
      <c r="H186">
        <v>13</v>
      </c>
      <c r="K186">
        <v>38</v>
      </c>
      <c r="L186">
        <v>14</v>
      </c>
      <c r="M186">
        <v>15057207.207207208</v>
      </c>
      <c r="N186">
        <v>13907207.20720721</v>
      </c>
      <c r="O186">
        <v>90162781.531531543</v>
      </c>
      <c r="P186">
        <v>84575304.504504517</v>
      </c>
      <c r="Q186">
        <v>12189009.009009007</v>
      </c>
      <c r="R186">
        <v>11503153.153153151</v>
      </c>
      <c r="S186">
        <v>8152</v>
      </c>
      <c r="T186">
        <v>3129</v>
      </c>
    </row>
    <row r="187" spans="1:20" x14ac:dyDescent="0.35">
      <c r="A187" s="7" t="s">
        <v>279</v>
      </c>
      <c r="B187" s="12" t="s">
        <v>170</v>
      </c>
      <c r="C187">
        <v>118382876.54963112</v>
      </c>
      <c r="D187">
        <v>105708147.70625176</v>
      </c>
      <c r="E187">
        <v>57657.657657657997</v>
      </c>
      <c r="F187">
        <v>8108.1081081080001</v>
      </c>
      <c r="G187">
        <v>20</v>
      </c>
      <c r="H187">
        <v>44</v>
      </c>
      <c r="K187">
        <v>21</v>
      </c>
      <c r="L187">
        <v>46</v>
      </c>
      <c r="M187">
        <v>7748310.8108108109</v>
      </c>
      <c r="N187">
        <v>6854954.9549549557</v>
      </c>
      <c r="O187">
        <v>52098770.270270273</v>
      </c>
      <c r="P187">
        <v>54319324.324324325</v>
      </c>
      <c r="Q187">
        <v>6896216.2162162168</v>
      </c>
      <c r="R187">
        <v>5465045.0450450452</v>
      </c>
      <c r="S187">
        <v>2085</v>
      </c>
      <c r="T187">
        <v>6468</v>
      </c>
    </row>
    <row r="188" spans="1:20" x14ac:dyDescent="0.35">
      <c r="A188" s="7" t="s">
        <v>280</v>
      </c>
      <c r="B188" s="12" t="s">
        <v>88</v>
      </c>
      <c r="C188">
        <v>2787405.0134208598</v>
      </c>
      <c r="D188">
        <v>3021764.0786521072</v>
      </c>
      <c r="G188">
        <v>6</v>
      </c>
      <c r="H188">
        <v>1</v>
      </c>
      <c r="K188">
        <v>7</v>
      </c>
      <c r="L188">
        <v>1</v>
      </c>
      <c r="O188">
        <v>1046945.945945946</v>
      </c>
      <c r="P188">
        <v>1268018.018018018</v>
      </c>
      <c r="S188">
        <v>199</v>
      </c>
      <c r="T188">
        <v>170</v>
      </c>
    </row>
    <row r="189" spans="1:20" x14ac:dyDescent="0.35">
      <c r="A189" s="7" t="s">
        <v>281</v>
      </c>
      <c r="B189" s="12" t="s">
        <v>170</v>
      </c>
      <c r="C189">
        <v>195821552.7544966</v>
      </c>
      <c r="D189">
        <v>225356620.79957184</v>
      </c>
      <c r="E189">
        <v>872072.072072073</v>
      </c>
      <c r="F189">
        <v>1959909.9099099101</v>
      </c>
      <c r="G189">
        <v>27</v>
      </c>
      <c r="H189">
        <v>91</v>
      </c>
      <c r="K189">
        <v>29</v>
      </c>
      <c r="L189">
        <v>104</v>
      </c>
      <c r="M189">
        <v>21027747.747747745</v>
      </c>
      <c r="N189">
        <v>23902972.97297297</v>
      </c>
      <c r="O189">
        <v>78949783.783783779</v>
      </c>
      <c r="P189">
        <v>94919936.936936945</v>
      </c>
      <c r="Q189">
        <v>21308648.648648649</v>
      </c>
      <c r="R189">
        <v>21557387.387387391</v>
      </c>
      <c r="S189">
        <v>4281</v>
      </c>
      <c r="T189">
        <v>4573</v>
      </c>
    </row>
    <row r="190" spans="1:20" x14ac:dyDescent="0.35">
      <c r="A190" s="7" t="s">
        <v>282</v>
      </c>
      <c r="B190" s="12" t="s">
        <v>55</v>
      </c>
      <c r="C190">
        <v>149820835.07464761</v>
      </c>
      <c r="D190">
        <v>154657948.85395291</v>
      </c>
      <c r="E190">
        <v>2517117.117117119</v>
      </c>
      <c r="F190">
        <v>2383783.7837837888</v>
      </c>
      <c r="G190">
        <v>57</v>
      </c>
      <c r="H190">
        <v>64</v>
      </c>
      <c r="K190">
        <v>65</v>
      </c>
      <c r="L190">
        <v>74</v>
      </c>
      <c r="M190">
        <v>16974774.774774775</v>
      </c>
      <c r="N190">
        <v>24769369.369369373</v>
      </c>
      <c r="O190">
        <v>32255747.747747749</v>
      </c>
      <c r="P190">
        <v>36291718.918918923</v>
      </c>
      <c r="Q190">
        <v>16585405.405405406</v>
      </c>
      <c r="R190">
        <v>21354637.837837841</v>
      </c>
      <c r="S190">
        <v>3917</v>
      </c>
      <c r="T190">
        <v>3760</v>
      </c>
    </row>
    <row r="191" spans="1:20" x14ac:dyDescent="0.35">
      <c r="A191" s="7" t="s">
        <v>283</v>
      </c>
      <c r="B191" s="12" t="s">
        <v>284</v>
      </c>
      <c r="C191">
        <v>212379868.51553702</v>
      </c>
      <c r="D191">
        <v>242410234.52527559</v>
      </c>
      <c r="E191">
        <v>352252.25225225399</v>
      </c>
      <c r="F191">
        <v>971171.17117117299</v>
      </c>
      <c r="G191">
        <v>100</v>
      </c>
      <c r="H191">
        <v>51</v>
      </c>
      <c r="K191">
        <v>112</v>
      </c>
      <c r="L191">
        <v>55</v>
      </c>
      <c r="M191">
        <v>10238738.73873874</v>
      </c>
      <c r="N191">
        <v>8160360.3603603626</v>
      </c>
      <c r="O191">
        <v>32980531.531531531</v>
      </c>
      <c r="P191">
        <v>36729540.540540546</v>
      </c>
      <c r="Q191">
        <v>10276216.216216216</v>
      </c>
      <c r="R191">
        <v>7011441.4414414419</v>
      </c>
      <c r="S191">
        <v>3374</v>
      </c>
      <c r="T191">
        <v>4226</v>
      </c>
    </row>
    <row r="192" spans="1:20" x14ac:dyDescent="0.35">
      <c r="A192" s="7" t="s">
        <v>285</v>
      </c>
      <c r="B192" s="12" t="s">
        <v>284</v>
      </c>
      <c r="C192">
        <v>420826148.32519525</v>
      </c>
      <c r="D192">
        <v>428227385.39433193</v>
      </c>
      <c r="E192">
        <v>3237387.3873873921</v>
      </c>
      <c r="F192">
        <v>7026126.1261261264</v>
      </c>
      <c r="G192">
        <v>79</v>
      </c>
      <c r="H192">
        <v>260</v>
      </c>
      <c r="K192">
        <v>127</v>
      </c>
      <c r="L192">
        <v>374</v>
      </c>
      <c r="M192">
        <v>50322162.162162162</v>
      </c>
      <c r="N192">
        <v>68618558.558558553</v>
      </c>
      <c r="O192">
        <v>89469288.288288295</v>
      </c>
      <c r="P192">
        <v>95678837.837837845</v>
      </c>
      <c r="Q192">
        <v>45522252.252252251</v>
      </c>
      <c r="R192">
        <v>55028198.198198199</v>
      </c>
      <c r="S192">
        <v>8016</v>
      </c>
      <c r="T192">
        <v>7565</v>
      </c>
    </row>
    <row r="193" spans="1:20" x14ac:dyDescent="0.35">
      <c r="A193" s="7" t="s">
        <v>286</v>
      </c>
      <c r="B193" s="12" t="s">
        <v>284</v>
      </c>
      <c r="C193">
        <v>222407199.86005259</v>
      </c>
      <c r="D193">
        <v>237439443.87696591</v>
      </c>
      <c r="E193">
        <v>136967477.47747746</v>
      </c>
      <c r="F193">
        <v>59834234.234234229</v>
      </c>
      <c r="G193">
        <v>36</v>
      </c>
      <c r="H193">
        <v>52</v>
      </c>
      <c r="K193">
        <v>48</v>
      </c>
      <c r="L193">
        <v>90</v>
      </c>
      <c r="M193">
        <v>61091711.711711712</v>
      </c>
      <c r="N193">
        <v>69692432.432432428</v>
      </c>
      <c r="O193">
        <v>69163090.090090081</v>
      </c>
      <c r="P193">
        <v>75037954.954954967</v>
      </c>
      <c r="Q193">
        <v>51892882.882882878</v>
      </c>
      <c r="R193">
        <v>60339279.279279277</v>
      </c>
      <c r="S193">
        <v>4821</v>
      </c>
      <c r="T193">
        <v>4917</v>
      </c>
    </row>
    <row r="194" spans="1:20" x14ac:dyDescent="0.35">
      <c r="A194" s="7" t="s">
        <v>287</v>
      </c>
      <c r="B194" s="12" t="s">
        <v>284</v>
      </c>
      <c r="C194">
        <v>166947616.34532312</v>
      </c>
      <c r="D194">
        <v>175771344.67009497</v>
      </c>
      <c r="E194">
        <v>643243.24324324494</v>
      </c>
      <c r="F194">
        <v>886486.48648648697</v>
      </c>
      <c r="G194">
        <v>14</v>
      </c>
      <c r="H194">
        <v>8</v>
      </c>
      <c r="K194">
        <v>16</v>
      </c>
      <c r="L194">
        <v>9</v>
      </c>
      <c r="M194">
        <v>32460540.540540542</v>
      </c>
      <c r="N194">
        <v>13591891.891891891</v>
      </c>
      <c r="O194">
        <v>31702234.234234232</v>
      </c>
      <c r="P194">
        <v>34413018.018018015</v>
      </c>
      <c r="Q194">
        <v>32240630.630630631</v>
      </c>
      <c r="R194">
        <v>12916576.576576576</v>
      </c>
      <c r="S194">
        <v>2550</v>
      </c>
      <c r="T194">
        <v>1914</v>
      </c>
    </row>
    <row r="195" spans="1:20" x14ac:dyDescent="0.35">
      <c r="A195" s="7" t="s">
        <v>288</v>
      </c>
      <c r="B195" s="12" t="s">
        <v>284</v>
      </c>
      <c r="C195">
        <v>83908731.850316435</v>
      </c>
      <c r="D195">
        <v>87491211.486337602</v>
      </c>
      <c r="E195">
        <v>456756.75675675902</v>
      </c>
      <c r="F195">
        <v>1366666.666666666</v>
      </c>
      <c r="H195">
        <v>1</v>
      </c>
      <c r="K195">
        <v>1</v>
      </c>
      <c r="L195">
        <v>1</v>
      </c>
      <c r="M195">
        <v>12880180.180180181</v>
      </c>
      <c r="N195">
        <v>12757657.657657657</v>
      </c>
      <c r="O195">
        <v>14968576.576576576</v>
      </c>
      <c r="P195">
        <v>18169054.054054055</v>
      </c>
      <c r="Q195">
        <v>12440630.630630633</v>
      </c>
      <c r="R195">
        <v>11781711.711711712</v>
      </c>
      <c r="S195">
        <v>1400</v>
      </c>
      <c r="T195">
        <v>1426</v>
      </c>
    </row>
    <row r="196" spans="1:20" x14ac:dyDescent="0.35">
      <c r="A196" s="7" t="s">
        <v>289</v>
      </c>
      <c r="B196" s="12" t="s">
        <v>284</v>
      </c>
      <c r="C196">
        <v>13359804.01548275</v>
      </c>
      <c r="D196">
        <v>12896311.671860842</v>
      </c>
      <c r="E196">
        <v>370270.27027027</v>
      </c>
      <c r="F196">
        <v>718918.91891891905</v>
      </c>
      <c r="M196">
        <v>19847747.747747749</v>
      </c>
      <c r="N196">
        <v>9154954.9549549557</v>
      </c>
      <c r="O196">
        <v>2208837.8378378381</v>
      </c>
      <c r="P196">
        <v>2741297.297297297</v>
      </c>
      <c r="Q196">
        <v>19450450.45045045</v>
      </c>
      <c r="R196">
        <v>8422522.5225225221</v>
      </c>
      <c r="S196">
        <v>321</v>
      </c>
      <c r="T196">
        <v>275</v>
      </c>
    </row>
    <row r="197" spans="1:20" x14ac:dyDescent="0.35">
      <c r="A197" s="7" t="s">
        <v>290</v>
      </c>
      <c r="B197" s="12" t="s">
        <v>291</v>
      </c>
      <c r="C197">
        <v>165453136.92989767</v>
      </c>
      <c r="D197">
        <v>174264035.00588223</v>
      </c>
      <c r="E197">
        <v>133333.33333333401</v>
      </c>
      <c r="F197">
        <v>153153.15315315401</v>
      </c>
      <c r="G197">
        <v>43</v>
      </c>
      <c r="H197">
        <v>24</v>
      </c>
      <c r="K197">
        <v>49</v>
      </c>
      <c r="L197">
        <v>26</v>
      </c>
      <c r="M197">
        <v>639639.63963963999</v>
      </c>
      <c r="N197">
        <v>2333333.333333334</v>
      </c>
      <c r="O197">
        <v>15466479.27927928</v>
      </c>
      <c r="P197">
        <v>19866183.783783782</v>
      </c>
      <c r="Q197">
        <v>1033963.963963964</v>
      </c>
      <c r="R197">
        <v>1576576.576576577</v>
      </c>
      <c r="S197">
        <v>4427</v>
      </c>
      <c r="T197">
        <v>4505</v>
      </c>
    </row>
    <row r="198" spans="1:20" x14ac:dyDescent="0.35">
      <c r="A198" s="7" t="s">
        <v>292</v>
      </c>
      <c r="B198" s="12" t="s">
        <v>148</v>
      </c>
      <c r="C198">
        <v>401062169.95824403</v>
      </c>
      <c r="D198">
        <v>364931488.11216795</v>
      </c>
      <c r="E198">
        <v>5453333.3333333349</v>
      </c>
      <c r="F198">
        <v>5982262.1621621661</v>
      </c>
      <c r="G198">
        <v>94</v>
      </c>
      <c r="H198">
        <v>133</v>
      </c>
      <c r="I198">
        <v>1</v>
      </c>
      <c r="K198">
        <v>202</v>
      </c>
      <c r="L198">
        <v>365</v>
      </c>
      <c r="M198">
        <v>142460236.03603604</v>
      </c>
      <c r="N198">
        <v>167717490.990991</v>
      </c>
      <c r="O198">
        <v>157735288.2882883</v>
      </c>
      <c r="P198">
        <v>147832342.34234235</v>
      </c>
      <c r="Q198">
        <v>134106486.48648648</v>
      </c>
      <c r="R198">
        <v>161952657.65765765</v>
      </c>
      <c r="S198">
        <v>8299</v>
      </c>
      <c r="T198">
        <v>7462</v>
      </c>
    </row>
    <row r="199" spans="1:20" x14ac:dyDescent="0.35">
      <c r="A199" s="7" t="s">
        <v>293</v>
      </c>
      <c r="B199" s="12" t="s">
        <v>294</v>
      </c>
      <c r="C199">
        <v>194877524.22992566</v>
      </c>
      <c r="D199">
        <v>201883808.29065084</v>
      </c>
      <c r="E199">
        <v>1402702.702702703</v>
      </c>
      <c r="F199">
        <v>4729729.7297297297</v>
      </c>
      <c r="G199">
        <v>20</v>
      </c>
      <c r="H199">
        <v>10</v>
      </c>
      <c r="K199">
        <v>26</v>
      </c>
      <c r="L199">
        <v>16</v>
      </c>
      <c r="M199">
        <v>42453243.24324324</v>
      </c>
      <c r="N199">
        <v>45618468.468468472</v>
      </c>
      <c r="O199">
        <v>27022729.729729727</v>
      </c>
      <c r="P199">
        <v>28638126.126126129</v>
      </c>
      <c r="Q199">
        <v>44338018.018018022</v>
      </c>
      <c r="R199">
        <v>45675225.225225225</v>
      </c>
      <c r="S199">
        <v>5944</v>
      </c>
      <c r="T199">
        <v>4640</v>
      </c>
    </row>
    <row r="200" spans="1:20" x14ac:dyDescent="0.35">
      <c r="A200" s="7" t="s">
        <v>295</v>
      </c>
      <c r="B200" s="12" t="s">
        <v>291</v>
      </c>
      <c r="C200">
        <v>43285010.31597992</v>
      </c>
      <c r="D200">
        <v>48409998.593945123</v>
      </c>
      <c r="E200">
        <v>977477.47747747705</v>
      </c>
      <c r="F200">
        <v>945945.94594594697</v>
      </c>
      <c r="G200">
        <v>9</v>
      </c>
      <c r="H200">
        <v>8</v>
      </c>
      <c r="K200">
        <v>9</v>
      </c>
      <c r="L200">
        <v>9</v>
      </c>
      <c r="M200">
        <v>2825225.2252252251</v>
      </c>
      <c r="N200">
        <v>1914414.4144144149</v>
      </c>
      <c r="O200">
        <v>6016439.6396396402</v>
      </c>
      <c r="P200">
        <v>5881648.6486486495</v>
      </c>
      <c r="Q200">
        <v>2474234.2342342348</v>
      </c>
      <c r="R200">
        <v>2158018.018018018</v>
      </c>
      <c r="S200">
        <v>1307</v>
      </c>
      <c r="T200">
        <v>1230</v>
      </c>
    </row>
    <row r="201" spans="1:20" x14ac:dyDescent="0.35">
      <c r="A201" s="7" t="s">
        <v>296</v>
      </c>
      <c r="B201" s="12" t="s">
        <v>53</v>
      </c>
      <c r="C201">
        <v>555838328.73313022</v>
      </c>
      <c r="D201">
        <v>567484186.32502294</v>
      </c>
      <c r="E201">
        <v>174171171.17117116</v>
      </c>
      <c r="F201">
        <v>346845243.24324328</v>
      </c>
      <c r="G201">
        <v>154</v>
      </c>
      <c r="H201">
        <v>233</v>
      </c>
      <c r="K201">
        <v>276</v>
      </c>
      <c r="L201">
        <v>370</v>
      </c>
      <c r="M201">
        <v>297941261.26126122</v>
      </c>
      <c r="N201">
        <v>117115918.91891892</v>
      </c>
      <c r="O201">
        <v>151252268.46846849</v>
      </c>
      <c r="P201">
        <v>156773990.99099097</v>
      </c>
      <c r="Q201">
        <v>311020630.63063067</v>
      </c>
      <c r="R201">
        <v>109537477.47747748</v>
      </c>
      <c r="S201">
        <v>14077</v>
      </c>
      <c r="T201">
        <v>12019</v>
      </c>
    </row>
    <row r="202" spans="1:20" x14ac:dyDescent="0.35">
      <c r="A202" s="7" t="s">
        <v>297</v>
      </c>
      <c r="B202" s="12" t="s">
        <v>170</v>
      </c>
      <c r="C202">
        <v>147734666.45781291</v>
      </c>
      <c r="D202">
        <v>189799435.69920576</v>
      </c>
      <c r="E202">
        <v>86486.486486487003</v>
      </c>
      <c r="F202">
        <v>124324.324324324</v>
      </c>
      <c r="G202">
        <v>20</v>
      </c>
      <c r="H202">
        <v>17</v>
      </c>
      <c r="K202">
        <v>24</v>
      </c>
      <c r="L202">
        <v>19</v>
      </c>
      <c r="M202">
        <v>10636036.036036037</v>
      </c>
      <c r="N202">
        <v>7394594.594594595</v>
      </c>
      <c r="O202">
        <v>32851747.747747749</v>
      </c>
      <c r="P202">
        <v>48496117.117117122</v>
      </c>
      <c r="Q202">
        <v>9714054.0540540554</v>
      </c>
      <c r="R202">
        <v>10721081.081081079</v>
      </c>
      <c r="S202">
        <v>3170</v>
      </c>
      <c r="T202">
        <v>4629</v>
      </c>
    </row>
    <row r="203" spans="1:20" x14ac:dyDescent="0.35">
      <c r="A203" s="7" t="s">
        <v>298</v>
      </c>
      <c r="B203" s="12" t="s">
        <v>170</v>
      </c>
      <c r="C203">
        <v>209102353.84841099</v>
      </c>
      <c r="D203">
        <v>173752897.8145209</v>
      </c>
      <c r="E203">
        <v>707774.77477477503</v>
      </c>
      <c r="F203">
        <v>135135.13513513599</v>
      </c>
      <c r="G203">
        <v>26</v>
      </c>
      <c r="H203">
        <v>23</v>
      </c>
      <c r="K203">
        <v>29</v>
      </c>
      <c r="L203">
        <v>26</v>
      </c>
      <c r="M203">
        <v>1841362567.5675676</v>
      </c>
      <c r="N203">
        <v>1832585585.5855856</v>
      </c>
      <c r="O203">
        <v>75044063.063063055</v>
      </c>
      <c r="P203">
        <v>70980873.873873875</v>
      </c>
      <c r="Q203">
        <v>1829712515.3153152</v>
      </c>
      <c r="R203">
        <v>1822085481.0810812</v>
      </c>
      <c r="S203">
        <v>2876</v>
      </c>
      <c r="T203">
        <v>2706</v>
      </c>
    </row>
    <row r="204" spans="1:20" x14ac:dyDescent="0.35">
      <c r="A204" s="7" t="s">
        <v>299</v>
      </c>
      <c r="B204" s="12" t="s">
        <v>90</v>
      </c>
      <c r="C204">
        <v>636605258.66875124</v>
      </c>
      <c r="D204">
        <v>652062254.74221516</v>
      </c>
      <c r="E204">
        <v>9152118.0180180259</v>
      </c>
      <c r="F204">
        <v>5309009.0090090157</v>
      </c>
      <c r="G204">
        <v>118</v>
      </c>
      <c r="H204">
        <v>68</v>
      </c>
      <c r="I204">
        <v>2</v>
      </c>
      <c r="K204">
        <v>223</v>
      </c>
      <c r="L204">
        <v>90</v>
      </c>
      <c r="M204">
        <v>45001745.045045041</v>
      </c>
      <c r="N204">
        <v>592827252.25225234</v>
      </c>
      <c r="O204">
        <v>124892711.7117117</v>
      </c>
      <c r="P204">
        <v>138057414.41441441</v>
      </c>
      <c r="Q204">
        <v>41199549.54954955</v>
      </c>
      <c r="R204">
        <v>493549234.23423421</v>
      </c>
      <c r="S204">
        <v>11115</v>
      </c>
      <c r="T204">
        <v>11411</v>
      </c>
    </row>
    <row r="205" spans="1:20" x14ac:dyDescent="0.35">
      <c r="A205" s="7" t="s">
        <v>300</v>
      </c>
      <c r="B205" s="12" t="s">
        <v>135</v>
      </c>
      <c r="C205">
        <v>352637305.68190056</v>
      </c>
      <c r="D205">
        <v>390173524.36861271</v>
      </c>
      <c r="E205">
        <v>2968468.468468471</v>
      </c>
      <c r="F205">
        <v>3183783.7837837888</v>
      </c>
      <c r="G205">
        <v>78</v>
      </c>
      <c r="H205">
        <v>79</v>
      </c>
      <c r="K205">
        <v>100</v>
      </c>
      <c r="L205">
        <v>114</v>
      </c>
      <c r="M205">
        <v>25099099.0990991</v>
      </c>
      <c r="N205">
        <v>42330630.630630635</v>
      </c>
      <c r="O205">
        <v>43798495.495495498</v>
      </c>
      <c r="P205">
        <v>56138358.558558561</v>
      </c>
      <c r="Q205">
        <v>22039009.009009007</v>
      </c>
      <c r="R205">
        <v>35584144.144144155</v>
      </c>
      <c r="S205">
        <v>7080</v>
      </c>
      <c r="T205">
        <v>7164</v>
      </c>
    </row>
    <row r="206" spans="1:20" x14ac:dyDescent="0.35">
      <c r="A206" s="7" t="s">
        <v>301</v>
      </c>
      <c r="B206" s="12" t="s">
        <v>291</v>
      </c>
      <c r="C206">
        <v>239481221.35468832</v>
      </c>
      <c r="D206">
        <v>241425436.10406151</v>
      </c>
      <c r="E206">
        <v>2863063.0630630651</v>
      </c>
      <c r="F206">
        <v>3094594.5945946001</v>
      </c>
      <c r="G206">
        <v>71</v>
      </c>
      <c r="H206">
        <v>75</v>
      </c>
      <c r="K206">
        <v>81</v>
      </c>
      <c r="L206">
        <v>84</v>
      </c>
      <c r="M206">
        <v>16585592.792792795</v>
      </c>
      <c r="N206">
        <v>22328828.828828827</v>
      </c>
      <c r="O206">
        <v>34094714.414414413</v>
      </c>
      <c r="P206">
        <v>38404702.702702701</v>
      </c>
      <c r="Q206">
        <v>16584054.054054054</v>
      </c>
      <c r="R206">
        <v>26836306.306306306</v>
      </c>
      <c r="S206">
        <v>4592</v>
      </c>
      <c r="T206">
        <v>4377</v>
      </c>
    </row>
    <row r="207" spans="1:20" x14ac:dyDescent="0.35">
      <c r="A207" s="7" t="s">
        <v>302</v>
      </c>
      <c r="B207" s="12" t="s">
        <v>81</v>
      </c>
      <c r="C207">
        <v>353376494.61615247</v>
      </c>
      <c r="D207">
        <v>353799168.24179691</v>
      </c>
      <c r="E207">
        <v>4534009.0090090102</v>
      </c>
      <c r="F207">
        <v>6351351.3513513552</v>
      </c>
      <c r="G207">
        <v>57</v>
      </c>
      <c r="H207">
        <v>35</v>
      </c>
      <c r="I207">
        <v>5</v>
      </c>
      <c r="K207">
        <v>62</v>
      </c>
      <c r="L207">
        <v>50</v>
      </c>
      <c r="M207">
        <v>53279279.279279277</v>
      </c>
      <c r="N207">
        <v>42926133.333333328</v>
      </c>
      <c r="O207">
        <v>74074196.396396399</v>
      </c>
      <c r="P207">
        <v>80929540.540540546</v>
      </c>
      <c r="Q207">
        <v>50438468.468468472</v>
      </c>
      <c r="R207">
        <v>36937657.657657653</v>
      </c>
      <c r="S207">
        <v>6133</v>
      </c>
      <c r="T207">
        <v>5508</v>
      </c>
    </row>
    <row r="208" spans="1:20" x14ac:dyDescent="0.35">
      <c r="A208" s="7" t="s">
        <v>303</v>
      </c>
      <c r="B208" s="12" t="s">
        <v>73</v>
      </c>
      <c r="C208">
        <v>531128090.51944023</v>
      </c>
      <c r="D208">
        <v>565979834.53013968</v>
      </c>
      <c r="E208">
        <v>1445045.045045048</v>
      </c>
      <c r="F208">
        <v>1066666.666666674</v>
      </c>
      <c r="G208">
        <v>121</v>
      </c>
      <c r="H208">
        <v>70</v>
      </c>
      <c r="I208">
        <v>2</v>
      </c>
      <c r="K208">
        <v>132</v>
      </c>
      <c r="L208">
        <v>80</v>
      </c>
      <c r="M208">
        <v>28240540.540540542</v>
      </c>
      <c r="N208">
        <v>47021621.621621624</v>
      </c>
      <c r="O208">
        <v>78410837.837837845</v>
      </c>
      <c r="P208">
        <v>89640511.711711705</v>
      </c>
      <c r="Q208">
        <v>27095405.405405402</v>
      </c>
      <c r="R208">
        <v>31532972.97297297</v>
      </c>
      <c r="S208">
        <v>9263</v>
      </c>
      <c r="T208">
        <v>8946</v>
      </c>
    </row>
    <row r="209" spans="1:20" x14ac:dyDescent="0.35">
      <c r="A209" s="7" t="s">
        <v>304</v>
      </c>
      <c r="B209" s="12" t="s">
        <v>305</v>
      </c>
      <c r="C209">
        <v>1854495.7209510701</v>
      </c>
      <c r="D209">
        <v>2189421.2259762571</v>
      </c>
      <c r="O209">
        <v>725315.31531531503</v>
      </c>
      <c r="P209">
        <v>666072.07207207195</v>
      </c>
      <c r="S209">
        <v>74</v>
      </c>
      <c r="T209">
        <v>66</v>
      </c>
    </row>
    <row r="210" spans="1:20" x14ac:dyDescent="0.35">
      <c r="A210" s="7" t="s">
        <v>306</v>
      </c>
      <c r="B210" s="12" t="s">
        <v>118</v>
      </c>
      <c r="C210">
        <v>69954020.126607269</v>
      </c>
      <c r="D210">
        <v>71122199.693890601</v>
      </c>
      <c r="E210">
        <v>308108.10810810601</v>
      </c>
      <c r="F210">
        <v>912612.61261261196</v>
      </c>
      <c r="G210">
        <v>26</v>
      </c>
      <c r="H210">
        <v>14</v>
      </c>
      <c r="K210">
        <v>40</v>
      </c>
      <c r="L210">
        <v>62</v>
      </c>
      <c r="M210">
        <v>3283243.243243244</v>
      </c>
      <c r="N210">
        <v>98489639.639639631</v>
      </c>
      <c r="O210">
        <v>30341981.981981985</v>
      </c>
      <c r="P210">
        <v>29302189.189189188</v>
      </c>
      <c r="Q210">
        <v>3187747.7477477472</v>
      </c>
      <c r="R210">
        <v>4109279.2792792781</v>
      </c>
      <c r="S210">
        <v>1887</v>
      </c>
      <c r="T210">
        <v>1702</v>
      </c>
    </row>
    <row r="211" spans="1:20" x14ac:dyDescent="0.35">
      <c r="A211" s="7" t="s">
        <v>307</v>
      </c>
      <c r="B211" s="12" t="s">
        <v>308</v>
      </c>
      <c r="C211">
        <v>87943960.817999214</v>
      </c>
      <c r="D211">
        <v>85673041.865051165</v>
      </c>
      <c r="E211">
        <v>271171.17117117101</v>
      </c>
      <c r="F211">
        <v>500000</v>
      </c>
      <c r="G211">
        <v>40</v>
      </c>
      <c r="H211">
        <v>35</v>
      </c>
      <c r="K211">
        <v>47</v>
      </c>
      <c r="L211">
        <v>41</v>
      </c>
      <c r="M211">
        <v>1239639.6396396391</v>
      </c>
      <c r="N211">
        <v>1837657.657657658</v>
      </c>
      <c r="O211">
        <v>47701792.79279279</v>
      </c>
      <c r="P211">
        <v>44807639.639639638</v>
      </c>
      <c r="Q211">
        <v>1253963.963963964</v>
      </c>
      <c r="R211">
        <v>1782612.6126126139</v>
      </c>
      <c r="S211">
        <v>4950</v>
      </c>
      <c r="T211">
        <v>4428</v>
      </c>
    </row>
    <row r="212" spans="1:20" x14ac:dyDescent="0.35">
      <c r="A212" s="7" t="s">
        <v>309</v>
      </c>
      <c r="B212" s="12" t="s">
        <v>141</v>
      </c>
      <c r="C212">
        <v>565394143.25121689</v>
      </c>
      <c r="D212">
        <v>593041440.60060954</v>
      </c>
      <c r="E212">
        <v>2767117.1171171232</v>
      </c>
      <c r="F212">
        <v>4543243.2432432482</v>
      </c>
      <c r="G212">
        <v>85</v>
      </c>
      <c r="H212">
        <v>56</v>
      </c>
      <c r="I212">
        <v>5</v>
      </c>
      <c r="K212">
        <v>100</v>
      </c>
      <c r="L212">
        <v>64</v>
      </c>
      <c r="M212">
        <v>101059909.9099099</v>
      </c>
      <c r="N212">
        <v>109693063.06306306</v>
      </c>
      <c r="O212">
        <v>125759067.56756757</v>
      </c>
      <c r="P212">
        <v>136212349.54954955</v>
      </c>
      <c r="Q212">
        <v>58006396.396396399</v>
      </c>
      <c r="R212">
        <v>64091621.621621616</v>
      </c>
      <c r="S212">
        <v>8267</v>
      </c>
      <c r="T212">
        <v>8179</v>
      </c>
    </row>
    <row r="213" spans="1:20" x14ac:dyDescent="0.35">
      <c r="A213" s="7" t="s">
        <v>310</v>
      </c>
      <c r="B213" s="12" t="s">
        <v>133</v>
      </c>
      <c r="C213">
        <v>564203504.31762362</v>
      </c>
      <c r="D213">
        <v>544507236.51151419</v>
      </c>
      <c r="E213">
        <v>68842067.567567572</v>
      </c>
      <c r="F213">
        <v>77445670.270270273</v>
      </c>
      <c r="G213">
        <v>146</v>
      </c>
      <c r="H213">
        <v>111</v>
      </c>
      <c r="K213">
        <v>165</v>
      </c>
      <c r="L213">
        <v>124</v>
      </c>
      <c r="M213">
        <v>35159009.009009011</v>
      </c>
      <c r="N213">
        <v>29974549.54954955</v>
      </c>
      <c r="O213">
        <v>151010540.54054055</v>
      </c>
      <c r="P213">
        <v>160299558.55855855</v>
      </c>
      <c r="Q213">
        <v>18584684.684684686</v>
      </c>
      <c r="R213">
        <v>16700135.135135137</v>
      </c>
      <c r="S213">
        <v>13022</v>
      </c>
      <c r="T213">
        <v>12153</v>
      </c>
    </row>
    <row r="214" spans="1:20" x14ac:dyDescent="0.35">
      <c r="A214" s="7" t="s">
        <v>311</v>
      </c>
      <c r="B214" s="12" t="s">
        <v>73</v>
      </c>
      <c r="C214">
        <v>906203025.89093316</v>
      </c>
      <c r="D214">
        <v>1026233048.8769971</v>
      </c>
      <c r="E214">
        <v>6729054.054054061</v>
      </c>
      <c r="F214">
        <v>6198198.1981982104</v>
      </c>
      <c r="G214">
        <v>211</v>
      </c>
      <c r="H214">
        <v>111</v>
      </c>
      <c r="I214">
        <v>3</v>
      </c>
      <c r="K214">
        <v>242</v>
      </c>
      <c r="L214">
        <v>125</v>
      </c>
      <c r="M214">
        <v>131389189.18918918</v>
      </c>
      <c r="N214">
        <v>159836936.93693691</v>
      </c>
      <c r="O214">
        <v>230384811.7117117</v>
      </c>
      <c r="P214">
        <v>334326780.18018013</v>
      </c>
      <c r="Q214">
        <v>114867700.90090092</v>
      </c>
      <c r="R214">
        <v>137517297.2972973</v>
      </c>
      <c r="S214">
        <v>17688</v>
      </c>
      <c r="T214">
        <v>16651</v>
      </c>
    </row>
    <row r="215" spans="1:20" x14ac:dyDescent="0.35">
      <c r="A215" s="7" t="s">
        <v>312</v>
      </c>
      <c r="B215" s="12" t="s">
        <v>63</v>
      </c>
      <c r="C215">
        <v>160393332.94582799</v>
      </c>
      <c r="D215">
        <v>157077609.38253519</v>
      </c>
      <c r="E215">
        <v>1725225.225225227</v>
      </c>
      <c r="F215">
        <v>2063963.963963964</v>
      </c>
      <c r="G215">
        <v>18</v>
      </c>
      <c r="H215">
        <v>14</v>
      </c>
      <c r="K215">
        <v>19</v>
      </c>
      <c r="L215">
        <v>16</v>
      </c>
      <c r="M215">
        <v>32876756.75675676</v>
      </c>
      <c r="N215">
        <v>33912612.612612613</v>
      </c>
      <c r="O215">
        <v>44348225.225225225</v>
      </c>
      <c r="P215">
        <v>45182504.504504502</v>
      </c>
      <c r="Q215">
        <v>28021981.981981985</v>
      </c>
      <c r="R215">
        <v>33074144.144144144</v>
      </c>
      <c r="S215">
        <v>2284</v>
      </c>
      <c r="T215">
        <v>2325</v>
      </c>
    </row>
    <row r="216" spans="1:20" x14ac:dyDescent="0.35">
      <c r="A216" s="7" t="s">
        <v>313</v>
      </c>
      <c r="B216" s="12" t="s">
        <v>90</v>
      </c>
      <c r="C216">
        <v>55208706.671479121</v>
      </c>
      <c r="D216">
        <v>58045746.336158723</v>
      </c>
      <c r="E216">
        <v>863963.96396396204</v>
      </c>
      <c r="F216">
        <v>3264864.8648648672</v>
      </c>
      <c r="G216">
        <v>13</v>
      </c>
      <c r="H216">
        <v>10</v>
      </c>
      <c r="I216">
        <v>1</v>
      </c>
      <c r="K216">
        <v>17</v>
      </c>
      <c r="L216">
        <v>11</v>
      </c>
      <c r="M216">
        <v>6172612.6126126125</v>
      </c>
      <c r="N216">
        <v>13178738.73873874</v>
      </c>
      <c r="O216">
        <v>18990477.477477476</v>
      </c>
      <c r="P216">
        <v>20586531.531531531</v>
      </c>
      <c r="Q216">
        <v>6220270.2702702712</v>
      </c>
      <c r="R216">
        <v>11967927.927927928</v>
      </c>
      <c r="S216">
        <v>1265</v>
      </c>
      <c r="T216">
        <v>1329</v>
      </c>
    </row>
    <row r="217" spans="1:20" x14ac:dyDescent="0.35">
      <c r="A217" s="7" t="s">
        <v>314</v>
      </c>
      <c r="B217" s="12" t="s">
        <v>93</v>
      </c>
      <c r="C217">
        <v>24348359.850773867</v>
      </c>
      <c r="D217">
        <v>19981287.741066925</v>
      </c>
      <c r="E217">
        <v>144144.144144144</v>
      </c>
      <c r="F217">
        <v>117117.117117117</v>
      </c>
      <c r="G217">
        <v>4</v>
      </c>
      <c r="H217">
        <v>5</v>
      </c>
      <c r="K217">
        <v>5</v>
      </c>
      <c r="L217">
        <v>5</v>
      </c>
      <c r="M217">
        <v>1360360.36036036</v>
      </c>
      <c r="N217">
        <v>2234242.3423423418</v>
      </c>
      <c r="O217">
        <v>1748288.2882882881</v>
      </c>
      <c r="P217">
        <v>2181432.4324324322</v>
      </c>
      <c r="Q217">
        <v>1361261.2612612611</v>
      </c>
      <c r="R217">
        <v>2153153.1531531531</v>
      </c>
      <c r="S217">
        <v>568</v>
      </c>
      <c r="T217">
        <v>284</v>
      </c>
    </row>
    <row r="218" spans="1:20" x14ac:dyDescent="0.35">
      <c r="A218" s="7" t="s">
        <v>315</v>
      </c>
      <c r="B218" s="12" t="s">
        <v>316</v>
      </c>
      <c r="C218">
        <v>185789271.42161351</v>
      </c>
      <c r="D218">
        <v>182639427.57256675</v>
      </c>
      <c r="E218">
        <v>782432.43243243196</v>
      </c>
      <c r="F218">
        <v>3136936.9369369401</v>
      </c>
      <c r="G218">
        <v>37</v>
      </c>
      <c r="H218">
        <v>39</v>
      </c>
      <c r="K218">
        <v>40</v>
      </c>
      <c r="L218">
        <v>45</v>
      </c>
      <c r="M218">
        <v>21994594.59459459</v>
      </c>
      <c r="N218">
        <v>39377477.477477469</v>
      </c>
      <c r="O218">
        <v>28914809.009009007</v>
      </c>
      <c r="P218">
        <v>31728801.801801801</v>
      </c>
      <c r="Q218">
        <v>21752252.252252251</v>
      </c>
      <c r="R218">
        <v>29187747.747747749</v>
      </c>
      <c r="S218">
        <v>3620</v>
      </c>
      <c r="T218">
        <v>3549</v>
      </c>
    </row>
    <row r="219" spans="1:20" x14ac:dyDescent="0.35">
      <c r="A219" s="7" t="s">
        <v>317</v>
      </c>
      <c r="B219" s="12" t="s">
        <v>63</v>
      </c>
      <c r="C219">
        <v>314826104.29750144</v>
      </c>
      <c r="D219">
        <v>337847816.84516811</v>
      </c>
      <c r="E219">
        <v>6394594.5945946006</v>
      </c>
      <c r="F219">
        <v>6675675.6756756818</v>
      </c>
      <c r="G219">
        <v>157</v>
      </c>
      <c r="H219">
        <v>87</v>
      </c>
      <c r="K219">
        <v>218</v>
      </c>
      <c r="L219">
        <v>175</v>
      </c>
      <c r="M219">
        <v>52152792.79279279</v>
      </c>
      <c r="N219">
        <v>65570349.54954955</v>
      </c>
      <c r="O219">
        <v>110508135.13513513</v>
      </c>
      <c r="P219">
        <v>122174772.97297297</v>
      </c>
      <c r="Q219">
        <v>49566126.126126118</v>
      </c>
      <c r="R219">
        <v>70770630.630630627</v>
      </c>
      <c r="S219">
        <v>8889</v>
      </c>
      <c r="T219">
        <v>9231</v>
      </c>
    </row>
    <row r="220" spans="1:20" x14ac:dyDescent="0.35">
      <c r="A220" s="7" t="s">
        <v>318</v>
      </c>
      <c r="B220" s="12" t="s">
        <v>63</v>
      </c>
      <c r="C220">
        <v>291246355.86720979</v>
      </c>
      <c r="D220">
        <v>319424667.05307907</v>
      </c>
      <c r="E220">
        <v>2222522.5225225249</v>
      </c>
      <c r="F220">
        <v>4508108.1081081107</v>
      </c>
      <c r="G220">
        <v>47</v>
      </c>
      <c r="H220">
        <v>13</v>
      </c>
      <c r="K220">
        <v>54</v>
      </c>
      <c r="L220">
        <v>23</v>
      </c>
      <c r="M220">
        <v>39173693.693693697</v>
      </c>
      <c r="N220">
        <v>57203423.423423424</v>
      </c>
      <c r="O220">
        <v>102095243.24324325</v>
      </c>
      <c r="P220">
        <v>113854216.21621622</v>
      </c>
      <c r="Q220">
        <v>39098828.828828834</v>
      </c>
      <c r="R220">
        <v>58086756.75675676</v>
      </c>
      <c r="S220">
        <v>5647</v>
      </c>
      <c r="T220">
        <v>5212</v>
      </c>
    </row>
    <row r="221" spans="1:20" x14ac:dyDescent="0.35">
      <c r="A221" s="7" t="s">
        <v>319</v>
      </c>
      <c r="B221" s="12" t="s">
        <v>79</v>
      </c>
      <c r="C221">
        <v>305833590.00866836</v>
      </c>
      <c r="D221">
        <v>309797114.11822373</v>
      </c>
      <c r="E221">
        <v>5981081.081081084</v>
      </c>
      <c r="F221">
        <v>7487387.3873873902</v>
      </c>
      <c r="G221">
        <v>124</v>
      </c>
      <c r="H221">
        <v>111</v>
      </c>
      <c r="I221">
        <v>2</v>
      </c>
      <c r="K221">
        <v>163</v>
      </c>
      <c r="L221">
        <v>125</v>
      </c>
      <c r="M221">
        <v>79579729.729729727</v>
      </c>
      <c r="N221">
        <v>86881981.981981978</v>
      </c>
      <c r="O221">
        <v>133279986.48648648</v>
      </c>
      <c r="P221">
        <v>135908863.06306306</v>
      </c>
      <c r="Q221">
        <v>78816396.396396399</v>
      </c>
      <c r="R221">
        <v>82619009.009009004</v>
      </c>
      <c r="S221">
        <v>8945</v>
      </c>
      <c r="T221">
        <v>8208</v>
      </c>
    </row>
    <row r="222" spans="1:20" x14ac:dyDescent="0.35">
      <c r="A222" s="7" t="s">
        <v>320</v>
      </c>
      <c r="B222" s="12" t="s">
        <v>79</v>
      </c>
      <c r="C222">
        <v>184469920.42470607</v>
      </c>
      <c r="D222">
        <v>184091345.48626238</v>
      </c>
      <c r="E222">
        <v>3544144.1441441448</v>
      </c>
      <c r="F222">
        <v>4081981.9819819839</v>
      </c>
      <c r="G222">
        <v>84</v>
      </c>
      <c r="H222">
        <v>71</v>
      </c>
      <c r="K222">
        <v>125</v>
      </c>
      <c r="L222">
        <v>115</v>
      </c>
      <c r="M222">
        <v>17427027.027027026</v>
      </c>
      <c r="N222">
        <v>20433333.333333336</v>
      </c>
      <c r="O222">
        <v>69502162.162162155</v>
      </c>
      <c r="P222">
        <v>73548360.360360354</v>
      </c>
      <c r="Q222">
        <v>15451171.171171172</v>
      </c>
      <c r="R222">
        <v>18854414.414414417</v>
      </c>
      <c r="S222">
        <v>5723</v>
      </c>
      <c r="T222">
        <v>5869</v>
      </c>
    </row>
    <row r="223" spans="1:20" x14ac:dyDescent="0.35">
      <c r="A223" s="7" t="s">
        <v>321</v>
      </c>
      <c r="B223" s="12" t="s">
        <v>122</v>
      </c>
      <c r="C223">
        <v>1407412.8550593951</v>
      </c>
      <c r="D223">
        <v>1116650.457284637</v>
      </c>
      <c r="H223">
        <v>2</v>
      </c>
      <c r="L223">
        <v>2</v>
      </c>
      <c r="O223">
        <v>120360.36036036001</v>
      </c>
      <c r="P223">
        <v>353108.10810810799</v>
      </c>
      <c r="S223">
        <v>64</v>
      </c>
      <c r="T223">
        <v>55</v>
      </c>
    </row>
    <row r="224" spans="1:20" x14ac:dyDescent="0.35">
      <c r="A224" s="7" t="s">
        <v>322</v>
      </c>
      <c r="B224" s="12" t="s">
        <v>225</v>
      </c>
      <c r="C224">
        <v>210550632.55062598</v>
      </c>
      <c r="D224">
        <v>215067265.21888486</v>
      </c>
      <c r="E224">
        <v>121746486.48648648</v>
      </c>
      <c r="F224">
        <v>186605405.4054054</v>
      </c>
      <c r="G224">
        <v>43</v>
      </c>
      <c r="H224">
        <v>30</v>
      </c>
      <c r="I224">
        <v>2</v>
      </c>
      <c r="K224">
        <v>48</v>
      </c>
      <c r="L224">
        <v>31</v>
      </c>
      <c r="M224">
        <v>12677882.882882884</v>
      </c>
      <c r="N224">
        <v>14477477.477477478</v>
      </c>
      <c r="O224">
        <v>86019845.045045033</v>
      </c>
      <c r="P224">
        <v>91706162.162162155</v>
      </c>
      <c r="Q224">
        <v>9671711.7117117122</v>
      </c>
      <c r="R224">
        <v>11041081.081081081</v>
      </c>
      <c r="S224">
        <v>4212</v>
      </c>
      <c r="T224">
        <v>3959</v>
      </c>
    </row>
    <row r="225" spans="1:20" x14ac:dyDescent="0.35">
      <c r="A225" s="7" t="s">
        <v>323</v>
      </c>
      <c r="B225" s="12" t="s">
        <v>225</v>
      </c>
      <c r="C225">
        <v>149876664.31856176</v>
      </c>
      <c r="D225">
        <v>161892802.49140045</v>
      </c>
      <c r="E225">
        <v>71171.171171171998</v>
      </c>
      <c r="F225">
        <v>70720.720720722995</v>
      </c>
      <c r="G225">
        <v>11</v>
      </c>
      <c r="H225">
        <v>32</v>
      </c>
      <c r="K225">
        <v>11</v>
      </c>
      <c r="L225">
        <v>45</v>
      </c>
      <c r="M225">
        <v>16129909.90990991</v>
      </c>
      <c r="N225">
        <v>16976126.126126125</v>
      </c>
      <c r="O225">
        <v>45813968.468468465</v>
      </c>
      <c r="P225">
        <v>49746126.126126125</v>
      </c>
      <c r="Q225">
        <v>11837387.387387386</v>
      </c>
      <c r="R225">
        <v>13175855.855855856</v>
      </c>
      <c r="S225">
        <v>2227</v>
      </c>
      <c r="T225">
        <v>2080</v>
      </c>
    </row>
    <row r="226" spans="1:20" x14ac:dyDescent="0.35">
      <c r="A226" s="7" t="s">
        <v>667</v>
      </c>
      <c r="B226" s="12" t="s">
        <v>95</v>
      </c>
      <c r="E226">
        <v>56734234.234234229</v>
      </c>
      <c r="F226">
        <v>64189189.189189196</v>
      </c>
      <c r="M226">
        <v>9918918.9189189207</v>
      </c>
      <c r="N226">
        <v>4909459.4594594594</v>
      </c>
    </row>
    <row r="227" spans="1:20" x14ac:dyDescent="0.35">
      <c r="A227" s="7" t="s">
        <v>324</v>
      </c>
      <c r="B227" s="12" t="s">
        <v>79</v>
      </c>
      <c r="C227">
        <v>230412325.0178335</v>
      </c>
      <c r="D227">
        <v>226711927.57270348</v>
      </c>
      <c r="E227">
        <v>1171171.1711711739</v>
      </c>
      <c r="F227">
        <v>2346846.8468468529</v>
      </c>
      <c r="G227">
        <v>98</v>
      </c>
      <c r="H227">
        <v>113</v>
      </c>
      <c r="I227">
        <v>2</v>
      </c>
      <c r="K227">
        <v>119</v>
      </c>
      <c r="L227">
        <v>137</v>
      </c>
      <c r="M227">
        <v>22441441.441441439</v>
      </c>
      <c r="N227">
        <v>30383783.783783782</v>
      </c>
      <c r="O227">
        <v>68659297.297297299</v>
      </c>
      <c r="P227">
        <v>68898378.378378376</v>
      </c>
      <c r="Q227">
        <v>22827477.477477476</v>
      </c>
      <c r="R227">
        <v>26536486.486486487</v>
      </c>
      <c r="S227">
        <v>4805</v>
      </c>
      <c r="T227">
        <v>4880</v>
      </c>
    </row>
    <row r="228" spans="1:20" x14ac:dyDescent="0.35">
      <c r="A228" s="7" t="s">
        <v>325</v>
      </c>
      <c r="B228" s="12" t="s">
        <v>109</v>
      </c>
      <c r="C228">
        <v>1499617693.8988342</v>
      </c>
      <c r="D228">
        <v>1537585359.4720736</v>
      </c>
      <c r="E228">
        <v>1825431879.2792795</v>
      </c>
      <c r="F228">
        <v>1342101455.8558559</v>
      </c>
      <c r="G228">
        <v>406</v>
      </c>
      <c r="H228">
        <v>463</v>
      </c>
      <c r="I228">
        <v>4</v>
      </c>
      <c r="K228">
        <v>612</v>
      </c>
      <c r="L228">
        <v>657</v>
      </c>
      <c r="M228">
        <v>575007657.65765762</v>
      </c>
      <c r="N228">
        <v>163865315.31531534</v>
      </c>
      <c r="O228">
        <v>724004954.95495498</v>
      </c>
      <c r="P228">
        <v>734366354.95495498</v>
      </c>
      <c r="Q228">
        <v>126443693.6936937</v>
      </c>
      <c r="R228">
        <v>147845585.58558559</v>
      </c>
      <c r="S228">
        <v>26151</v>
      </c>
      <c r="T228">
        <v>22988</v>
      </c>
    </row>
    <row r="229" spans="1:20" x14ac:dyDescent="0.35">
      <c r="A229" s="7" t="s">
        <v>326</v>
      </c>
      <c r="B229" s="12" t="s">
        <v>225</v>
      </c>
      <c r="C229">
        <v>213774621.9720127</v>
      </c>
      <c r="D229">
        <v>235952481.81793937</v>
      </c>
      <c r="E229">
        <v>649549.54954955005</v>
      </c>
      <c r="F229">
        <v>875675.67567567597</v>
      </c>
      <c r="G229">
        <v>35</v>
      </c>
      <c r="H229">
        <v>43</v>
      </c>
      <c r="K229">
        <v>36</v>
      </c>
      <c r="L229">
        <v>58</v>
      </c>
      <c r="M229">
        <v>18310450.450450446</v>
      </c>
      <c r="N229">
        <v>19983783.783783782</v>
      </c>
      <c r="O229">
        <v>45400207.20720721</v>
      </c>
      <c r="P229">
        <v>55315630.630630635</v>
      </c>
      <c r="Q229">
        <v>17783873.873873871</v>
      </c>
      <c r="R229">
        <v>20692432.432432432</v>
      </c>
      <c r="S229">
        <v>4373</v>
      </c>
      <c r="T229">
        <v>4570</v>
      </c>
    </row>
    <row r="230" spans="1:20" x14ac:dyDescent="0.35">
      <c r="A230" s="7" t="s">
        <v>4</v>
      </c>
      <c r="B230" s="12" t="s">
        <v>159</v>
      </c>
      <c r="C230">
        <v>184567398.27520788</v>
      </c>
      <c r="D230">
        <v>178574729.9071348</v>
      </c>
      <c r="E230">
        <v>2844144.1441441458</v>
      </c>
      <c r="F230">
        <v>6231981.9819819815</v>
      </c>
      <c r="G230">
        <v>16</v>
      </c>
      <c r="H230">
        <v>32</v>
      </c>
      <c r="I230">
        <v>1</v>
      </c>
      <c r="K230">
        <v>19</v>
      </c>
      <c r="L230">
        <v>40</v>
      </c>
      <c r="M230">
        <v>28870270.270270273</v>
      </c>
      <c r="N230">
        <v>70216216.216216221</v>
      </c>
      <c r="O230">
        <v>65391513.513513513</v>
      </c>
      <c r="P230">
        <v>66283846.846846849</v>
      </c>
      <c r="Q230">
        <v>35459099.0990991</v>
      </c>
      <c r="R230">
        <v>57598378.378378376</v>
      </c>
      <c r="S230">
        <v>3911</v>
      </c>
      <c r="T230">
        <v>3623</v>
      </c>
    </row>
    <row r="231" spans="1:20" x14ac:dyDescent="0.35">
      <c r="A231" s="7" t="s">
        <v>34</v>
      </c>
      <c r="B231" s="12" t="s">
        <v>194</v>
      </c>
      <c r="E231">
        <v>399893020.72072071</v>
      </c>
      <c r="F231">
        <v>426659641.44144148</v>
      </c>
      <c r="M231">
        <v>3130405.405405405</v>
      </c>
      <c r="N231">
        <v>1052477.4774774769</v>
      </c>
    </row>
    <row r="232" spans="1:20" x14ac:dyDescent="0.35">
      <c r="A232" s="7" t="s">
        <v>327</v>
      </c>
      <c r="B232" s="12" t="s">
        <v>109</v>
      </c>
      <c r="C232">
        <v>862442693.62216222</v>
      </c>
      <c r="D232">
        <v>879704354.2221812</v>
      </c>
      <c r="E232">
        <v>13649480.180180186</v>
      </c>
      <c r="F232">
        <v>72473574.77477479</v>
      </c>
      <c r="G232">
        <v>296</v>
      </c>
      <c r="H232">
        <v>313</v>
      </c>
      <c r="I232">
        <v>1</v>
      </c>
      <c r="K232">
        <v>689</v>
      </c>
      <c r="L232">
        <v>516</v>
      </c>
      <c r="M232">
        <v>574554075.67567563</v>
      </c>
      <c r="N232">
        <v>370366790.0900901</v>
      </c>
      <c r="O232">
        <v>267578804.05405405</v>
      </c>
      <c r="P232">
        <v>270594891.8918919</v>
      </c>
      <c r="Q232">
        <v>113995585.58558558</v>
      </c>
      <c r="R232">
        <v>315103063.06306303</v>
      </c>
      <c r="S232">
        <v>21575</v>
      </c>
      <c r="T232">
        <v>20382</v>
      </c>
    </row>
    <row r="233" spans="1:20" x14ac:dyDescent="0.35">
      <c r="A233" s="7" t="s">
        <v>328</v>
      </c>
      <c r="B233" s="12" t="s">
        <v>79</v>
      </c>
      <c r="C233">
        <v>91249085.440566465</v>
      </c>
      <c r="D233">
        <v>88532631.099319711</v>
      </c>
      <c r="E233">
        <v>570270.27027027204</v>
      </c>
      <c r="F233">
        <v>889189.18918918795</v>
      </c>
      <c r="G233">
        <v>28</v>
      </c>
      <c r="H233">
        <v>32</v>
      </c>
      <c r="K233">
        <v>30</v>
      </c>
      <c r="L233">
        <v>34</v>
      </c>
      <c r="M233">
        <v>8137837.8378378367</v>
      </c>
      <c r="N233">
        <v>8998198.1981981993</v>
      </c>
      <c r="O233">
        <v>28822927.927927926</v>
      </c>
      <c r="P233">
        <v>30807792.792792793</v>
      </c>
      <c r="Q233">
        <v>7830000.0000000009</v>
      </c>
      <c r="R233">
        <v>9222792.7927927915</v>
      </c>
      <c r="S233">
        <v>2131</v>
      </c>
      <c r="T233">
        <v>1498</v>
      </c>
    </row>
    <row r="234" spans="1:20" x14ac:dyDescent="0.35">
      <c r="A234" s="7" t="s">
        <v>329</v>
      </c>
      <c r="B234" s="12" t="s">
        <v>122</v>
      </c>
      <c r="C234">
        <v>233008913.92964658</v>
      </c>
      <c r="D234">
        <v>221114287.18199098</v>
      </c>
      <c r="E234">
        <v>6493468.4684684677</v>
      </c>
      <c r="F234">
        <v>27590090.090090096</v>
      </c>
      <c r="G234">
        <v>75</v>
      </c>
      <c r="H234">
        <v>82</v>
      </c>
      <c r="I234">
        <v>9</v>
      </c>
      <c r="K234">
        <v>80</v>
      </c>
      <c r="L234">
        <v>88</v>
      </c>
      <c r="M234">
        <v>20708108.108108107</v>
      </c>
      <c r="N234">
        <v>15968468.468468472</v>
      </c>
      <c r="O234">
        <v>36599753.153153151</v>
      </c>
      <c r="P234">
        <v>40122360.360360362</v>
      </c>
      <c r="Q234">
        <v>15444684.684684685</v>
      </c>
      <c r="R234">
        <v>13834594.594594592</v>
      </c>
      <c r="S234">
        <v>10989</v>
      </c>
      <c r="T234">
        <v>3632</v>
      </c>
    </row>
    <row r="235" spans="1:20" x14ac:dyDescent="0.35">
      <c r="A235" s="7" t="s">
        <v>330</v>
      </c>
      <c r="B235" s="12" t="s">
        <v>331</v>
      </c>
      <c r="C235">
        <v>561888734.59598446</v>
      </c>
      <c r="D235">
        <v>543301910.73682261</v>
      </c>
      <c r="E235">
        <v>9228153.1531531569</v>
      </c>
      <c r="F235">
        <v>820956036.03603613</v>
      </c>
      <c r="G235">
        <v>215</v>
      </c>
      <c r="H235">
        <v>257</v>
      </c>
      <c r="I235">
        <v>25</v>
      </c>
      <c r="K235">
        <v>350</v>
      </c>
      <c r="L235">
        <v>321</v>
      </c>
      <c r="M235">
        <v>85981306.306306303</v>
      </c>
      <c r="N235">
        <v>102728873.87387387</v>
      </c>
      <c r="O235">
        <v>132079443.6936937</v>
      </c>
      <c r="P235">
        <v>126367007.2072072</v>
      </c>
      <c r="Q235">
        <v>79878828.828828827</v>
      </c>
      <c r="R235">
        <v>106225315.31531531</v>
      </c>
      <c r="S235">
        <v>16237</v>
      </c>
      <c r="T235">
        <v>13552</v>
      </c>
    </row>
    <row r="236" spans="1:20" x14ac:dyDescent="0.35">
      <c r="A236" s="7" t="s">
        <v>332</v>
      </c>
      <c r="B236" s="12" t="s">
        <v>291</v>
      </c>
      <c r="C236">
        <v>827426783.00578952</v>
      </c>
      <c r="D236">
        <v>832428076.27531755</v>
      </c>
      <c r="E236">
        <v>4297747.74774775</v>
      </c>
      <c r="F236">
        <v>4077027.0270270412</v>
      </c>
      <c r="G236">
        <v>321</v>
      </c>
      <c r="H236">
        <v>337</v>
      </c>
      <c r="K236">
        <v>405</v>
      </c>
      <c r="L236">
        <v>382</v>
      </c>
      <c r="M236">
        <v>88948648.648648635</v>
      </c>
      <c r="N236">
        <v>82590540.540540546</v>
      </c>
      <c r="O236">
        <v>150206547.74774775</v>
      </c>
      <c r="P236">
        <v>156041809.00900903</v>
      </c>
      <c r="Q236">
        <v>76614774.77477479</v>
      </c>
      <c r="R236">
        <v>90722522.522522524</v>
      </c>
      <c r="S236">
        <v>18040</v>
      </c>
      <c r="T236">
        <v>16984</v>
      </c>
    </row>
    <row r="237" spans="1:20" x14ac:dyDescent="0.35">
      <c r="A237" s="7" t="s">
        <v>333</v>
      </c>
      <c r="B237" s="12" t="s">
        <v>291</v>
      </c>
      <c r="C237">
        <v>629288431.76989341</v>
      </c>
      <c r="D237">
        <v>648666602.56357503</v>
      </c>
      <c r="E237">
        <v>6418018.0180180278</v>
      </c>
      <c r="F237">
        <v>5605405.4054054124</v>
      </c>
      <c r="G237">
        <v>169</v>
      </c>
      <c r="H237">
        <v>219</v>
      </c>
      <c r="I237">
        <v>2</v>
      </c>
      <c r="K237">
        <v>199</v>
      </c>
      <c r="L237">
        <v>357</v>
      </c>
      <c r="M237">
        <v>85432432.432432428</v>
      </c>
      <c r="N237">
        <v>95769819.819819823</v>
      </c>
      <c r="O237">
        <v>169880747.74774775</v>
      </c>
      <c r="P237">
        <v>180661953.15315315</v>
      </c>
      <c r="Q237">
        <v>87714234.234234244</v>
      </c>
      <c r="R237">
        <v>146960720.72072074</v>
      </c>
      <c r="S237">
        <v>15700</v>
      </c>
      <c r="T237">
        <v>14864</v>
      </c>
    </row>
    <row r="238" spans="1:20" x14ac:dyDescent="0.35">
      <c r="A238" s="7" t="s">
        <v>334</v>
      </c>
      <c r="B238" s="12" t="s">
        <v>61</v>
      </c>
      <c r="C238">
        <v>86493250.855061889</v>
      </c>
      <c r="D238">
        <v>87916618.734902933</v>
      </c>
      <c r="E238">
        <v>2383783.783783786</v>
      </c>
      <c r="F238">
        <v>1976576.5765765761</v>
      </c>
      <c r="G238">
        <v>90</v>
      </c>
      <c r="H238">
        <v>41</v>
      </c>
      <c r="I238">
        <v>2</v>
      </c>
      <c r="K238">
        <v>128</v>
      </c>
      <c r="L238">
        <v>65</v>
      </c>
      <c r="M238">
        <v>34127927.927927926</v>
      </c>
      <c r="N238">
        <v>7517117.1171171181</v>
      </c>
      <c r="O238">
        <v>30426198.198198199</v>
      </c>
      <c r="P238">
        <v>30195963.963963963</v>
      </c>
      <c r="Q238">
        <v>31584234.234234232</v>
      </c>
      <c r="R238">
        <v>5782612.6126126116</v>
      </c>
      <c r="S238">
        <v>2127</v>
      </c>
      <c r="T238">
        <v>2735</v>
      </c>
    </row>
    <row r="239" spans="1:20" x14ac:dyDescent="0.35">
      <c r="A239" s="7" t="s">
        <v>335</v>
      </c>
      <c r="B239" s="12" t="s">
        <v>61</v>
      </c>
      <c r="C239">
        <v>17070646.360135149</v>
      </c>
      <c r="D239">
        <v>19737502.636195499</v>
      </c>
      <c r="E239">
        <v>243243.24324324299</v>
      </c>
      <c r="F239">
        <v>490090.09009009099</v>
      </c>
      <c r="G239">
        <v>5</v>
      </c>
      <c r="H239">
        <v>11</v>
      </c>
      <c r="K239">
        <v>6</v>
      </c>
      <c r="L239">
        <v>12</v>
      </c>
      <c r="M239">
        <v>631981.98198198201</v>
      </c>
      <c r="N239">
        <v>938738.73873873998</v>
      </c>
      <c r="O239">
        <v>9546216.2162162159</v>
      </c>
      <c r="P239">
        <v>9977045.0450450443</v>
      </c>
      <c r="Q239">
        <v>850720.72072072094</v>
      </c>
      <c r="R239">
        <v>999459.45945945894</v>
      </c>
      <c r="S239">
        <v>986</v>
      </c>
      <c r="T239">
        <v>1093</v>
      </c>
    </row>
    <row r="240" spans="1:20" x14ac:dyDescent="0.35">
      <c r="A240" s="7" t="s">
        <v>336</v>
      </c>
      <c r="B240" s="12" t="s">
        <v>122</v>
      </c>
      <c r="C240">
        <v>1823429.9108390179</v>
      </c>
      <c r="D240">
        <v>2292869.273260152</v>
      </c>
      <c r="L240">
        <v>1</v>
      </c>
      <c r="O240">
        <v>97747.747747747999</v>
      </c>
      <c r="P240">
        <v>529504.50450450496</v>
      </c>
      <c r="S240">
        <v>161</v>
      </c>
      <c r="T240">
        <v>168</v>
      </c>
    </row>
    <row r="241" spans="1:20" x14ac:dyDescent="0.35">
      <c r="A241" s="7" t="s">
        <v>337</v>
      </c>
      <c r="B241" s="12" t="s">
        <v>122</v>
      </c>
      <c r="C241">
        <v>3037514.2056785668</v>
      </c>
      <c r="D241">
        <v>3204743.0287594632</v>
      </c>
      <c r="G241">
        <v>2</v>
      </c>
      <c r="H241">
        <v>2</v>
      </c>
      <c r="K241">
        <v>2</v>
      </c>
      <c r="L241">
        <v>2</v>
      </c>
      <c r="O241">
        <v>567612.61261261301</v>
      </c>
      <c r="P241">
        <v>1109594.594594595</v>
      </c>
      <c r="S241">
        <v>95</v>
      </c>
      <c r="T241">
        <v>179</v>
      </c>
    </row>
    <row r="242" spans="1:20" x14ac:dyDescent="0.35">
      <c r="A242" s="7" t="s">
        <v>338</v>
      </c>
      <c r="B242" s="12" t="s">
        <v>122</v>
      </c>
      <c r="C242">
        <v>2424756.1853102152</v>
      </c>
      <c r="D242">
        <v>2620329.6841056128</v>
      </c>
      <c r="E242">
        <v>73906821.621621609</v>
      </c>
      <c r="F242">
        <v>74956786.48648648</v>
      </c>
      <c r="G242">
        <v>1</v>
      </c>
      <c r="K242">
        <v>1</v>
      </c>
      <c r="M242">
        <v>17668594.594594598</v>
      </c>
      <c r="N242">
        <v>935135.13513513503</v>
      </c>
      <c r="O242">
        <v>29504.504504504999</v>
      </c>
      <c r="P242">
        <v>325450.45045045001</v>
      </c>
      <c r="S242">
        <v>147</v>
      </c>
      <c r="T242">
        <v>123</v>
      </c>
    </row>
    <row r="243" spans="1:20" x14ac:dyDescent="0.35">
      <c r="A243" s="7" t="s">
        <v>339</v>
      </c>
      <c r="B243" s="12" t="s">
        <v>141</v>
      </c>
      <c r="C243">
        <v>948485734.19588554</v>
      </c>
      <c r="D243">
        <v>965011358.89806783</v>
      </c>
      <c r="E243">
        <v>4157657.6576576629</v>
      </c>
      <c r="F243">
        <v>4323423.423423429</v>
      </c>
      <c r="G243">
        <v>301</v>
      </c>
      <c r="H243">
        <v>148</v>
      </c>
      <c r="I243">
        <v>1</v>
      </c>
      <c r="K243">
        <v>341</v>
      </c>
      <c r="L243">
        <v>230</v>
      </c>
      <c r="M243">
        <v>90661081.081081092</v>
      </c>
      <c r="N243">
        <v>105400368.46846846</v>
      </c>
      <c r="O243">
        <v>190681331.53153151</v>
      </c>
      <c r="P243">
        <v>217911147.74774775</v>
      </c>
      <c r="Q243">
        <v>83237747.747747749</v>
      </c>
      <c r="R243">
        <v>89755045.045045033</v>
      </c>
      <c r="S243">
        <v>16340</v>
      </c>
      <c r="T243">
        <v>16137</v>
      </c>
    </row>
    <row r="244" spans="1:20" x14ac:dyDescent="0.35">
      <c r="A244" s="7" t="s">
        <v>340</v>
      </c>
      <c r="B244" s="12" t="s">
        <v>122</v>
      </c>
      <c r="C244">
        <v>143588792.79047769</v>
      </c>
      <c r="D244">
        <v>142064653.97086403</v>
      </c>
      <c r="G244">
        <v>46</v>
      </c>
      <c r="H244">
        <v>54</v>
      </c>
      <c r="K244">
        <v>48</v>
      </c>
      <c r="L244">
        <v>59</v>
      </c>
      <c r="O244">
        <v>9271981.9819819815</v>
      </c>
      <c r="P244">
        <v>10564079.279279279</v>
      </c>
      <c r="S244">
        <v>2379</v>
      </c>
      <c r="T244">
        <v>2374</v>
      </c>
    </row>
    <row r="245" spans="1:20" x14ac:dyDescent="0.35">
      <c r="A245" s="7" t="s">
        <v>341</v>
      </c>
      <c r="B245" s="12" t="s">
        <v>141</v>
      </c>
      <c r="C245">
        <v>501080629.31366456</v>
      </c>
      <c r="D245">
        <v>528658637.85928911</v>
      </c>
      <c r="E245">
        <v>2829279.2792792819</v>
      </c>
      <c r="F245">
        <v>2789189.189189191</v>
      </c>
      <c r="G245">
        <v>97</v>
      </c>
      <c r="H245">
        <v>62</v>
      </c>
      <c r="I245">
        <v>4</v>
      </c>
      <c r="K245">
        <v>131</v>
      </c>
      <c r="L245">
        <v>90</v>
      </c>
      <c r="M245">
        <v>83565045.045045063</v>
      </c>
      <c r="N245">
        <v>99376081.081081092</v>
      </c>
      <c r="O245">
        <v>150567261.7117117</v>
      </c>
      <c r="P245">
        <v>160719702.70270273</v>
      </c>
      <c r="Q245">
        <v>81005405.405405402</v>
      </c>
      <c r="R245">
        <v>85227612.612612605</v>
      </c>
      <c r="S245">
        <v>8971</v>
      </c>
      <c r="T245">
        <v>9237</v>
      </c>
    </row>
    <row r="246" spans="1:20" x14ac:dyDescent="0.35">
      <c r="A246" s="7" t="s">
        <v>342</v>
      </c>
      <c r="B246" s="12" t="s">
        <v>135</v>
      </c>
      <c r="C246">
        <v>56642658.509081677</v>
      </c>
      <c r="D246">
        <v>51116718.921444386</v>
      </c>
      <c r="E246">
        <v>295318565.76576579</v>
      </c>
      <c r="F246">
        <v>336855270.27027029</v>
      </c>
      <c r="G246">
        <v>13</v>
      </c>
      <c r="H246">
        <v>12</v>
      </c>
      <c r="I246">
        <v>1</v>
      </c>
      <c r="K246">
        <v>13</v>
      </c>
      <c r="L246">
        <v>15</v>
      </c>
      <c r="M246">
        <v>48882882.882882878</v>
      </c>
      <c r="N246">
        <v>45382627.927927926</v>
      </c>
      <c r="O246">
        <v>5362171.1711711716</v>
      </c>
      <c r="P246">
        <v>6090324.3243243247</v>
      </c>
      <c r="Q246">
        <v>1369279.2792792791</v>
      </c>
      <c r="R246">
        <v>967747.74774774804</v>
      </c>
      <c r="S246">
        <v>1330</v>
      </c>
      <c r="T246">
        <v>1269</v>
      </c>
    </row>
    <row r="247" spans="1:20" x14ac:dyDescent="0.35">
      <c r="A247" s="7" t="s">
        <v>343</v>
      </c>
      <c r="B247" s="12" t="s">
        <v>122</v>
      </c>
      <c r="C247">
        <v>2400431.816073426</v>
      </c>
      <c r="D247">
        <v>3338926.7810810371</v>
      </c>
      <c r="G247">
        <v>10</v>
      </c>
      <c r="H247">
        <v>3</v>
      </c>
      <c r="K247">
        <v>13</v>
      </c>
      <c r="L247">
        <v>4</v>
      </c>
      <c r="O247">
        <v>1024729.7297297301</v>
      </c>
      <c r="P247">
        <v>2223513.5135135138</v>
      </c>
      <c r="S247">
        <v>393</v>
      </c>
      <c r="T247">
        <v>374</v>
      </c>
    </row>
    <row r="248" spans="1:20" x14ac:dyDescent="0.35">
      <c r="A248" s="7" t="s">
        <v>5</v>
      </c>
      <c r="B248" s="12" t="s">
        <v>159</v>
      </c>
      <c r="C248">
        <v>195913238.50726125</v>
      </c>
      <c r="D248">
        <v>199783278.77828631</v>
      </c>
      <c r="E248">
        <v>1052252.252252253</v>
      </c>
      <c r="F248">
        <v>139639.63963963999</v>
      </c>
      <c r="G248">
        <v>34</v>
      </c>
      <c r="H248">
        <v>22</v>
      </c>
      <c r="I248">
        <v>1</v>
      </c>
      <c r="K248">
        <v>34</v>
      </c>
      <c r="L248">
        <v>26</v>
      </c>
      <c r="M248">
        <v>14059459.459459459</v>
      </c>
      <c r="N248">
        <v>17772972.97297297</v>
      </c>
      <c r="O248">
        <v>83734990.990990996</v>
      </c>
      <c r="P248">
        <v>84117351.351351365</v>
      </c>
      <c r="Q248">
        <v>12987837.837837836</v>
      </c>
      <c r="R248">
        <v>16177477.477477478</v>
      </c>
      <c r="S248">
        <v>3185</v>
      </c>
      <c r="T248">
        <v>2876</v>
      </c>
    </row>
    <row r="249" spans="1:20" x14ac:dyDescent="0.35">
      <c r="A249" s="7" t="s">
        <v>344</v>
      </c>
      <c r="B249" s="12" t="s">
        <v>305</v>
      </c>
      <c r="C249">
        <v>19408474.512296919</v>
      </c>
      <c r="D249">
        <v>31487188.478060357</v>
      </c>
      <c r="E249">
        <v>900900.90090090095</v>
      </c>
      <c r="F249">
        <v>360360.36036036001</v>
      </c>
      <c r="G249">
        <v>15</v>
      </c>
      <c r="H249">
        <v>49</v>
      </c>
      <c r="K249">
        <v>20</v>
      </c>
      <c r="L249">
        <v>60</v>
      </c>
      <c r="M249">
        <v>1351351.351351351</v>
      </c>
      <c r="N249">
        <v>360360.36036036001</v>
      </c>
      <c r="O249">
        <v>3340729.7297297302</v>
      </c>
      <c r="P249">
        <v>6332520.7207207214</v>
      </c>
      <c r="Q249">
        <v>294954.95495495503</v>
      </c>
      <c r="R249">
        <v>395495.49549549498</v>
      </c>
      <c r="S249">
        <v>607</v>
      </c>
      <c r="T249">
        <v>539</v>
      </c>
    </row>
    <row r="250" spans="1:20" x14ac:dyDescent="0.35">
      <c r="A250" s="7" t="s">
        <v>345</v>
      </c>
      <c r="B250" s="12" t="s">
        <v>106</v>
      </c>
      <c r="C250">
        <v>395322151.84705287</v>
      </c>
      <c r="D250">
        <v>411703602.77094227</v>
      </c>
      <c r="E250">
        <v>2701351.3513513529</v>
      </c>
      <c r="F250">
        <v>1960360.3603603621</v>
      </c>
      <c r="G250">
        <v>89</v>
      </c>
      <c r="H250">
        <v>102</v>
      </c>
      <c r="K250">
        <v>112</v>
      </c>
      <c r="L250">
        <v>111</v>
      </c>
      <c r="M250">
        <v>57920000</v>
      </c>
      <c r="N250">
        <v>114179954.95495497</v>
      </c>
      <c r="O250">
        <v>97997054.054054052</v>
      </c>
      <c r="P250">
        <v>105965162.16216215</v>
      </c>
      <c r="Q250">
        <v>51492792.79279279</v>
      </c>
      <c r="R250">
        <v>111561576.57657658</v>
      </c>
      <c r="S250">
        <v>5947</v>
      </c>
      <c r="T250">
        <v>5809</v>
      </c>
    </row>
    <row r="251" spans="1:20" x14ac:dyDescent="0.35">
      <c r="A251" s="7" t="s">
        <v>346</v>
      </c>
      <c r="B251" s="12" t="s">
        <v>88</v>
      </c>
      <c r="C251">
        <v>116315106.48653835</v>
      </c>
      <c r="D251">
        <v>117504781.56542829</v>
      </c>
      <c r="E251">
        <v>932432.43243243103</v>
      </c>
      <c r="F251">
        <v>928828.82882882899</v>
      </c>
      <c r="G251">
        <v>52</v>
      </c>
      <c r="H251">
        <v>55</v>
      </c>
      <c r="K251">
        <v>56</v>
      </c>
      <c r="L251">
        <v>62</v>
      </c>
      <c r="M251">
        <v>32737837.837837841</v>
      </c>
      <c r="N251">
        <v>31298198.198198199</v>
      </c>
      <c r="O251">
        <v>31194118.018018015</v>
      </c>
      <c r="P251">
        <v>36322727.927927926</v>
      </c>
      <c r="Q251">
        <v>24533509.909909911</v>
      </c>
      <c r="R251">
        <v>21000540.540540539</v>
      </c>
      <c r="S251">
        <v>2439</v>
      </c>
      <c r="T251">
        <v>2273</v>
      </c>
    </row>
    <row r="252" spans="1:20" x14ac:dyDescent="0.35">
      <c r="A252" s="7" t="s">
        <v>347</v>
      </c>
      <c r="B252" s="12" t="s">
        <v>88</v>
      </c>
      <c r="C252">
        <v>335746912.90059823</v>
      </c>
      <c r="D252">
        <v>309783685.36411613</v>
      </c>
      <c r="E252">
        <v>3688288.2882882911</v>
      </c>
      <c r="F252">
        <v>1936936.9369369431</v>
      </c>
      <c r="G252">
        <v>190</v>
      </c>
      <c r="H252">
        <v>195</v>
      </c>
      <c r="I252">
        <v>4</v>
      </c>
      <c r="K252">
        <v>233</v>
      </c>
      <c r="L252">
        <v>249</v>
      </c>
      <c r="M252">
        <v>29141441.441441443</v>
      </c>
      <c r="N252">
        <v>33990990.990990989</v>
      </c>
      <c r="O252">
        <v>54534592.79279279</v>
      </c>
      <c r="P252">
        <v>61208630.630630635</v>
      </c>
      <c r="Q252">
        <v>23003783.783783782</v>
      </c>
      <c r="R252">
        <v>28116756.75675676</v>
      </c>
      <c r="S252">
        <v>6813</v>
      </c>
      <c r="T252">
        <v>6461</v>
      </c>
    </row>
    <row r="253" spans="1:20" x14ac:dyDescent="0.35">
      <c r="A253" s="7" t="s">
        <v>348</v>
      </c>
      <c r="B253" s="12" t="s">
        <v>88</v>
      </c>
      <c r="C253">
        <v>9843986.3902242798</v>
      </c>
      <c r="D253">
        <v>10182222.11955834</v>
      </c>
      <c r="G253">
        <v>18</v>
      </c>
      <c r="H253">
        <v>8</v>
      </c>
      <c r="K253">
        <v>18</v>
      </c>
      <c r="L253">
        <v>8</v>
      </c>
      <c r="O253">
        <v>4174135.1351351351</v>
      </c>
      <c r="P253">
        <v>5611216.2162162168</v>
      </c>
      <c r="S253">
        <v>839</v>
      </c>
      <c r="T253">
        <v>862</v>
      </c>
    </row>
    <row r="254" spans="1:20" x14ac:dyDescent="0.35">
      <c r="A254" s="7" t="s">
        <v>349</v>
      </c>
      <c r="B254" s="12" t="s">
        <v>88</v>
      </c>
      <c r="C254">
        <v>4463939.7820748184</v>
      </c>
      <c r="D254">
        <v>3666146.1810972379</v>
      </c>
      <c r="G254">
        <v>3</v>
      </c>
      <c r="K254">
        <v>3</v>
      </c>
      <c r="O254">
        <v>1640810.8108108109</v>
      </c>
      <c r="P254">
        <v>1255585.585585586</v>
      </c>
      <c r="S254">
        <v>193</v>
      </c>
      <c r="T254">
        <v>229</v>
      </c>
    </row>
    <row r="255" spans="1:20" x14ac:dyDescent="0.35">
      <c r="A255" s="7" t="s">
        <v>350</v>
      </c>
      <c r="B255" s="12" t="s">
        <v>88</v>
      </c>
      <c r="C255">
        <v>3681052.3353987611</v>
      </c>
      <c r="D255">
        <v>1906921.1960069281</v>
      </c>
      <c r="G255">
        <v>6</v>
      </c>
      <c r="H255">
        <v>5</v>
      </c>
      <c r="K255">
        <v>10</v>
      </c>
      <c r="L255">
        <v>9</v>
      </c>
      <c r="O255">
        <v>2160054.054054054</v>
      </c>
      <c r="P255">
        <v>1220540.5405405399</v>
      </c>
      <c r="S255">
        <v>630</v>
      </c>
      <c r="T255">
        <v>443</v>
      </c>
    </row>
    <row r="256" spans="1:20" x14ac:dyDescent="0.35">
      <c r="A256" s="7" t="s">
        <v>351</v>
      </c>
      <c r="B256" s="12" t="s">
        <v>88</v>
      </c>
      <c r="C256">
        <v>108254552.35826968</v>
      </c>
      <c r="D256">
        <v>109117756.13145164</v>
      </c>
      <c r="E256">
        <v>173873.87387387501</v>
      </c>
      <c r="F256">
        <v>678378.37837838102</v>
      </c>
      <c r="G256">
        <v>87</v>
      </c>
      <c r="H256">
        <v>53</v>
      </c>
      <c r="I256">
        <v>1</v>
      </c>
      <c r="K256">
        <v>93</v>
      </c>
      <c r="L256">
        <v>63</v>
      </c>
      <c r="M256">
        <v>7988288.2882882878</v>
      </c>
      <c r="N256">
        <v>13191891.891891891</v>
      </c>
      <c r="O256">
        <v>20238130.630630631</v>
      </c>
      <c r="P256">
        <v>25932099.0990991</v>
      </c>
      <c r="Q256">
        <v>6204504.5045045028</v>
      </c>
      <c r="R256">
        <v>10617657.657657661</v>
      </c>
      <c r="S256">
        <v>2055</v>
      </c>
      <c r="T256">
        <v>2018</v>
      </c>
    </row>
    <row r="257" spans="1:20" x14ac:dyDescent="0.35">
      <c r="A257" s="7" t="s">
        <v>352</v>
      </c>
      <c r="B257" s="12" t="s">
        <v>51</v>
      </c>
      <c r="C257">
        <v>288635501.45742935</v>
      </c>
      <c r="D257">
        <v>269962492.03753024</v>
      </c>
      <c r="E257">
        <v>1073937910.8108108</v>
      </c>
      <c r="F257">
        <v>825279912.61261261</v>
      </c>
      <c r="G257">
        <v>73</v>
      </c>
      <c r="H257">
        <v>119</v>
      </c>
      <c r="K257">
        <v>79</v>
      </c>
      <c r="L257">
        <v>146</v>
      </c>
      <c r="M257">
        <v>143527387.38738739</v>
      </c>
      <c r="N257">
        <v>155967027.02702704</v>
      </c>
      <c r="O257">
        <v>112876959.45945945</v>
      </c>
      <c r="P257">
        <v>112189693.6936937</v>
      </c>
      <c r="Q257">
        <v>43027207.20720721</v>
      </c>
      <c r="R257">
        <v>46905450.45045045</v>
      </c>
      <c r="S257">
        <v>5436</v>
      </c>
      <c r="T257">
        <v>4806</v>
      </c>
    </row>
    <row r="258" spans="1:20" x14ac:dyDescent="0.35">
      <c r="A258" s="7" t="s">
        <v>353</v>
      </c>
      <c r="B258" s="12" t="s">
        <v>124</v>
      </c>
      <c r="C258">
        <v>1730862.4131502931</v>
      </c>
      <c r="D258">
        <v>2935849.5361408368</v>
      </c>
      <c r="G258">
        <v>1</v>
      </c>
      <c r="H258">
        <v>1</v>
      </c>
      <c r="K258">
        <v>1</v>
      </c>
      <c r="L258">
        <v>1</v>
      </c>
      <c r="O258">
        <v>580495.49549549504</v>
      </c>
      <c r="P258">
        <v>846117.11711711704</v>
      </c>
      <c r="S258">
        <v>109</v>
      </c>
      <c r="T258">
        <v>116</v>
      </c>
    </row>
    <row r="259" spans="1:20" x14ac:dyDescent="0.35">
      <c r="A259" s="7" t="s">
        <v>354</v>
      </c>
      <c r="B259" s="12" t="s">
        <v>355</v>
      </c>
      <c r="C259">
        <v>501990363.65399593</v>
      </c>
      <c r="D259">
        <v>528221850.80923438</v>
      </c>
      <c r="E259">
        <v>396973469.36936933</v>
      </c>
      <c r="F259">
        <v>431000743.24324328</v>
      </c>
      <c r="G259">
        <v>392</v>
      </c>
      <c r="H259">
        <v>452</v>
      </c>
      <c r="I259">
        <v>1</v>
      </c>
      <c r="K259">
        <v>474</v>
      </c>
      <c r="L259">
        <v>468</v>
      </c>
      <c r="M259">
        <v>291022522.52252251</v>
      </c>
      <c r="N259">
        <v>295273262.16216218</v>
      </c>
      <c r="O259">
        <v>299334855.85585588</v>
      </c>
      <c r="P259">
        <v>316516261.26126122</v>
      </c>
      <c r="Q259">
        <v>294826216.21621621</v>
      </c>
      <c r="R259">
        <v>261440900.9009009</v>
      </c>
      <c r="S259">
        <v>9385</v>
      </c>
      <c r="T259">
        <v>9946</v>
      </c>
    </row>
    <row r="260" spans="1:20" x14ac:dyDescent="0.35">
      <c r="A260" s="7" t="s">
        <v>356</v>
      </c>
      <c r="B260" s="12" t="s">
        <v>49</v>
      </c>
      <c r="C260">
        <v>348228536.04917991</v>
      </c>
      <c r="D260">
        <v>388749487.73732907</v>
      </c>
      <c r="E260">
        <v>931531.53153153195</v>
      </c>
      <c r="F260">
        <v>436936.93693693797</v>
      </c>
      <c r="G260">
        <v>32</v>
      </c>
      <c r="H260">
        <v>11</v>
      </c>
      <c r="K260">
        <v>33</v>
      </c>
      <c r="L260">
        <v>14</v>
      </c>
      <c r="M260">
        <v>2163963.9639639631</v>
      </c>
      <c r="N260">
        <v>582882.88288288505</v>
      </c>
      <c r="O260">
        <v>26775657.657657657</v>
      </c>
      <c r="P260">
        <v>31691441.441441439</v>
      </c>
      <c r="Q260">
        <v>2121081.0810810798</v>
      </c>
      <c r="R260">
        <v>838558.55855856102</v>
      </c>
      <c r="S260">
        <v>5840</v>
      </c>
      <c r="T260">
        <v>5708</v>
      </c>
    </row>
    <row r="261" spans="1:20" x14ac:dyDescent="0.35">
      <c r="A261" s="7" t="s">
        <v>357</v>
      </c>
      <c r="B261" s="12" t="s">
        <v>124</v>
      </c>
      <c r="C261">
        <v>381084697.39842999</v>
      </c>
      <c r="D261">
        <v>379709596.00810432</v>
      </c>
      <c r="E261">
        <v>180180.18018018099</v>
      </c>
      <c r="F261">
        <v>727927.92792792898</v>
      </c>
      <c r="G261">
        <v>82</v>
      </c>
      <c r="H261">
        <v>65</v>
      </c>
      <c r="K261">
        <v>83</v>
      </c>
      <c r="L261">
        <v>70</v>
      </c>
      <c r="M261">
        <v>10772342.342342339</v>
      </c>
      <c r="N261">
        <v>13851531.53153153</v>
      </c>
      <c r="O261">
        <v>81109882.882882878</v>
      </c>
      <c r="P261">
        <v>91260639.639639646</v>
      </c>
      <c r="Q261">
        <v>9644864.8648648635</v>
      </c>
      <c r="R261">
        <v>13638648.648648648</v>
      </c>
      <c r="S261">
        <v>6381</v>
      </c>
      <c r="T261">
        <v>5795</v>
      </c>
    </row>
    <row r="262" spans="1:20" x14ac:dyDescent="0.35">
      <c r="A262" s="7" t="s">
        <v>358</v>
      </c>
      <c r="B262" s="12" t="s">
        <v>63</v>
      </c>
      <c r="C262">
        <v>206733205.03455704</v>
      </c>
      <c r="D262">
        <v>215532455.53026718</v>
      </c>
      <c r="E262">
        <v>2452252.2522522528</v>
      </c>
      <c r="F262">
        <v>1653153.1531531571</v>
      </c>
      <c r="G262">
        <v>47</v>
      </c>
      <c r="H262">
        <v>7</v>
      </c>
      <c r="K262">
        <v>50</v>
      </c>
      <c r="L262">
        <v>9</v>
      </c>
      <c r="M262">
        <v>35124504.504504502</v>
      </c>
      <c r="N262">
        <v>46417927.927927926</v>
      </c>
      <c r="O262">
        <v>58272315.315315314</v>
      </c>
      <c r="P262">
        <v>67736342.342342347</v>
      </c>
      <c r="Q262">
        <v>33885495.495495498</v>
      </c>
      <c r="R262">
        <v>28752432.432432432</v>
      </c>
      <c r="S262">
        <v>3930</v>
      </c>
      <c r="T262">
        <v>3943</v>
      </c>
    </row>
    <row r="263" spans="1:20" x14ac:dyDescent="0.35">
      <c r="A263" s="7" t="s">
        <v>359</v>
      </c>
      <c r="B263" s="12" t="s">
        <v>316</v>
      </c>
      <c r="C263">
        <v>5702773.2383409534</v>
      </c>
      <c r="D263">
        <v>13502111.65289725</v>
      </c>
      <c r="G263">
        <v>10</v>
      </c>
      <c r="H263">
        <v>15</v>
      </c>
      <c r="K263">
        <v>11</v>
      </c>
      <c r="L263">
        <v>15</v>
      </c>
      <c r="O263">
        <v>2316846.8468468469</v>
      </c>
      <c r="P263">
        <v>6950855.8558558552</v>
      </c>
      <c r="T263">
        <v>578</v>
      </c>
    </row>
    <row r="264" spans="1:20" x14ac:dyDescent="0.35">
      <c r="A264" s="7" t="s">
        <v>360</v>
      </c>
      <c r="B264" s="12" t="s">
        <v>316</v>
      </c>
      <c r="C264">
        <v>208703146.82864624</v>
      </c>
      <c r="D264">
        <v>169559177.57106474</v>
      </c>
      <c r="E264">
        <v>1341441.4414414419</v>
      </c>
      <c r="F264">
        <v>402702.70270270499</v>
      </c>
      <c r="G264">
        <v>48</v>
      </c>
      <c r="H264">
        <v>24</v>
      </c>
      <c r="K264">
        <v>55</v>
      </c>
      <c r="L264">
        <v>29</v>
      </c>
      <c r="M264">
        <v>38303963.963963963</v>
      </c>
      <c r="N264">
        <v>52006756.75675676</v>
      </c>
      <c r="O264">
        <v>76077684.684684694</v>
      </c>
      <c r="P264">
        <v>69344657.657657653</v>
      </c>
      <c r="Q264">
        <v>41518378.378378376</v>
      </c>
      <c r="R264">
        <v>46522612.612612605</v>
      </c>
      <c r="S264">
        <v>3250</v>
      </c>
      <c r="T264">
        <v>2936</v>
      </c>
    </row>
    <row r="265" spans="1:20" x14ac:dyDescent="0.35">
      <c r="A265" s="7" t="s">
        <v>361</v>
      </c>
      <c r="B265" s="12" t="s">
        <v>93</v>
      </c>
      <c r="C265">
        <v>381006922.74149668</v>
      </c>
      <c r="D265">
        <v>379765925.40066069</v>
      </c>
      <c r="E265">
        <v>7483783.7837837841</v>
      </c>
      <c r="F265">
        <v>5695045.045045048</v>
      </c>
      <c r="G265">
        <v>82</v>
      </c>
      <c r="H265">
        <v>79</v>
      </c>
      <c r="I265">
        <v>2</v>
      </c>
      <c r="K265">
        <v>92</v>
      </c>
      <c r="L265">
        <v>119</v>
      </c>
      <c r="M265">
        <v>88931531.531531543</v>
      </c>
      <c r="N265">
        <v>77019819.819819823</v>
      </c>
      <c r="O265">
        <v>112401358.55855855</v>
      </c>
      <c r="P265">
        <v>113256234.23423424</v>
      </c>
      <c r="Q265">
        <v>84905989.189189181</v>
      </c>
      <c r="R265">
        <v>74166576.576576576</v>
      </c>
      <c r="S265">
        <v>7004</v>
      </c>
      <c r="T265">
        <v>3607</v>
      </c>
    </row>
    <row r="266" spans="1:20" x14ac:dyDescent="0.35">
      <c r="A266" s="7" t="s">
        <v>362</v>
      </c>
      <c r="B266" s="12" t="s">
        <v>59</v>
      </c>
      <c r="C266">
        <v>744093287.83191049</v>
      </c>
      <c r="D266">
        <v>774923478.03183115</v>
      </c>
      <c r="E266">
        <v>15116216.216216218</v>
      </c>
      <c r="F266">
        <v>39626126.126126125</v>
      </c>
      <c r="G266">
        <v>121</v>
      </c>
      <c r="H266">
        <v>237</v>
      </c>
      <c r="K266">
        <v>131</v>
      </c>
      <c r="L266">
        <v>260</v>
      </c>
      <c r="M266">
        <v>30617117.117117122</v>
      </c>
      <c r="N266">
        <v>78045045.045045033</v>
      </c>
      <c r="O266">
        <v>117460801.8018018</v>
      </c>
      <c r="P266">
        <v>141511333.33333331</v>
      </c>
      <c r="Q266">
        <v>30288828.82882883</v>
      </c>
      <c r="R266">
        <v>71461261.261261269</v>
      </c>
      <c r="S266">
        <v>13654</v>
      </c>
      <c r="T266">
        <v>13232</v>
      </c>
    </row>
    <row r="267" spans="1:20" x14ac:dyDescent="0.35">
      <c r="A267" s="7" t="s">
        <v>363</v>
      </c>
      <c r="B267" s="12" t="s">
        <v>49</v>
      </c>
      <c r="C267">
        <v>263970922.51459572</v>
      </c>
      <c r="D267">
        <v>274763030.98520058</v>
      </c>
      <c r="E267">
        <v>480180.18018018</v>
      </c>
      <c r="F267">
        <v>1227027.0270270279</v>
      </c>
      <c r="G267">
        <v>8</v>
      </c>
      <c r="H267">
        <v>9</v>
      </c>
      <c r="K267">
        <v>9</v>
      </c>
      <c r="L267">
        <v>10</v>
      </c>
      <c r="M267">
        <v>37114774.774774775</v>
      </c>
      <c r="N267">
        <v>14610810.810810814</v>
      </c>
      <c r="O267">
        <v>43047909.909909911</v>
      </c>
      <c r="P267">
        <v>51586900.9009009</v>
      </c>
      <c r="Q267">
        <v>29825675.675675675</v>
      </c>
      <c r="R267">
        <v>16780990.990990993</v>
      </c>
      <c r="S267">
        <v>3957</v>
      </c>
      <c r="T267">
        <v>3796</v>
      </c>
    </row>
    <row r="268" spans="1:20" x14ac:dyDescent="0.35">
      <c r="A268" s="7" t="s">
        <v>364</v>
      </c>
      <c r="B268" s="12" t="s">
        <v>53</v>
      </c>
      <c r="C268">
        <v>112225801.72005385</v>
      </c>
      <c r="D268">
        <v>110754214.96097101</v>
      </c>
      <c r="E268">
        <v>285585.58558558603</v>
      </c>
      <c r="F268">
        <v>1008108.108108111</v>
      </c>
      <c r="G268">
        <v>64</v>
      </c>
      <c r="H268">
        <v>18</v>
      </c>
      <c r="K268">
        <v>68</v>
      </c>
      <c r="L268">
        <v>27</v>
      </c>
      <c r="M268">
        <v>2375675.6756756739</v>
      </c>
      <c r="N268">
        <v>5826126.1261261255</v>
      </c>
      <c r="O268">
        <v>54234684.684684686</v>
      </c>
      <c r="P268">
        <v>53088142.342342347</v>
      </c>
      <c r="Q268">
        <v>2492072.072072071</v>
      </c>
      <c r="R268">
        <v>5950270.2702702684</v>
      </c>
      <c r="S268">
        <v>2887</v>
      </c>
      <c r="T268">
        <v>2393</v>
      </c>
    </row>
    <row r="269" spans="1:20" x14ac:dyDescent="0.35">
      <c r="A269" s="7" t="s">
        <v>365</v>
      </c>
      <c r="B269" s="12" t="s">
        <v>53</v>
      </c>
      <c r="C269">
        <v>86337861.46562767</v>
      </c>
      <c r="D269">
        <v>86233123.682100475</v>
      </c>
      <c r="E269">
        <v>3052252.2522522542</v>
      </c>
      <c r="F269">
        <v>2627477.4774774779</v>
      </c>
      <c r="G269">
        <v>97</v>
      </c>
      <c r="H269">
        <v>47</v>
      </c>
      <c r="I269">
        <v>1</v>
      </c>
      <c r="K269">
        <v>392</v>
      </c>
      <c r="L269">
        <v>135</v>
      </c>
      <c r="M269">
        <v>8466666.6666666679</v>
      </c>
      <c r="N269">
        <v>16204054.054054054</v>
      </c>
      <c r="O269">
        <v>48180882.882882878</v>
      </c>
      <c r="P269">
        <v>48399171.171171166</v>
      </c>
      <c r="Q269">
        <v>13182342.342342339</v>
      </c>
      <c r="R269">
        <v>14392972.972972972</v>
      </c>
      <c r="S269">
        <v>2825</v>
      </c>
      <c r="T269">
        <v>2839</v>
      </c>
    </row>
    <row r="270" spans="1:20" x14ac:dyDescent="0.35">
      <c r="A270" s="7" t="s">
        <v>366</v>
      </c>
      <c r="B270" s="12" t="s">
        <v>53</v>
      </c>
      <c r="C270">
        <v>975957659.77870595</v>
      </c>
      <c r="D270">
        <v>974532546.17013407</v>
      </c>
      <c r="E270">
        <v>337800693.6936937</v>
      </c>
      <c r="F270">
        <v>359878629.72972971</v>
      </c>
      <c r="G270">
        <v>320</v>
      </c>
      <c r="H270">
        <v>538</v>
      </c>
      <c r="I270">
        <v>3</v>
      </c>
      <c r="K270">
        <v>538</v>
      </c>
      <c r="L270">
        <v>941</v>
      </c>
      <c r="M270">
        <v>59499106.30630631</v>
      </c>
      <c r="N270">
        <v>560459009.009009</v>
      </c>
      <c r="O270">
        <v>357442003.6036036</v>
      </c>
      <c r="P270">
        <v>368344315.31531531</v>
      </c>
      <c r="Q270">
        <v>75078288.288288295</v>
      </c>
      <c r="R270">
        <v>100970090.0900901</v>
      </c>
      <c r="S270">
        <v>26049</v>
      </c>
      <c r="T270">
        <v>21328</v>
      </c>
    </row>
    <row r="271" spans="1:20" x14ac:dyDescent="0.35">
      <c r="A271" s="7" t="s">
        <v>367</v>
      </c>
      <c r="B271" s="12" t="s">
        <v>294</v>
      </c>
      <c r="C271">
        <v>564272411.5956738</v>
      </c>
      <c r="D271">
        <v>569535177.66169584</v>
      </c>
      <c r="E271">
        <v>131826754.95495494</v>
      </c>
      <c r="F271">
        <v>141274445.94594595</v>
      </c>
      <c r="G271">
        <v>153</v>
      </c>
      <c r="H271">
        <v>80</v>
      </c>
      <c r="K271">
        <v>189</v>
      </c>
      <c r="L271">
        <v>292</v>
      </c>
      <c r="M271">
        <v>66895045.045045048</v>
      </c>
      <c r="N271">
        <v>104161801.8018018</v>
      </c>
      <c r="O271">
        <v>184003480.18018019</v>
      </c>
      <c r="P271">
        <v>187337311.7117117</v>
      </c>
      <c r="Q271">
        <v>62558648.648648649</v>
      </c>
      <c r="R271">
        <v>89784234.234234244</v>
      </c>
      <c r="S271">
        <v>14522</v>
      </c>
      <c r="T271">
        <v>9831</v>
      </c>
    </row>
    <row r="272" spans="1:20" x14ac:dyDescent="0.35">
      <c r="A272" s="7" t="s">
        <v>368</v>
      </c>
      <c r="B272" s="12" t="s">
        <v>369</v>
      </c>
      <c r="C272">
        <v>238167757.86851725</v>
      </c>
      <c r="D272">
        <v>233445027.24965182</v>
      </c>
      <c r="E272">
        <v>126099672.07207207</v>
      </c>
      <c r="F272">
        <v>168691744.14414415</v>
      </c>
      <c r="G272">
        <v>55</v>
      </c>
      <c r="H272">
        <v>32</v>
      </c>
      <c r="K272">
        <v>70</v>
      </c>
      <c r="L272">
        <v>39</v>
      </c>
      <c r="M272">
        <v>67345225.225225225</v>
      </c>
      <c r="N272">
        <v>117941081.08108109</v>
      </c>
      <c r="O272">
        <v>101596522.52252252</v>
      </c>
      <c r="P272">
        <v>101781403.6036036</v>
      </c>
      <c r="Q272">
        <v>66084414.414414413</v>
      </c>
      <c r="R272">
        <v>108922882.88288288</v>
      </c>
      <c r="S272">
        <v>5007</v>
      </c>
      <c r="T272">
        <v>3715</v>
      </c>
    </row>
    <row r="273" spans="1:20" x14ac:dyDescent="0.35">
      <c r="A273" s="7" t="s">
        <v>370</v>
      </c>
      <c r="B273" s="12" t="s">
        <v>71</v>
      </c>
      <c r="C273">
        <v>69495852.90223673</v>
      </c>
      <c r="D273">
        <v>70415009.634338602</v>
      </c>
      <c r="E273">
        <v>172577526.12612614</v>
      </c>
      <c r="F273">
        <v>193937999.0990991</v>
      </c>
      <c r="G273">
        <v>45</v>
      </c>
      <c r="H273">
        <v>30</v>
      </c>
      <c r="K273">
        <v>52</v>
      </c>
      <c r="L273">
        <v>49</v>
      </c>
      <c r="M273">
        <v>79626811.711711705</v>
      </c>
      <c r="N273">
        <v>90990227.027027026</v>
      </c>
      <c r="O273">
        <v>22869828.828828827</v>
      </c>
      <c r="P273">
        <v>23102000</v>
      </c>
      <c r="Q273">
        <v>13797117.11711712</v>
      </c>
      <c r="R273">
        <v>14009189.189189188</v>
      </c>
      <c r="S273">
        <v>1289</v>
      </c>
      <c r="T273">
        <v>1185</v>
      </c>
    </row>
    <row r="274" spans="1:20" x14ac:dyDescent="0.35">
      <c r="A274" s="7" t="s">
        <v>371</v>
      </c>
      <c r="B274" s="12" t="s">
        <v>51</v>
      </c>
      <c r="C274">
        <v>145341711.47356963</v>
      </c>
      <c r="D274">
        <v>125616495.99122733</v>
      </c>
      <c r="E274">
        <v>1215315.3153153169</v>
      </c>
      <c r="F274">
        <v>1617117.1171171169</v>
      </c>
      <c r="G274">
        <v>33</v>
      </c>
      <c r="H274">
        <v>21</v>
      </c>
      <c r="K274">
        <v>37</v>
      </c>
      <c r="L274">
        <v>23</v>
      </c>
      <c r="M274">
        <v>13444144.144144144</v>
      </c>
      <c r="N274">
        <v>12858198.198198199</v>
      </c>
      <c r="O274">
        <v>65962063.063063063</v>
      </c>
      <c r="P274">
        <v>56447207.20720721</v>
      </c>
      <c r="Q274">
        <v>11478108.108108109</v>
      </c>
      <c r="R274">
        <v>11220630.630630629</v>
      </c>
      <c r="S274">
        <v>2889</v>
      </c>
      <c r="T274">
        <v>2625</v>
      </c>
    </row>
    <row r="275" spans="1:20" x14ac:dyDescent="0.35">
      <c r="A275" s="7" t="s">
        <v>372</v>
      </c>
      <c r="B275" s="12" t="s">
        <v>122</v>
      </c>
      <c r="C275">
        <v>142586123.07014954</v>
      </c>
      <c r="D275">
        <v>130815249.36762416</v>
      </c>
      <c r="E275">
        <v>972072.07207207195</v>
      </c>
      <c r="F275">
        <v>878378.378378383</v>
      </c>
      <c r="G275">
        <v>59</v>
      </c>
      <c r="H275">
        <v>72</v>
      </c>
      <c r="K275">
        <v>69</v>
      </c>
      <c r="L275">
        <v>87</v>
      </c>
      <c r="M275">
        <v>6355855.8558558552</v>
      </c>
      <c r="N275">
        <v>4256756.7567567592</v>
      </c>
      <c r="O275">
        <v>14333774.774774775</v>
      </c>
      <c r="P275">
        <v>15162405.405405408</v>
      </c>
      <c r="Q275">
        <v>4869999.9999999991</v>
      </c>
      <c r="R275">
        <v>3823333.333333333</v>
      </c>
      <c r="S275">
        <v>2869</v>
      </c>
      <c r="T275">
        <v>2738</v>
      </c>
    </row>
    <row r="276" spans="1:20" x14ac:dyDescent="0.35">
      <c r="A276" s="7" t="s">
        <v>373</v>
      </c>
      <c r="B276" s="12" t="s">
        <v>374</v>
      </c>
      <c r="C276">
        <v>323223351.8048439</v>
      </c>
      <c r="D276">
        <v>328634673.36846727</v>
      </c>
      <c r="E276">
        <v>50649981.981981985</v>
      </c>
      <c r="F276">
        <v>87995469.369369373</v>
      </c>
      <c r="G276">
        <v>46</v>
      </c>
      <c r="H276">
        <v>28</v>
      </c>
      <c r="K276">
        <v>48</v>
      </c>
      <c r="L276">
        <v>34</v>
      </c>
      <c r="M276">
        <v>64402522.522522517</v>
      </c>
      <c r="N276">
        <v>107694279.27927928</v>
      </c>
      <c r="O276">
        <v>123043180.18018018</v>
      </c>
      <c r="P276">
        <v>133237328.82882883</v>
      </c>
      <c r="Q276">
        <v>57538828.828828827</v>
      </c>
      <c r="R276">
        <v>71780765.765765756</v>
      </c>
      <c r="S276">
        <v>10812</v>
      </c>
      <c r="T276">
        <v>10467</v>
      </c>
    </row>
    <row r="277" spans="1:20" x14ac:dyDescent="0.35">
      <c r="A277" s="7" t="s">
        <v>375</v>
      </c>
      <c r="B277" s="12" t="s">
        <v>67</v>
      </c>
      <c r="C277">
        <v>241576534.95556945</v>
      </c>
      <c r="D277">
        <v>256194995.38822046</v>
      </c>
      <c r="E277">
        <v>9841441.4414414447</v>
      </c>
      <c r="F277">
        <v>14032882.882882886</v>
      </c>
      <c r="G277">
        <v>90</v>
      </c>
      <c r="H277">
        <v>49</v>
      </c>
      <c r="K277">
        <v>107</v>
      </c>
      <c r="L277">
        <v>57</v>
      </c>
      <c r="M277">
        <v>189989639.63963965</v>
      </c>
      <c r="N277">
        <v>336936351.35135138</v>
      </c>
      <c r="O277">
        <v>88778909.909909904</v>
      </c>
      <c r="P277">
        <v>98028090.090090096</v>
      </c>
      <c r="Q277">
        <v>155588828.82882884</v>
      </c>
      <c r="R277">
        <v>219949684.68468466</v>
      </c>
      <c r="S277">
        <v>9520</v>
      </c>
      <c r="T277">
        <v>7266</v>
      </c>
    </row>
    <row r="278" spans="1:20" x14ac:dyDescent="0.35">
      <c r="A278" s="7" t="s">
        <v>376</v>
      </c>
      <c r="B278" s="12" t="s">
        <v>355</v>
      </c>
      <c r="C278">
        <v>361553362.49768531</v>
      </c>
      <c r="D278">
        <v>367030868.47989404</v>
      </c>
      <c r="E278">
        <v>2832432.4324324359</v>
      </c>
      <c r="F278">
        <v>7140540.5405405434</v>
      </c>
      <c r="G278">
        <v>427</v>
      </c>
      <c r="H278">
        <v>457</v>
      </c>
      <c r="K278">
        <v>439</v>
      </c>
      <c r="L278">
        <v>475</v>
      </c>
      <c r="M278">
        <v>78915225.225225225</v>
      </c>
      <c r="N278">
        <v>85061351.351351365</v>
      </c>
      <c r="O278">
        <v>222126054.05405405</v>
      </c>
      <c r="P278">
        <v>217936333.33333334</v>
      </c>
      <c r="Q278">
        <v>84039819.819819823</v>
      </c>
      <c r="R278">
        <v>74621171.171171173</v>
      </c>
      <c r="S278">
        <v>7523</v>
      </c>
      <c r="T278">
        <v>6724</v>
      </c>
    </row>
    <row r="279" spans="1:20" x14ac:dyDescent="0.35">
      <c r="A279" s="7" t="s">
        <v>377</v>
      </c>
      <c r="B279" s="12" t="s">
        <v>67</v>
      </c>
      <c r="C279">
        <v>139721623.43661526</v>
      </c>
      <c r="D279">
        <v>143285440.07470769</v>
      </c>
      <c r="E279">
        <v>1215315.315315316</v>
      </c>
      <c r="F279">
        <v>3023873.8738738759</v>
      </c>
      <c r="G279">
        <v>59</v>
      </c>
      <c r="H279">
        <v>28</v>
      </c>
      <c r="K279">
        <v>64</v>
      </c>
      <c r="L279">
        <v>31</v>
      </c>
      <c r="M279">
        <v>11320900.9009009</v>
      </c>
      <c r="N279">
        <v>99269144.144144148</v>
      </c>
      <c r="O279">
        <v>66431031.531531528</v>
      </c>
      <c r="P279">
        <v>65375612.612612605</v>
      </c>
      <c r="Q279">
        <v>16047927.927927928</v>
      </c>
      <c r="R279">
        <v>91982027.027027026</v>
      </c>
      <c r="S279">
        <v>6356</v>
      </c>
      <c r="T279">
        <v>5029</v>
      </c>
    </row>
    <row r="280" spans="1:20" x14ac:dyDescent="0.35">
      <c r="A280" s="7" t="s">
        <v>378</v>
      </c>
      <c r="B280" s="12" t="s">
        <v>261</v>
      </c>
      <c r="C280">
        <v>115436961.36117819</v>
      </c>
      <c r="D280">
        <v>116480673.85957408</v>
      </c>
      <c r="E280">
        <v>148648.64864864899</v>
      </c>
      <c r="F280">
        <v>567567.56756756804</v>
      </c>
      <c r="G280">
        <v>10</v>
      </c>
      <c r="H280">
        <v>27</v>
      </c>
      <c r="K280">
        <v>10</v>
      </c>
      <c r="L280">
        <v>33</v>
      </c>
      <c r="M280">
        <v>6590090.0900900904</v>
      </c>
      <c r="N280">
        <v>8152252.2522522518</v>
      </c>
      <c r="O280">
        <v>19386639.639639638</v>
      </c>
      <c r="P280">
        <v>26159815.315315317</v>
      </c>
      <c r="Q280">
        <v>3098288.2882882878</v>
      </c>
      <c r="R280">
        <v>5510990.9909909908</v>
      </c>
      <c r="S280">
        <v>1672</v>
      </c>
      <c r="T280">
        <v>1646</v>
      </c>
    </row>
    <row r="281" spans="1:20" x14ac:dyDescent="0.35">
      <c r="A281" s="7" t="s">
        <v>379</v>
      </c>
      <c r="B281" s="12" t="s">
        <v>355</v>
      </c>
      <c r="C281">
        <v>304147757.47593284</v>
      </c>
      <c r="D281">
        <v>294248846.33953243</v>
      </c>
      <c r="E281">
        <v>4864864.8648648644</v>
      </c>
      <c r="F281">
        <v>7735585.5855855858</v>
      </c>
      <c r="G281">
        <v>57</v>
      </c>
      <c r="H281">
        <v>113</v>
      </c>
      <c r="K281">
        <v>60</v>
      </c>
      <c r="L281">
        <v>120</v>
      </c>
      <c r="M281">
        <v>54768378.378378384</v>
      </c>
      <c r="N281">
        <v>75102252.252252251</v>
      </c>
      <c r="O281">
        <v>168324870.27027026</v>
      </c>
      <c r="P281">
        <v>163213891.8918919</v>
      </c>
      <c r="Q281">
        <v>54068108.108108111</v>
      </c>
      <c r="R281">
        <v>68792432.432432428</v>
      </c>
      <c r="S281">
        <v>5006</v>
      </c>
      <c r="T281">
        <v>4959</v>
      </c>
    </row>
    <row r="282" spans="1:20" x14ac:dyDescent="0.35">
      <c r="A282" s="7" t="s">
        <v>380</v>
      </c>
      <c r="B282" s="12" t="s">
        <v>88</v>
      </c>
      <c r="C282">
        <v>7829084.8364363052</v>
      </c>
      <c r="D282">
        <v>7795808.0376608996</v>
      </c>
      <c r="G282">
        <v>1</v>
      </c>
      <c r="H282">
        <v>4</v>
      </c>
      <c r="K282">
        <v>2</v>
      </c>
      <c r="L282">
        <v>6</v>
      </c>
      <c r="O282">
        <v>422432.43243243301</v>
      </c>
      <c r="P282">
        <v>1473873.8738738741</v>
      </c>
      <c r="S282">
        <v>135</v>
      </c>
      <c r="T282">
        <v>227</v>
      </c>
    </row>
    <row r="283" spans="1:20" x14ac:dyDescent="0.35">
      <c r="A283" s="7" t="s">
        <v>381</v>
      </c>
      <c r="B283" s="12" t="s">
        <v>88</v>
      </c>
      <c r="C283">
        <v>11106148.016742764</v>
      </c>
      <c r="D283">
        <v>9961025.7482926771</v>
      </c>
      <c r="G283">
        <v>21</v>
      </c>
      <c r="H283">
        <v>29</v>
      </c>
      <c r="K283">
        <v>23</v>
      </c>
      <c r="L283">
        <v>34</v>
      </c>
      <c r="O283">
        <v>1385414.414414414</v>
      </c>
      <c r="P283">
        <v>1886081.0810810809</v>
      </c>
      <c r="S283">
        <v>244</v>
      </c>
      <c r="T283">
        <v>323</v>
      </c>
    </row>
    <row r="284" spans="1:20" x14ac:dyDescent="0.35">
      <c r="A284" s="7" t="s">
        <v>382</v>
      </c>
      <c r="B284" s="12" t="s">
        <v>81</v>
      </c>
      <c r="C284">
        <v>2026677907.9220297</v>
      </c>
      <c r="D284">
        <v>2060717701.4544871</v>
      </c>
      <c r="E284">
        <v>1040978104.5045046</v>
      </c>
      <c r="F284">
        <v>901204718.91891897</v>
      </c>
      <c r="G284">
        <v>738</v>
      </c>
      <c r="H284">
        <v>545</v>
      </c>
      <c r="I284">
        <v>8</v>
      </c>
      <c r="K284">
        <v>873</v>
      </c>
      <c r="L284">
        <v>830</v>
      </c>
      <c r="M284">
        <v>320933783.78378373</v>
      </c>
      <c r="N284">
        <v>580544346.84684682</v>
      </c>
      <c r="O284">
        <v>527515540.990991</v>
      </c>
      <c r="P284">
        <v>589573348.64864874</v>
      </c>
      <c r="Q284">
        <v>284646846.84684682</v>
      </c>
      <c r="R284">
        <v>276991981.98198199</v>
      </c>
      <c r="S284">
        <v>40331</v>
      </c>
      <c r="T284">
        <v>38693</v>
      </c>
    </row>
    <row r="285" spans="1:20" x14ac:dyDescent="0.35">
      <c r="A285" s="7" t="s">
        <v>383</v>
      </c>
      <c r="B285" s="12" t="s">
        <v>81</v>
      </c>
      <c r="C285">
        <v>557498131.78672874</v>
      </c>
      <c r="D285">
        <v>541943527.06622469</v>
      </c>
      <c r="E285">
        <v>7065090.0900900932</v>
      </c>
      <c r="F285">
        <v>5626126.126126132</v>
      </c>
      <c r="G285">
        <v>171</v>
      </c>
      <c r="H285">
        <v>191</v>
      </c>
      <c r="I285">
        <v>1</v>
      </c>
      <c r="K285">
        <v>206</v>
      </c>
      <c r="L285">
        <v>310</v>
      </c>
      <c r="M285">
        <v>108572072.07207206</v>
      </c>
      <c r="N285">
        <v>133049549.54954955</v>
      </c>
      <c r="O285">
        <v>231337636.48648649</v>
      </c>
      <c r="P285">
        <v>235219089.1891892</v>
      </c>
      <c r="Q285">
        <v>97982291.891891882</v>
      </c>
      <c r="R285">
        <v>116692565.76576576</v>
      </c>
      <c r="S285">
        <v>11180</v>
      </c>
      <c r="T285">
        <v>9376</v>
      </c>
    </row>
    <row r="286" spans="1:20" x14ac:dyDescent="0.35">
      <c r="A286" s="7" t="s">
        <v>384</v>
      </c>
      <c r="B286" s="12" t="s">
        <v>81</v>
      </c>
      <c r="C286">
        <v>701087533.58031011</v>
      </c>
      <c r="D286">
        <v>724425737.37702358</v>
      </c>
      <c r="E286">
        <v>749168.46846847096</v>
      </c>
      <c r="F286">
        <v>1878378.3783783789</v>
      </c>
      <c r="G286">
        <v>98</v>
      </c>
      <c r="H286">
        <v>54</v>
      </c>
      <c r="I286">
        <v>2</v>
      </c>
      <c r="K286">
        <v>110</v>
      </c>
      <c r="L286">
        <v>67</v>
      </c>
      <c r="M286">
        <v>54823022.522522531</v>
      </c>
      <c r="N286">
        <v>41200900.9009009</v>
      </c>
      <c r="O286">
        <v>142368783.78378376</v>
      </c>
      <c r="P286">
        <v>156723376.57657659</v>
      </c>
      <c r="Q286">
        <v>56682252.252252251</v>
      </c>
      <c r="R286">
        <v>46421261.261261262</v>
      </c>
      <c r="S286">
        <v>9856</v>
      </c>
      <c r="T286">
        <v>8676</v>
      </c>
    </row>
    <row r="287" spans="1:20" x14ac:dyDescent="0.35">
      <c r="A287" s="7" t="s">
        <v>385</v>
      </c>
      <c r="B287" s="12" t="s">
        <v>69</v>
      </c>
      <c r="C287">
        <v>303051725.09758711</v>
      </c>
      <c r="D287">
        <v>296711335.86365092</v>
      </c>
      <c r="E287">
        <v>1346846.846846848</v>
      </c>
      <c r="F287">
        <v>1975675.6756756811</v>
      </c>
      <c r="G287">
        <v>60</v>
      </c>
      <c r="H287">
        <v>39</v>
      </c>
      <c r="K287">
        <v>66</v>
      </c>
      <c r="L287">
        <v>49</v>
      </c>
      <c r="M287">
        <v>11601351.351351352</v>
      </c>
      <c r="N287">
        <v>14890990.990990993</v>
      </c>
      <c r="O287">
        <v>43190243.24324324</v>
      </c>
      <c r="P287">
        <v>43980751.351351351</v>
      </c>
      <c r="Q287">
        <v>11398468.46846847</v>
      </c>
      <c r="R287">
        <v>13801981.981981983</v>
      </c>
      <c r="S287">
        <v>5049</v>
      </c>
      <c r="T287">
        <v>4818</v>
      </c>
    </row>
    <row r="288" spans="1:20" x14ac:dyDescent="0.35">
      <c r="A288" s="7" t="s">
        <v>386</v>
      </c>
      <c r="B288" s="12" t="s">
        <v>168</v>
      </c>
      <c r="C288">
        <v>101828842.00389667</v>
      </c>
      <c r="D288">
        <v>121295168.015304</v>
      </c>
      <c r="E288">
        <v>1724324.3243243271</v>
      </c>
      <c r="F288">
        <v>4229729.7297297269</v>
      </c>
      <c r="G288">
        <v>35</v>
      </c>
      <c r="H288">
        <v>20</v>
      </c>
      <c r="K288">
        <v>45</v>
      </c>
      <c r="L288">
        <v>28</v>
      </c>
      <c r="M288">
        <v>23341507.207207207</v>
      </c>
      <c r="N288">
        <v>23483783.783783782</v>
      </c>
      <c r="O288">
        <v>43371459.459459454</v>
      </c>
      <c r="P288">
        <v>56139763.963963971</v>
      </c>
      <c r="Q288">
        <v>21914054.054054055</v>
      </c>
      <c r="R288">
        <v>25350000</v>
      </c>
      <c r="S288">
        <v>2517</v>
      </c>
      <c r="T288">
        <v>2128</v>
      </c>
    </row>
    <row r="289" spans="1:20" x14ac:dyDescent="0.35">
      <c r="A289" s="7" t="s">
        <v>387</v>
      </c>
      <c r="B289" s="12" t="s">
        <v>95</v>
      </c>
      <c r="C289">
        <v>603271552.65967202</v>
      </c>
      <c r="D289">
        <v>623893930.73111999</v>
      </c>
      <c r="E289">
        <v>770270.27027027099</v>
      </c>
      <c r="F289">
        <v>1612612.6126126139</v>
      </c>
      <c r="G289">
        <v>140</v>
      </c>
      <c r="H289">
        <v>136</v>
      </c>
      <c r="I289">
        <v>1</v>
      </c>
      <c r="K289">
        <v>148</v>
      </c>
      <c r="L289">
        <v>156</v>
      </c>
      <c r="M289">
        <v>21653153.153153151</v>
      </c>
      <c r="N289">
        <v>24180180.180180181</v>
      </c>
      <c r="O289">
        <v>71254729.729729727</v>
      </c>
      <c r="P289">
        <v>92288072.072072059</v>
      </c>
      <c r="Q289">
        <v>17331891.891891893</v>
      </c>
      <c r="R289">
        <v>15509099.099099098</v>
      </c>
      <c r="S289">
        <v>8289</v>
      </c>
      <c r="T289">
        <v>9107</v>
      </c>
    </row>
    <row r="290" spans="1:20" x14ac:dyDescent="0.35">
      <c r="A290" s="7" t="s">
        <v>388</v>
      </c>
      <c r="B290" s="12" t="s">
        <v>215</v>
      </c>
      <c r="C290">
        <v>112371324.08236565</v>
      </c>
      <c r="D290">
        <v>117563063.82390772</v>
      </c>
      <c r="E290">
        <v>1406306.306306307</v>
      </c>
      <c r="F290">
        <v>1224324.324324325</v>
      </c>
      <c r="G290">
        <v>41</v>
      </c>
      <c r="H290">
        <v>5</v>
      </c>
      <c r="K290">
        <v>45</v>
      </c>
      <c r="L290">
        <v>8</v>
      </c>
      <c r="M290">
        <v>3208108.1081081079</v>
      </c>
      <c r="N290">
        <v>5446846.8468468469</v>
      </c>
      <c r="O290">
        <v>54061648.648648649</v>
      </c>
      <c r="P290">
        <v>55024486.486486487</v>
      </c>
      <c r="Q290">
        <v>2511801.8018018021</v>
      </c>
      <c r="R290">
        <v>4462432.4324324317</v>
      </c>
      <c r="S290">
        <v>2461</v>
      </c>
      <c r="T290">
        <v>2469</v>
      </c>
    </row>
    <row r="291" spans="1:20" x14ac:dyDescent="0.35">
      <c r="A291" s="7" t="s">
        <v>389</v>
      </c>
      <c r="B291" s="12" t="s">
        <v>118</v>
      </c>
      <c r="C291">
        <v>44885876.122225851</v>
      </c>
      <c r="D291">
        <v>43109082.970421627</v>
      </c>
      <c r="E291">
        <v>596396.39639639505</v>
      </c>
      <c r="F291">
        <v>454954.95495495602</v>
      </c>
      <c r="G291">
        <v>30</v>
      </c>
      <c r="H291">
        <v>29</v>
      </c>
      <c r="K291">
        <v>38</v>
      </c>
      <c r="L291">
        <v>34</v>
      </c>
      <c r="M291">
        <v>9830745.9459459484</v>
      </c>
      <c r="N291">
        <v>8635076.5765765756</v>
      </c>
      <c r="O291">
        <v>21171225.225225225</v>
      </c>
      <c r="P291">
        <v>19402720.72072072</v>
      </c>
      <c r="Q291">
        <v>7751441.4414414419</v>
      </c>
      <c r="R291">
        <v>8698198.1981981974</v>
      </c>
      <c r="S291">
        <v>1995</v>
      </c>
      <c r="T291">
        <v>1828</v>
      </c>
    </row>
    <row r="292" spans="1:20" x14ac:dyDescent="0.35">
      <c r="A292" s="7" t="s">
        <v>390</v>
      </c>
      <c r="B292" s="12" t="s">
        <v>316</v>
      </c>
      <c r="C292">
        <v>194847442.24468854</v>
      </c>
      <c r="D292">
        <v>191933947.15738365</v>
      </c>
      <c r="E292">
        <v>185893752.25225225</v>
      </c>
      <c r="F292">
        <v>211672781.08108109</v>
      </c>
      <c r="G292">
        <v>18</v>
      </c>
      <c r="H292">
        <v>12</v>
      </c>
      <c r="I292">
        <v>2</v>
      </c>
      <c r="K292">
        <v>18</v>
      </c>
      <c r="L292">
        <v>13</v>
      </c>
      <c r="M292">
        <v>9363063.0630630627</v>
      </c>
      <c r="N292">
        <v>24386936.936936937</v>
      </c>
      <c r="O292">
        <v>40053882.882882878</v>
      </c>
      <c r="P292">
        <v>40449171.171171166</v>
      </c>
      <c r="Q292">
        <v>8267027.0270270268</v>
      </c>
      <c r="R292">
        <v>9266126.1261261236</v>
      </c>
      <c r="S292">
        <v>2632</v>
      </c>
      <c r="T292">
        <v>2699</v>
      </c>
    </row>
    <row r="293" spans="1:20" x14ac:dyDescent="0.35">
      <c r="A293" s="7" t="s">
        <v>391</v>
      </c>
      <c r="B293" s="12" t="s">
        <v>225</v>
      </c>
      <c r="C293">
        <v>81218948.291526273</v>
      </c>
      <c r="D293">
        <v>77606168.568461612</v>
      </c>
      <c r="G293">
        <v>8</v>
      </c>
      <c r="H293">
        <v>5</v>
      </c>
      <c r="K293">
        <v>9</v>
      </c>
      <c r="L293">
        <v>6</v>
      </c>
      <c r="O293">
        <v>15675810.810810812</v>
      </c>
      <c r="P293">
        <v>14871018.018018018</v>
      </c>
      <c r="S293">
        <v>1531</v>
      </c>
      <c r="T293">
        <v>1390</v>
      </c>
    </row>
    <row r="294" spans="1:20" x14ac:dyDescent="0.35">
      <c r="A294" s="7" t="s">
        <v>6</v>
      </c>
      <c r="B294" s="12" t="s">
        <v>194</v>
      </c>
      <c r="C294">
        <v>711319254.39834166</v>
      </c>
      <c r="D294">
        <v>679283460.86719251</v>
      </c>
      <c r="E294">
        <v>6794168.4684684779</v>
      </c>
      <c r="F294">
        <v>37291364.864864863</v>
      </c>
      <c r="G294">
        <v>456</v>
      </c>
      <c r="H294">
        <v>598</v>
      </c>
      <c r="K294">
        <v>884</v>
      </c>
      <c r="L294">
        <v>1303</v>
      </c>
      <c r="M294">
        <v>233787057.65765765</v>
      </c>
      <c r="N294">
        <v>480664518.01801807</v>
      </c>
      <c r="O294">
        <v>483708810.8108108</v>
      </c>
      <c r="P294">
        <v>473281018.01801807</v>
      </c>
      <c r="Q294">
        <v>209303333.33333334</v>
      </c>
      <c r="R294">
        <v>451828918.91891891</v>
      </c>
      <c r="S294">
        <v>13605</v>
      </c>
      <c r="T294">
        <v>13210</v>
      </c>
    </row>
    <row r="295" spans="1:20" x14ac:dyDescent="0.35">
      <c r="A295" s="7" t="s">
        <v>392</v>
      </c>
      <c r="B295" s="12" t="s">
        <v>122</v>
      </c>
      <c r="C295">
        <v>31308090.397772063</v>
      </c>
      <c r="D295">
        <v>29835901.652068101</v>
      </c>
      <c r="G295">
        <v>10</v>
      </c>
      <c r="H295">
        <v>22</v>
      </c>
      <c r="K295">
        <v>11</v>
      </c>
      <c r="L295">
        <v>24</v>
      </c>
      <c r="O295">
        <v>1539981.981981982</v>
      </c>
      <c r="P295">
        <v>2158207.2072072071</v>
      </c>
      <c r="S295">
        <v>555</v>
      </c>
      <c r="T295">
        <v>539</v>
      </c>
    </row>
    <row r="296" spans="1:20" x14ac:dyDescent="0.35">
      <c r="A296" s="7" t="s">
        <v>393</v>
      </c>
      <c r="B296" s="12" t="s">
        <v>135</v>
      </c>
      <c r="C296">
        <v>93922365.825296506</v>
      </c>
      <c r="D296">
        <v>100986623.27701497</v>
      </c>
      <c r="E296">
        <v>67567.567567567996</v>
      </c>
      <c r="F296">
        <v>555855.85585585597</v>
      </c>
      <c r="G296">
        <v>25</v>
      </c>
      <c r="H296">
        <v>16</v>
      </c>
      <c r="K296">
        <v>29</v>
      </c>
      <c r="L296">
        <v>21</v>
      </c>
      <c r="M296">
        <v>6121621.6216216208</v>
      </c>
      <c r="N296">
        <v>9936486.4864864852</v>
      </c>
      <c r="O296">
        <v>18717646.846846849</v>
      </c>
      <c r="P296">
        <v>27703882.882882878</v>
      </c>
      <c r="Q296">
        <v>1991171.1711711721</v>
      </c>
      <c r="R296">
        <v>3415045.0450450461</v>
      </c>
      <c r="S296">
        <v>3631</v>
      </c>
      <c r="T296">
        <v>3700</v>
      </c>
    </row>
    <row r="297" spans="1:20" x14ac:dyDescent="0.35">
      <c r="A297" s="7" t="s">
        <v>394</v>
      </c>
      <c r="B297" s="12" t="s">
        <v>59</v>
      </c>
      <c r="C297">
        <v>459182542.9726063</v>
      </c>
      <c r="D297">
        <v>484723146.66362453</v>
      </c>
      <c r="E297">
        <v>12609684.684684688</v>
      </c>
      <c r="F297">
        <v>7987387.3873873902</v>
      </c>
      <c r="G297">
        <v>128</v>
      </c>
      <c r="H297">
        <v>138</v>
      </c>
      <c r="K297">
        <v>144</v>
      </c>
      <c r="L297">
        <v>152</v>
      </c>
      <c r="M297">
        <v>44154054.054054059</v>
      </c>
      <c r="N297">
        <v>89807207.207207203</v>
      </c>
      <c r="O297">
        <v>74210342.342342332</v>
      </c>
      <c r="P297">
        <v>87301315.315315306</v>
      </c>
      <c r="Q297">
        <v>44814324.324324317</v>
      </c>
      <c r="R297">
        <v>85537387.387387395</v>
      </c>
      <c r="S297">
        <v>9431</v>
      </c>
      <c r="T297">
        <v>9377</v>
      </c>
    </row>
    <row r="298" spans="1:20" x14ac:dyDescent="0.35">
      <c r="A298" s="7" t="s">
        <v>395</v>
      </c>
      <c r="B298" s="12" t="s">
        <v>135</v>
      </c>
      <c r="C298">
        <v>159418541.97920048</v>
      </c>
      <c r="D298">
        <v>170264236.3701846</v>
      </c>
      <c r="E298">
        <v>1000000.000000001</v>
      </c>
      <c r="F298">
        <v>949549.54954955005</v>
      </c>
      <c r="G298">
        <v>26</v>
      </c>
      <c r="H298">
        <v>19</v>
      </c>
      <c r="K298">
        <v>29</v>
      </c>
      <c r="L298">
        <v>22</v>
      </c>
      <c r="M298">
        <v>23671171.171171173</v>
      </c>
      <c r="N298">
        <v>24761261.261261258</v>
      </c>
      <c r="O298">
        <v>29331774.774774775</v>
      </c>
      <c r="P298">
        <v>36074288.288288288</v>
      </c>
      <c r="Q298">
        <v>15656936.936936935</v>
      </c>
      <c r="R298">
        <v>15243423.423423424</v>
      </c>
      <c r="S298">
        <v>4085</v>
      </c>
      <c r="T298">
        <v>3988</v>
      </c>
    </row>
    <row r="299" spans="1:20" x14ac:dyDescent="0.35">
      <c r="A299" s="7" t="s">
        <v>396</v>
      </c>
      <c r="B299" s="12" t="s">
        <v>55</v>
      </c>
      <c r="C299">
        <v>67064234.857399285</v>
      </c>
      <c r="D299">
        <v>65512217.475614995</v>
      </c>
      <c r="E299">
        <v>55855.855855856003</v>
      </c>
      <c r="F299">
        <v>1038738.738738738</v>
      </c>
      <c r="G299">
        <v>19</v>
      </c>
      <c r="H299">
        <v>18</v>
      </c>
      <c r="K299">
        <v>20</v>
      </c>
      <c r="L299">
        <v>18</v>
      </c>
      <c r="M299">
        <v>3145945.945945946</v>
      </c>
      <c r="N299">
        <v>5957657.6576576577</v>
      </c>
      <c r="O299">
        <v>11031513.513513515</v>
      </c>
      <c r="P299">
        <v>11681702.702702705</v>
      </c>
      <c r="Q299">
        <v>3410810.81081081</v>
      </c>
      <c r="R299">
        <v>4815495.4954954963</v>
      </c>
      <c r="S299">
        <v>1652</v>
      </c>
      <c r="T299">
        <v>1567</v>
      </c>
    </row>
    <row r="300" spans="1:20" x14ac:dyDescent="0.35">
      <c r="A300" s="7" t="s">
        <v>397</v>
      </c>
      <c r="B300" s="12" t="s">
        <v>398</v>
      </c>
      <c r="C300">
        <v>472570478.27191824</v>
      </c>
      <c r="D300">
        <v>469076731.57175475</v>
      </c>
      <c r="E300">
        <v>4230630.6306306282</v>
      </c>
      <c r="F300">
        <v>6106306.3063063081</v>
      </c>
      <c r="G300">
        <v>217</v>
      </c>
      <c r="H300">
        <v>255</v>
      </c>
      <c r="I300">
        <v>1</v>
      </c>
      <c r="K300">
        <v>381</v>
      </c>
      <c r="L300">
        <v>341</v>
      </c>
      <c r="M300">
        <v>51476576.576576576</v>
      </c>
      <c r="N300">
        <v>58453153.153153151</v>
      </c>
      <c r="O300">
        <v>94104120.720720723</v>
      </c>
      <c r="P300">
        <v>102188018.01801802</v>
      </c>
      <c r="Q300">
        <v>49332432.432432435</v>
      </c>
      <c r="R300">
        <v>49408018.018018015</v>
      </c>
      <c r="S300">
        <v>12959</v>
      </c>
      <c r="T300">
        <v>9341</v>
      </c>
    </row>
    <row r="301" spans="1:20" x14ac:dyDescent="0.35">
      <c r="A301" s="7" t="s">
        <v>399</v>
      </c>
      <c r="B301" s="12" t="s">
        <v>400</v>
      </c>
      <c r="C301">
        <v>513541412.36312377</v>
      </c>
      <c r="D301">
        <v>515708708.96096534</v>
      </c>
      <c r="E301">
        <v>6384459.4594594613</v>
      </c>
      <c r="F301">
        <v>4297297.2972973008</v>
      </c>
      <c r="G301">
        <v>111</v>
      </c>
      <c r="H301">
        <v>105</v>
      </c>
      <c r="K301">
        <v>124</v>
      </c>
      <c r="L301">
        <v>123</v>
      </c>
      <c r="M301">
        <v>48694594.59459459</v>
      </c>
      <c r="N301">
        <v>58225646.846846849</v>
      </c>
      <c r="O301">
        <v>94841414.414414421</v>
      </c>
      <c r="P301">
        <v>105077018.01801802</v>
      </c>
      <c r="Q301">
        <v>49253423.423423424</v>
      </c>
      <c r="R301">
        <v>52487117.117117114</v>
      </c>
      <c r="S301">
        <v>12078</v>
      </c>
      <c r="T301">
        <v>11416</v>
      </c>
    </row>
    <row r="302" spans="1:20" x14ac:dyDescent="0.35">
      <c r="A302" s="7" t="s">
        <v>401</v>
      </c>
      <c r="B302" s="12" t="s">
        <v>141</v>
      </c>
      <c r="C302">
        <v>165722384.47463763</v>
      </c>
      <c r="D302">
        <v>169680954.43578595</v>
      </c>
      <c r="E302">
        <v>2468468.46846847</v>
      </c>
      <c r="F302">
        <v>2313513.5135135138</v>
      </c>
      <c r="G302">
        <v>47</v>
      </c>
      <c r="H302">
        <v>30</v>
      </c>
      <c r="K302">
        <v>49</v>
      </c>
      <c r="L302">
        <v>35</v>
      </c>
      <c r="M302">
        <v>34508288.288288288</v>
      </c>
      <c r="N302">
        <v>36903603.603603609</v>
      </c>
      <c r="O302">
        <v>52001549.54954955</v>
      </c>
      <c r="P302">
        <v>55794225.225225225</v>
      </c>
      <c r="Q302">
        <v>33919729.729729727</v>
      </c>
      <c r="R302">
        <v>36407927.927927926</v>
      </c>
      <c r="S302">
        <v>3526</v>
      </c>
      <c r="T302">
        <v>3158</v>
      </c>
    </row>
    <row r="303" spans="1:20" x14ac:dyDescent="0.35">
      <c r="A303" s="7" t="s">
        <v>402</v>
      </c>
      <c r="B303" s="12" t="s">
        <v>122</v>
      </c>
      <c r="C303">
        <v>45760793.284515999</v>
      </c>
      <c r="D303">
        <v>39867689.478472233</v>
      </c>
      <c r="E303">
        <v>414414.41441441502</v>
      </c>
      <c r="F303">
        <v>124324.324324325</v>
      </c>
      <c r="G303">
        <v>16</v>
      </c>
      <c r="H303">
        <v>29</v>
      </c>
      <c r="K303">
        <v>22</v>
      </c>
      <c r="L303">
        <v>38</v>
      </c>
      <c r="M303">
        <v>2216216.2162162168</v>
      </c>
      <c r="N303">
        <v>1926126.1261261271</v>
      </c>
      <c r="O303">
        <v>4219695.9459459456</v>
      </c>
      <c r="P303">
        <v>5809963.963963964</v>
      </c>
      <c r="Q303">
        <v>985495.49549549504</v>
      </c>
      <c r="R303">
        <v>1875225.2252252251</v>
      </c>
      <c r="S303">
        <v>1123</v>
      </c>
      <c r="T303">
        <v>1068</v>
      </c>
    </row>
    <row r="304" spans="1:20" x14ac:dyDescent="0.35">
      <c r="A304" s="7" t="s">
        <v>403</v>
      </c>
      <c r="B304" s="12" t="s">
        <v>291</v>
      </c>
      <c r="C304">
        <v>71402447.381642997</v>
      </c>
      <c r="D304">
        <v>71195720.112744436</v>
      </c>
      <c r="E304">
        <v>173686928.82882884</v>
      </c>
      <c r="F304">
        <v>168765372.07207206</v>
      </c>
      <c r="G304">
        <v>16</v>
      </c>
      <c r="H304">
        <v>9</v>
      </c>
      <c r="K304">
        <v>18</v>
      </c>
      <c r="L304">
        <v>15</v>
      </c>
      <c r="M304">
        <v>25200489.189189192</v>
      </c>
      <c r="N304">
        <v>33585544.144144148</v>
      </c>
      <c r="O304">
        <v>9668504.5045045037</v>
      </c>
      <c r="P304">
        <v>10566135.135135137</v>
      </c>
      <c r="Q304">
        <v>3741531.53153153</v>
      </c>
      <c r="R304">
        <v>2919459.4594594599</v>
      </c>
      <c r="S304">
        <v>1931</v>
      </c>
      <c r="T304">
        <v>1635</v>
      </c>
    </row>
    <row r="305" spans="1:20" x14ac:dyDescent="0.35">
      <c r="A305" s="7" t="s">
        <v>404</v>
      </c>
      <c r="B305" s="12" t="s">
        <v>122</v>
      </c>
      <c r="C305">
        <v>79682019.364116028</v>
      </c>
      <c r="D305">
        <v>72836994.479478121</v>
      </c>
      <c r="E305">
        <v>57432.432432431997</v>
      </c>
      <c r="F305">
        <v>9009.0090090100002</v>
      </c>
      <c r="G305">
        <v>12</v>
      </c>
      <c r="H305">
        <v>10</v>
      </c>
      <c r="K305">
        <v>13</v>
      </c>
      <c r="L305">
        <v>11</v>
      </c>
      <c r="M305">
        <v>60360.360360359999</v>
      </c>
      <c r="N305">
        <v>144144.14414414499</v>
      </c>
      <c r="O305">
        <v>6018954.9549549548</v>
      </c>
      <c r="P305">
        <v>7987783.7837837841</v>
      </c>
      <c r="Q305">
        <v>13513.513513514001</v>
      </c>
      <c r="R305">
        <v>162162.16216216201</v>
      </c>
      <c r="S305">
        <v>1123</v>
      </c>
      <c r="T305">
        <v>1052</v>
      </c>
    </row>
    <row r="306" spans="1:20" x14ac:dyDescent="0.35">
      <c r="A306" s="7" t="s">
        <v>405</v>
      </c>
      <c r="B306" s="12" t="s">
        <v>369</v>
      </c>
      <c r="C306">
        <v>176168694.37363264</v>
      </c>
      <c r="D306">
        <v>183881822.88571358</v>
      </c>
      <c r="E306">
        <v>2312162.162162161</v>
      </c>
      <c r="F306">
        <v>3297297.2972973031</v>
      </c>
      <c r="G306">
        <v>104</v>
      </c>
      <c r="H306">
        <v>11</v>
      </c>
      <c r="K306">
        <v>125</v>
      </c>
      <c r="L306">
        <v>46</v>
      </c>
      <c r="M306">
        <v>32036486.486486487</v>
      </c>
      <c r="N306">
        <v>64066846.846846849</v>
      </c>
      <c r="O306">
        <v>63808265.765765771</v>
      </c>
      <c r="P306">
        <v>62680212.612612613</v>
      </c>
      <c r="Q306">
        <v>29421081.081081081</v>
      </c>
      <c r="R306">
        <v>58328468.468468472</v>
      </c>
      <c r="S306">
        <v>5736</v>
      </c>
      <c r="T306">
        <v>3688</v>
      </c>
    </row>
    <row r="307" spans="1:20" x14ac:dyDescent="0.35">
      <c r="A307" s="7" t="s">
        <v>406</v>
      </c>
      <c r="B307" s="12" t="s">
        <v>141</v>
      </c>
      <c r="C307">
        <v>86044593.431782365</v>
      </c>
      <c r="D307">
        <v>88414578.513853535</v>
      </c>
      <c r="E307">
        <v>110323198.1981982</v>
      </c>
      <c r="F307">
        <v>102504684.68468469</v>
      </c>
      <c r="G307">
        <v>18</v>
      </c>
      <c r="H307">
        <v>8</v>
      </c>
      <c r="K307">
        <v>19</v>
      </c>
      <c r="L307">
        <v>8</v>
      </c>
      <c r="M307">
        <v>13276711.711711712</v>
      </c>
      <c r="N307">
        <v>18137567.567567568</v>
      </c>
      <c r="O307">
        <v>23283547.747747749</v>
      </c>
      <c r="P307">
        <v>27744225.225225225</v>
      </c>
      <c r="Q307">
        <v>12679549.54954955</v>
      </c>
      <c r="R307">
        <v>16305315.315315315</v>
      </c>
      <c r="S307">
        <v>1476</v>
      </c>
      <c r="T307">
        <v>1439</v>
      </c>
    </row>
    <row r="308" spans="1:20" x14ac:dyDescent="0.35">
      <c r="A308" s="7" t="s">
        <v>407</v>
      </c>
      <c r="B308" s="12" t="s">
        <v>55</v>
      </c>
      <c r="C308">
        <v>119767298.09222955</v>
      </c>
      <c r="D308">
        <v>121668701.37829399</v>
      </c>
      <c r="E308">
        <v>2193693.6936936951</v>
      </c>
      <c r="F308">
        <v>5230180.180180179</v>
      </c>
      <c r="G308">
        <v>76</v>
      </c>
      <c r="H308">
        <v>83</v>
      </c>
      <c r="I308">
        <v>1</v>
      </c>
      <c r="K308">
        <v>155</v>
      </c>
      <c r="L308">
        <v>139</v>
      </c>
      <c r="M308">
        <v>10883243.243243244</v>
      </c>
      <c r="N308">
        <v>14399009.009009007</v>
      </c>
      <c r="O308">
        <v>27273369.369369373</v>
      </c>
      <c r="P308">
        <v>30096126.126126129</v>
      </c>
      <c r="Q308">
        <v>11863423.423423423</v>
      </c>
      <c r="R308">
        <v>13358198.198198199</v>
      </c>
      <c r="S308">
        <v>2226</v>
      </c>
      <c r="T308">
        <v>2309</v>
      </c>
    </row>
    <row r="309" spans="1:20" x14ac:dyDescent="0.35">
      <c r="A309" s="7" t="s">
        <v>408</v>
      </c>
      <c r="B309" s="12" t="s">
        <v>135</v>
      </c>
      <c r="C309">
        <v>53671991.161985561</v>
      </c>
      <c r="D309">
        <v>58588152.513423994</v>
      </c>
      <c r="E309">
        <v>27027.027027027001</v>
      </c>
      <c r="F309">
        <v>239639.639639639</v>
      </c>
      <c r="G309">
        <v>6</v>
      </c>
      <c r="H309">
        <v>1</v>
      </c>
      <c r="K309">
        <v>6</v>
      </c>
      <c r="L309">
        <v>2</v>
      </c>
      <c r="M309">
        <v>1594594.5945945941</v>
      </c>
      <c r="N309">
        <v>3572972.9729729728</v>
      </c>
      <c r="O309">
        <v>4942945.9459459456</v>
      </c>
      <c r="P309">
        <v>6989270.2702702703</v>
      </c>
      <c r="Q309">
        <v>1379639.6396396391</v>
      </c>
      <c r="R309">
        <v>3358558.558558559</v>
      </c>
      <c r="S309">
        <v>979</v>
      </c>
      <c r="T309">
        <v>923</v>
      </c>
    </row>
    <row r="310" spans="1:20" x14ac:dyDescent="0.35">
      <c r="A310" s="7" t="s">
        <v>409</v>
      </c>
      <c r="B310" s="12" t="s">
        <v>291</v>
      </c>
      <c r="C310">
        <v>29604847.83214359</v>
      </c>
      <c r="D310">
        <v>30425894.843379345</v>
      </c>
      <c r="E310">
        <v>19054954.954954956</v>
      </c>
      <c r="F310">
        <v>18328828.828828827</v>
      </c>
      <c r="G310">
        <v>10</v>
      </c>
      <c r="H310">
        <v>13</v>
      </c>
      <c r="K310">
        <v>13</v>
      </c>
      <c r="L310">
        <v>17</v>
      </c>
      <c r="M310">
        <v>5309909.9099099096</v>
      </c>
      <c r="N310">
        <v>4513513.5135135129</v>
      </c>
      <c r="O310">
        <v>5839909.9099099096</v>
      </c>
      <c r="P310">
        <v>6979477.4774774779</v>
      </c>
      <c r="Q310">
        <v>3289279.27927928</v>
      </c>
      <c r="R310">
        <v>2253063.0630630641</v>
      </c>
      <c r="S310">
        <v>783</v>
      </c>
      <c r="T310">
        <v>892</v>
      </c>
    </row>
    <row r="311" spans="1:20" x14ac:dyDescent="0.35">
      <c r="A311" s="7" t="s">
        <v>410</v>
      </c>
      <c r="B311" s="12" t="s">
        <v>179</v>
      </c>
      <c r="C311">
        <v>536578019.48469871</v>
      </c>
      <c r="D311">
        <v>512692404.58879173</v>
      </c>
      <c r="E311">
        <v>3873873.8738738759</v>
      </c>
      <c r="F311">
        <v>5390990.9909909936</v>
      </c>
      <c r="G311">
        <v>125</v>
      </c>
      <c r="H311">
        <v>165</v>
      </c>
      <c r="K311">
        <v>282</v>
      </c>
      <c r="L311">
        <v>179</v>
      </c>
      <c r="M311">
        <v>55756837.837837838</v>
      </c>
      <c r="N311">
        <v>66853603.603603601</v>
      </c>
      <c r="O311">
        <v>184253076.57657659</v>
      </c>
      <c r="P311">
        <v>194498980.18018019</v>
      </c>
      <c r="Q311">
        <v>51717657.657657653</v>
      </c>
      <c r="R311">
        <v>64354414.414414413</v>
      </c>
      <c r="S311">
        <v>10611</v>
      </c>
      <c r="T311">
        <v>8348</v>
      </c>
    </row>
    <row r="312" spans="1:20" x14ac:dyDescent="0.35">
      <c r="A312" s="7" t="s">
        <v>668</v>
      </c>
      <c r="B312" s="12" t="s">
        <v>88</v>
      </c>
      <c r="S312">
        <v>2</v>
      </c>
    </row>
    <row r="313" spans="1:20" x14ac:dyDescent="0.35">
      <c r="A313" s="7" t="s">
        <v>411</v>
      </c>
      <c r="B313" s="12" t="s">
        <v>55</v>
      </c>
      <c r="C313">
        <v>977525686.12683415</v>
      </c>
      <c r="D313">
        <v>969054665.69887435</v>
      </c>
      <c r="E313">
        <v>119075051.35135137</v>
      </c>
      <c r="F313">
        <v>229304993.6936937</v>
      </c>
      <c r="G313">
        <v>313</v>
      </c>
      <c r="H313">
        <v>333</v>
      </c>
      <c r="K313">
        <v>404</v>
      </c>
      <c r="L313">
        <v>635</v>
      </c>
      <c r="M313">
        <v>73064414.414414421</v>
      </c>
      <c r="N313">
        <v>102493333.33333334</v>
      </c>
      <c r="O313">
        <v>201059675.67567569</v>
      </c>
      <c r="P313">
        <v>212716304.5045045</v>
      </c>
      <c r="Q313">
        <v>67741801.801801801</v>
      </c>
      <c r="R313">
        <v>90424908.108108118</v>
      </c>
      <c r="S313">
        <v>19976</v>
      </c>
      <c r="T313">
        <v>18819</v>
      </c>
    </row>
    <row r="314" spans="1:20" x14ac:dyDescent="0.35">
      <c r="A314" s="7" t="s">
        <v>412</v>
      </c>
      <c r="B314" s="12" t="s">
        <v>225</v>
      </c>
      <c r="C314">
        <v>497600079.9214946</v>
      </c>
      <c r="D314">
        <v>572451657.69960141</v>
      </c>
      <c r="E314">
        <v>1988288.2882882929</v>
      </c>
      <c r="F314">
        <v>4201801.8018018054</v>
      </c>
      <c r="G314">
        <v>188</v>
      </c>
      <c r="H314">
        <v>146</v>
      </c>
      <c r="K314">
        <v>211</v>
      </c>
      <c r="L314">
        <v>170</v>
      </c>
      <c r="M314">
        <v>62188468.468468472</v>
      </c>
      <c r="N314">
        <v>106432342.34234233</v>
      </c>
      <c r="O314">
        <v>142744210.8108108</v>
      </c>
      <c r="P314">
        <v>178215313.51351351</v>
      </c>
      <c r="Q314">
        <v>67738691.891891897</v>
      </c>
      <c r="R314">
        <v>92196486.486486495</v>
      </c>
      <c r="S314">
        <v>13733</v>
      </c>
      <c r="T314">
        <v>13907</v>
      </c>
    </row>
    <row r="315" spans="1:20" x14ac:dyDescent="0.35">
      <c r="A315" s="7" t="s">
        <v>413</v>
      </c>
      <c r="B315" s="12" t="s">
        <v>414</v>
      </c>
      <c r="C315">
        <v>196185339.11198634</v>
      </c>
      <c r="D315">
        <v>191923134.7750794</v>
      </c>
      <c r="E315">
        <v>585135.13513513806</v>
      </c>
      <c r="F315">
        <v>1245045.0450450489</v>
      </c>
      <c r="G315">
        <v>16</v>
      </c>
      <c r="H315">
        <v>11</v>
      </c>
      <c r="K315">
        <v>17</v>
      </c>
      <c r="L315">
        <v>24</v>
      </c>
      <c r="M315">
        <v>3603603.603603607</v>
      </c>
      <c r="N315">
        <v>143315765.76576576</v>
      </c>
      <c r="O315">
        <v>78741324.324324325</v>
      </c>
      <c r="P315">
        <v>86445630.630630627</v>
      </c>
      <c r="Q315">
        <v>3966036.036036036</v>
      </c>
      <c r="R315">
        <v>5299099.0990990987</v>
      </c>
      <c r="S315">
        <v>4079</v>
      </c>
      <c r="T315">
        <v>3805</v>
      </c>
    </row>
    <row r="316" spans="1:20" x14ac:dyDescent="0.35">
      <c r="A316" s="7" t="s">
        <v>415</v>
      </c>
      <c r="B316" s="12" t="s">
        <v>215</v>
      </c>
      <c r="C316">
        <v>1265994217.2682221</v>
      </c>
      <c r="D316">
        <v>1170838226.8093166</v>
      </c>
      <c r="E316">
        <v>613466849.54954958</v>
      </c>
      <c r="F316">
        <v>487708139.63963968</v>
      </c>
      <c r="G316">
        <v>1045</v>
      </c>
      <c r="H316">
        <v>615</v>
      </c>
      <c r="I316">
        <v>3</v>
      </c>
      <c r="K316">
        <v>1117</v>
      </c>
      <c r="L316">
        <v>873</v>
      </c>
      <c r="M316">
        <v>178042657.65765765</v>
      </c>
      <c r="N316">
        <v>175242792.79279277</v>
      </c>
      <c r="O316">
        <v>566296691.89189196</v>
      </c>
      <c r="P316">
        <v>531695837.83783782</v>
      </c>
      <c r="Q316">
        <v>163805585.58558559</v>
      </c>
      <c r="R316">
        <v>169891621.62162164</v>
      </c>
      <c r="S316">
        <v>25158</v>
      </c>
      <c r="T316">
        <v>23536</v>
      </c>
    </row>
    <row r="317" spans="1:20" x14ac:dyDescent="0.35">
      <c r="A317" s="7" t="s">
        <v>416</v>
      </c>
      <c r="B317" s="12" t="s">
        <v>414</v>
      </c>
      <c r="C317">
        <v>109487726.02382316</v>
      </c>
      <c r="D317">
        <v>105564491.79859161</v>
      </c>
      <c r="E317">
        <v>758108.10810810898</v>
      </c>
      <c r="F317">
        <v>1832432.4324324341</v>
      </c>
      <c r="G317">
        <v>30</v>
      </c>
      <c r="H317">
        <v>23</v>
      </c>
      <c r="K317">
        <v>39</v>
      </c>
      <c r="L317">
        <v>24</v>
      </c>
      <c r="M317">
        <v>18381299.099099096</v>
      </c>
      <c r="N317">
        <v>18231081.081081081</v>
      </c>
      <c r="O317">
        <v>40552200.45045045</v>
      </c>
      <c r="P317">
        <v>42575387.387387387</v>
      </c>
      <c r="Q317">
        <v>15677747.747747747</v>
      </c>
      <c r="R317">
        <v>15975765.765765764</v>
      </c>
      <c r="S317">
        <v>3005</v>
      </c>
      <c r="T317">
        <v>2340</v>
      </c>
    </row>
    <row r="318" spans="1:20" x14ac:dyDescent="0.35">
      <c r="A318" s="7" t="s">
        <v>417</v>
      </c>
      <c r="B318" s="12" t="s">
        <v>237</v>
      </c>
      <c r="C318">
        <v>790527426.21637499</v>
      </c>
      <c r="D318">
        <v>780801451.09992921</v>
      </c>
      <c r="E318">
        <v>3327927.9279279308</v>
      </c>
      <c r="F318">
        <v>3642792.7927927952</v>
      </c>
      <c r="G318">
        <v>158</v>
      </c>
      <c r="H318">
        <v>207</v>
      </c>
      <c r="I318">
        <v>5</v>
      </c>
      <c r="K318">
        <v>224</v>
      </c>
      <c r="L318">
        <v>340</v>
      </c>
      <c r="M318">
        <v>108294774.77477477</v>
      </c>
      <c r="N318">
        <v>82948198.198198199</v>
      </c>
      <c r="O318">
        <v>184959684.68468466</v>
      </c>
      <c r="P318">
        <v>200692809.00900903</v>
      </c>
      <c r="Q318">
        <v>102272972.97297297</v>
      </c>
      <c r="R318">
        <v>73894684.684684694</v>
      </c>
      <c r="S318">
        <v>11237</v>
      </c>
      <c r="T318">
        <v>11950</v>
      </c>
    </row>
    <row r="319" spans="1:20" x14ac:dyDescent="0.35">
      <c r="A319" s="7" t="s">
        <v>418</v>
      </c>
      <c r="B319" s="12" t="s">
        <v>118</v>
      </c>
      <c r="C319">
        <v>763392786.02513897</v>
      </c>
      <c r="D319">
        <v>771624341.67016315</v>
      </c>
      <c r="E319">
        <v>647092042.34234238</v>
      </c>
      <c r="F319">
        <v>558008925.22522521</v>
      </c>
      <c r="G319">
        <v>607</v>
      </c>
      <c r="H319">
        <v>578</v>
      </c>
      <c r="I319">
        <v>2</v>
      </c>
      <c r="K319">
        <v>992</v>
      </c>
      <c r="L319">
        <v>1606</v>
      </c>
      <c r="M319">
        <v>177540171.17117116</v>
      </c>
      <c r="N319">
        <v>430323921.62162161</v>
      </c>
      <c r="O319">
        <v>349474705.4054054</v>
      </c>
      <c r="P319">
        <v>392365360.36036038</v>
      </c>
      <c r="Q319">
        <v>178606036.03603604</v>
      </c>
      <c r="R319">
        <v>222771216.21621624</v>
      </c>
      <c r="S319">
        <v>19284</v>
      </c>
      <c r="T319">
        <v>17534</v>
      </c>
    </row>
    <row r="320" spans="1:20" x14ac:dyDescent="0.35">
      <c r="A320" s="7" t="s">
        <v>419</v>
      </c>
      <c r="B320" s="12" t="s">
        <v>148</v>
      </c>
      <c r="C320">
        <v>18481476.077915449</v>
      </c>
      <c r="D320">
        <v>19943962.275717717</v>
      </c>
      <c r="G320">
        <v>3</v>
      </c>
      <c r="H320">
        <v>4</v>
      </c>
      <c r="K320">
        <v>3</v>
      </c>
      <c r="L320">
        <v>4</v>
      </c>
      <c r="O320">
        <v>6369360.3603603607</v>
      </c>
      <c r="P320">
        <v>6550531.5315315323</v>
      </c>
      <c r="S320">
        <v>496</v>
      </c>
      <c r="T320">
        <v>480</v>
      </c>
    </row>
    <row r="321" spans="1:20" x14ac:dyDescent="0.35">
      <c r="A321" s="7" t="s">
        <v>420</v>
      </c>
      <c r="B321" s="12" t="s">
        <v>305</v>
      </c>
      <c r="C321">
        <v>166889905.46992928</v>
      </c>
      <c r="D321">
        <v>153022846.97624633</v>
      </c>
      <c r="E321">
        <v>4490315.3153153146</v>
      </c>
      <c r="F321">
        <v>3257657.6576576638</v>
      </c>
      <c r="G321">
        <v>107</v>
      </c>
      <c r="H321">
        <v>69</v>
      </c>
      <c r="K321">
        <v>116</v>
      </c>
      <c r="L321">
        <v>91</v>
      </c>
      <c r="M321">
        <v>29791891.891891897</v>
      </c>
      <c r="N321">
        <v>38796396.396396399</v>
      </c>
      <c r="O321">
        <v>37557254.954954959</v>
      </c>
      <c r="P321">
        <v>34835891.891891889</v>
      </c>
      <c r="Q321">
        <v>27599369.369369369</v>
      </c>
      <c r="R321">
        <v>35578738.738738738</v>
      </c>
      <c r="S321">
        <v>3487</v>
      </c>
      <c r="T321">
        <v>2254</v>
      </c>
    </row>
    <row r="322" spans="1:20" x14ac:dyDescent="0.35">
      <c r="A322" s="7" t="s">
        <v>421</v>
      </c>
      <c r="B322" s="12" t="s">
        <v>305</v>
      </c>
      <c r="C322">
        <v>187562616.00929242</v>
      </c>
      <c r="D322">
        <v>185827341.99073023</v>
      </c>
      <c r="E322">
        <v>7603378.3783783764</v>
      </c>
      <c r="F322">
        <v>5025225.2252252419</v>
      </c>
      <c r="G322">
        <v>125</v>
      </c>
      <c r="H322">
        <v>302</v>
      </c>
      <c r="K322">
        <v>201</v>
      </c>
      <c r="L322">
        <v>644</v>
      </c>
      <c r="M322">
        <v>35493693.69369369</v>
      </c>
      <c r="N322">
        <v>42211711.711711712</v>
      </c>
      <c r="O322">
        <v>59209637.837837838</v>
      </c>
      <c r="P322">
        <v>62430291.891891897</v>
      </c>
      <c r="Q322">
        <v>26969279.27927928</v>
      </c>
      <c r="R322">
        <v>37742385.585585587</v>
      </c>
      <c r="S322">
        <v>5686</v>
      </c>
      <c r="T322">
        <v>2983</v>
      </c>
    </row>
    <row r="323" spans="1:20" x14ac:dyDescent="0.35">
      <c r="A323" s="7" t="s">
        <v>422</v>
      </c>
      <c r="B323" s="12" t="s">
        <v>122</v>
      </c>
      <c r="C323">
        <v>8216376.2138591744</v>
      </c>
      <c r="D323">
        <v>8624706.6607917398</v>
      </c>
      <c r="E323">
        <v>42342.342342342999</v>
      </c>
      <c r="F323">
        <v>40540.540540540998</v>
      </c>
      <c r="G323">
        <v>4</v>
      </c>
      <c r="H323">
        <v>4</v>
      </c>
      <c r="K323">
        <v>4</v>
      </c>
      <c r="L323">
        <v>5</v>
      </c>
      <c r="M323">
        <v>42342.342342342999</v>
      </c>
      <c r="N323">
        <v>220720.720720721</v>
      </c>
      <c r="O323">
        <v>892153.15315315302</v>
      </c>
      <c r="P323">
        <v>836306.30630630604</v>
      </c>
      <c r="Q323">
        <v>169369.369369369</v>
      </c>
      <c r="R323">
        <v>262612.61261261202</v>
      </c>
      <c r="S323">
        <v>365</v>
      </c>
      <c r="T323">
        <v>344</v>
      </c>
    </row>
    <row r="324" spans="1:20" x14ac:dyDescent="0.35">
      <c r="A324" s="7" t="s">
        <v>423</v>
      </c>
      <c r="B324" s="12" t="s">
        <v>61</v>
      </c>
      <c r="C324">
        <v>98454276.572102875</v>
      </c>
      <c r="D324">
        <v>94275388.968228012</v>
      </c>
      <c r="E324">
        <v>1126126.1261261271</v>
      </c>
      <c r="F324">
        <v>1256306.306306307</v>
      </c>
      <c r="G324">
        <v>40</v>
      </c>
      <c r="H324">
        <v>44</v>
      </c>
      <c r="I324">
        <v>5</v>
      </c>
      <c r="K324">
        <v>45</v>
      </c>
      <c r="L324">
        <v>60</v>
      </c>
      <c r="M324">
        <v>22082882.882882886</v>
      </c>
      <c r="N324">
        <v>20500450.45045045</v>
      </c>
      <c r="O324">
        <v>34989288.288288288</v>
      </c>
      <c r="P324">
        <v>35710459.459459461</v>
      </c>
      <c r="Q324">
        <v>22849459.459459461</v>
      </c>
      <c r="R324">
        <v>21668108.108108107</v>
      </c>
      <c r="S324">
        <v>2264</v>
      </c>
      <c r="T324">
        <v>2124</v>
      </c>
    </row>
    <row r="325" spans="1:20" x14ac:dyDescent="0.35">
      <c r="A325" s="7" t="s">
        <v>424</v>
      </c>
      <c r="B325" s="12" t="s">
        <v>182</v>
      </c>
      <c r="C325">
        <v>962538791.13684094</v>
      </c>
      <c r="D325">
        <v>997325174.35016704</v>
      </c>
      <c r="E325">
        <v>11306306.306306312</v>
      </c>
      <c r="F325">
        <v>12734234.234234244</v>
      </c>
      <c r="G325">
        <v>368</v>
      </c>
      <c r="H325">
        <v>354</v>
      </c>
      <c r="I325">
        <v>4</v>
      </c>
      <c r="K325">
        <v>530</v>
      </c>
      <c r="L325">
        <v>436</v>
      </c>
      <c r="M325">
        <v>159230360.36036035</v>
      </c>
      <c r="N325">
        <v>238776351.35135135</v>
      </c>
      <c r="O325">
        <v>279411816.21621621</v>
      </c>
      <c r="P325">
        <v>297287405.4054054</v>
      </c>
      <c r="Q325">
        <v>154704954.95495495</v>
      </c>
      <c r="R325">
        <v>235031441.44144145</v>
      </c>
      <c r="S325">
        <v>26543</v>
      </c>
      <c r="T325">
        <v>22439</v>
      </c>
    </row>
    <row r="326" spans="1:20" x14ac:dyDescent="0.35">
      <c r="A326" s="7" t="s">
        <v>425</v>
      </c>
      <c r="B326" s="12" t="s">
        <v>77</v>
      </c>
      <c r="C326">
        <v>31524408.742499135</v>
      </c>
      <c r="D326">
        <v>28106731.117614727</v>
      </c>
      <c r="E326">
        <v>67567.567567567996</v>
      </c>
      <c r="F326">
        <v>157657.65765765801</v>
      </c>
      <c r="G326">
        <v>7</v>
      </c>
      <c r="H326">
        <v>3</v>
      </c>
      <c r="K326">
        <v>8</v>
      </c>
      <c r="L326">
        <v>5</v>
      </c>
      <c r="M326">
        <v>1986486.4864864859</v>
      </c>
      <c r="N326">
        <v>3581081.0810810812</v>
      </c>
      <c r="O326">
        <v>2848486.4864864862</v>
      </c>
      <c r="P326">
        <v>4545621.6216216218</v>
      </c>
      <c r="Q326">
        <v>2266576.5765765761</v>
      </c>
      <c r="R326">
        <v>2388558.5585585581</v>
      </c>
      <c r="S326">
        <v>985</v>
      </c>
      <c r="T326">
        <v>692</v>
      </c>
    </row>
    <row r="327" spans="1:20" x14ac:dyDescent="0.35">
      <c r="A327" s="7" t="s">
        <v>426</v>
      </c>
      <c r="B327" s="12" t="s">
        <v>77</v>
      </c>
      <c r="C327">
        <v>111981829.87741409</v>
      </c>
      <c r="D327">
        <v>113101785.31199245</v>
      </c>
      <c r="E327">
        <v>145045.04504504599</v>
      </c>
      <c r="F327">
        <v>1020720.7207207209</v>
      </c>
      <c r="G327">
        <v>25</v>
      </c>
      <c r="H327">
        <v>27</v>
      </c>
      <c r="K327">
        <v>27</v>
      </c>
      <c r="L327">
        <v>30</v>
      </c>
      <c r="M327">
        <v>12410900.9009009</v>
      </c>
      <c r="N327">
        <v>25074054.054054052</v>
      </c>
      <c r="O327">
        <v>24838441.441441439</v>
      </c>
      <c r="P327">
        <v>26406747.747747749</v>
      </c>
      <c r="Q327">
        <v>9696036.0360360369</v>
      </c>
      <c r="R327">
        <v>19084234.234234232</v>
      </c>
      <c r="S327">
        <v>1554</v>
      </c>
      <c r="T327">
        <v>1486</v>
      </c>
    </row>
    <row r="328" spans="1:20" x14ac:dyDescent="0.35">
      <c r="A328" s="7" t="s">
        <v>427</v>
      </c>
      <c r="B328" s="12" t="s">
        <v>331</v>
      </c>
      <c r="C328">
        <v>586311310.76279593</v>
      </c>
      <c r="D328">
        <v>531429243.05052841</v>
      </c>
      <c r="E328">
        <v>4331306.3063063081</v>
      </c>
      <c r="F328">
        <v>2306756.756756762</v>
      </c>
      <c r="G328">
        <v>192</v>
      </c>
      <c r="H328">
        <v>216</v>
      </c>
      <c r="K328">
        <v>213</v>
      </c>
      <c r="L328">
        <v>255</v>
      </c>
      <c r="M328">
        <v>31769729.729729727</v>
      </c>
      <c r="N328">
        <v>92968468.468468457</v>
      </c>
      <c r="O328">
        <v>154713407.65765765</v>
      </c>
      <c r="P328">
        <v>101742421.62162161</v>
      </c>
      <c r="Q328">
        <v>28853693.693693694</v>
      </c>
      <c r="R328">
        <v>90698828.828828827</v>
      </c>
      <c r="S328">
        <v>14323</v>
      </c>
      <c r="T328">
        <v>12519</v>
      </c>
    </row>
    <row r="329" spans="1:20" x14ac:dyDescent="0.35">
      <c r="A329" s="7" t="s">
        <v>428</v>
      </c>
      <c r="B329" s="12" t="s">
        <v>242</v>
      </c>
      <c r="C329">
        <v>149390252.24640447</v>
      </c>
      <c r="D329">
        <v>140277424.40014622</v>
      </c>
      <c r="E329">
        <v>321902552.25225222</v>
      </c>
      <c r="F329">
        <v>162036793.6936937</v>
      </c>
      <c r="G329">
        <v>52</v>
      </c>
      <c r="H329">
        <v>47</v>
      </c>
      <c r="K329">
        <v>61</v>
      </c>
      <c r="L329">
        <v>55</v>
      </c>
      <c r="M329">
        <v>31173873.873873871</v>
      </c>
      <c r="N329">
        <v>35623423.423423424</v>
      </c>
      <c r="O329">
        <v>57211837.837837838</v>
      </c>
      <c r="P329">
        <v>57902108.108108111</v>
      </c>
      <c r="Q329">
        <v>18456486.486486483</v>
      </c>
      <c r="R329">
        <v>25030540.540540542</v>
      </c>
      <c r="S329">
        <v>5502</v>
      </c>
      <c r="T329">
        <v>5815</v>
      </c>
    </row>
    <row r="330" spans="1:20" x14ac:dyDescent="0.35">
      <c r="A330" s="7" t="s">
        <v>669</v>
      </c>
      <c r="B330" s="12" t="s">
        <v>55</v>
      </c>
      <c r="E330">
        <v>58079639.639639638</v>
      </c>
      <c r="F330">
        <v>301283783.78378379</v>
      </c>
      <c r="M330">
        <v>452252.25225225202</v>
      </c>
      <c r="N330">
        <v>1486486.4864864859</v>
      </c>
    </row>
    <row r="331" spans="1:20" x14ac:dyDescent="0.35">
      <c r="A331" s="7" t="s">
        <v>429</v>
      </c>
      <c r="B331" s="12" t="s">
        <v>284</v>
      </c>
      <c r="C331">
        <v>63157143.82261765</v>
      </c>
      <c r="D331">
        <v>77701149.066077635</v>
      </c>
      <c r="E331">
        <v>623423.42342342401</v>
      </c>
      <c r="F331">
        <v>1999099.0990991001</v>
      </c>
      <c r="G331">
        <v>9</v>
      </c>
      <c r="H331">
        <v>67</v>
      </c>
      <c r="K331">
        <v>44</v>
      </c>
      <c r="L331">
        <v>99</v>
      </c>
      <c r="M331">
        <v>26419459.459459461</v>
      </c>
      <c r="N331">
        <v>17954054.054054055</v>
      </c>
      <c r="O331">
        <v>11857684.684684685</v>
      </c>
      <c r="P331">
        <v>19271711.711711712</v>
      </c>
      <c r="Q331">
        <v>27254864.864864863</v>
      </c>
      <c r="R331">
        <v>14954324.324324325</v>
      </c>
      <c r="S331">
        <v>1260</v>
      </c>
      <c r="T331">
        <v>1381</v>
      </c>
    </row>
    <row r="332" spans="1:20" x14ac:dyDescent="0.35">
      <c r="A332" s="7" t="s">
        <v>430</v>
      </c>
      <c r="B332" s="12" t="s">
        <v>284</v>
      </c>
      <c r="C332">
        <v>19683236.866290659</v>
      </c>
      <c r="D332">
        <v>19321429.580053706</v>
      </c>
      <c r="E332">
        <v>207207.20720720699</v>
      </c>
      <c r="F332">
        <v>518018.01801801799</v>
      </c>
      <c r="H332">
        <v>1</v>
      </c>
      <c r="L332">
        <v>2</v>
      </c>
      <c r="M332">
        <v>3090090.090090089</v>
      </c>
      <c r="N332">
        <v>5184684.6846846854</v>
      </c>
      <c r="O332">
        <v>1428639.63963964</v>
      </c>
      <c r="P332">
        <v>2093261.261261262</v>
      </c>
      <c r="Q332">
        <v>2885855.8558558552</v>
      </c>
      <c r="R332">
        <v>4732612.6126126116</v>
      </c>
      <c r="S332">
        <v>511</v>
      </c>
      <c r="T332">
        <v>496</v>
      </c>
    </row>
    <row r="333" spans="1:20" x14ac:dyDescent="0.35">
      <c r="A333" s="7" t="s">
        <v>431</v>
      </c>
      <c r="B333" s="12" t="s">
        <v>284</v>
      </c>
      <c r="C333">
        <v>42318848.736340947</v>
      </c>
      <c r="D333">
        <v>45624227.019598044</v>
      </c>
      <c r="E333">
        <v>265765.76576576597</v>
      </c>
      <c r="F333">
        <v>599099.09909909999</v>
      </c>
      <c r="G333">
        <v>5</v>
      </c>
      <c r="H333">
        <v>2</v>
      </c>
      <c r="K333">
        <v>5</v>
      </c>
      <c r="L333">
        <v>4</v>
      </c>
      <c r="M333">
        <v>355855.85585585597</v>
      </c>
      <c r="N333">
        <v>599099.09909909999</v>
      </c>
      <c r="O333">
        <v>3585720.72072072</v>
      </c>
      <c r="P333">
        <v>4237243.2432432426</v>
      </c>
      <c r="Q333">
        <v>173423.423423423</v>
      </c>
      <c r="R333">
        <v>340720.720720721</v>
      </c>
      <c r="S333">
        <v>852</v>
      </c>
      <c r="T333">
        <v>780</v>
      </c>
    </row>
    <row r="334" spans="1:20" x14ac:dyDescent="0.35">
      <c r="A334" s="7" t="s">
        <v>432</v>
      </c>
      <c r="B334" s="12" t="s">
        <v>79</v>
      </c>
      <c r="C334">
        <v>252292625.93706182</v>
      </c>
      <c r="D334">
        <v>255382635.94438311</v>
      </c>
      <c r="E334">
        <v>3507207.2072072122</v>
      </c>
      <c r="F334">
        <v>6515315.3153153183</v>
      </c>
      <c r="G334">
        <v>223</v>
      </c>
      <c r="H334">
        <v>157</v>
      </c>
      <c r="K334">
        <v>309</v>
      </c>
      <c r="L334">
        <v>223</v>
      </c>
      <c r="M334">
        <v>24115315.315315317</v>
      </c>
      <c r="N334">
        <v>37686486.486486487</v>
      </c>
      <c r="O334">
        <v>112250891.89189188</v>
      </c>
      <c r="P334">
        <v>111896252.25225225</v>
      </c>
      <c r="Q334">
        <v>25064954.954954952</v>
      </c>
      <c r="R334">
        <v>32178468.468468469</v>
      </c>
      <c r="S334">
        <v>6763</v>
      </c>
      <c r="T334">
        <v>7794</v>
      </c>
    </row>
    <row r="335" spans="1:20" x14ac:dyDescent="0.35">
      <c r="A335" s="7" t="s">
        <v>433</v>
      </c>
      <c r="B335" s="12" t="s">
        <v>106</v>
      </c>
      <c r="C335">
        <v>227296129.05231172</v>
      </c>
      <c r="D335">
        <v>212069957.62024218</v>
      </c>
      <c r="E335">
        <v>1026126.126126126</v>
      </c>
      <c r="F335">
        <v>1221621.6216216229</v>
      </c>
      <c r="G335">
        <v>22</v>
      </c>
      <c r="H335">
        <v>44</v>
      </c>
      <c r="I335">
        <v>1</v>
      </c>
      <c r="K335">
        <v>25</v>
      </c>
      <c r="L335">
        <v>50</v>
      </c>
      <c r="M335">
        <v>26537072.072072074</v>
      </c>
      <c r="N335">
        <v>37287837.837837838</v>
      </c>
      <c r="O335">
        <v>54233306.306306303</v>
      </c>
      <c r="P335">
        <v>58520252.252252258</v>
      </c>
      <c r="Q335">
        <v>27788873.873873871</v>
      </c>
      <c r="R335">
        <v>39832072.072072074</v>
      </c>
      <c r="S335">
        <v>3857</v>
      </c>
      <c r="T335">
        <v>3476</v>
      </c>
    </row>
    <row r="336" spans="1:20" x14ac:dyDescent="0.35">
      <c r="A336" s="7" t="s">
        <v>434</v>
      </c>
      <c r="B336" s="12" t="s">
        <v>73</v>
      </c>
      <c r="C336">
        <v>1205824673.1465967</v>
      </c>
      <c r="D336">
        <v>1201386608.1929324</v>
      </c>
      <c r="E336">
        <v>7429279.2792792944</v>
      </c>
      <c r="F336">
        <v>6899099.0990991145</v>
      </c>
      <c r="G336">
        <v>328</v>
      </c>
      <c r="H336">
        <v>293</v>
      </c>
      <c r="I336">
        <v>3</v>
      </c>
      <c r="K336">
        <v>437</v>
      </c>
      <c r="L336">
        <v>348</v>
      </c>
      <c r="M336">
        <v>173568918.91891891</v>
      </c>
      <c r="N336">
        <v>200646396.3963964</v>
      </c>
      <c r="O336">
        <v>253278799.54954955</v>
      </c>
      <c r="P336">
        <v>277590918.91891891</v>
      </c>
      <c r="Q336">
        <v>135308108.1081081</v>
      </c>
      <c r="R336">
        <v>145754324.32432431</v>
      </c>
      <c r="S336">
        <v>18458</v>
      </c>
      <c r="T336">
        <v>18050</v>
      </c>
    </row>
    <row r="337" spans="1:20" x14ac:dyDescent="0.35">
      <c r="A337" s="7" t="s">
        <v>435</v>
      </c>
      <c r="B337" s="12" t="s">
        <v>73</v>
      </c>
      <c r="C337">
        <v>824872501.95267606</v>
      </c>
      <c r="D337">
        <v>855470060.90925491</v>
      </c>
      <c r="E337">
        <v>4764189.1891891966</v>
      </c>
      <c r="F337">
        <v>6219819.8198198322</v>
      </c>
      <c r="G337">
        <v>183</v>
      </c>
      <c r="H337">
        <v>138</v>
      </c>
      <c r="I337">
        <v>1</v>
      </c>
      <c r="K337">
        <v>201</v>
      </c>
      <c r="L337">
        <v>156</v>
      </c>
      <c r="M337">
        <v>91454954.954954967</v>
      </c>
      <c r="N337">
        <v>106282882.88288289</v>
      </c>
      <c r="O337">
        <v>155652702.7027027</v>
      </c>
      <c r="P337">
        <v>182106477.47747746</v>
      </c>
      <c r="Q337">
        <v>68735315.315315306</v>
      </c>
      <c r="R337">
        <v>72803333.333333328</v>
      </c>
      <c r="S337">
        <v>13992</v>
      </c>
      <c r="T337">
        <v>13660</v>
      </c>
    </row>
    <row r="338" spans="1:20" x14ac:dyDescent="0.35">
      <c r="A338" s="7" t="s">
        <v>436</v>
      </c>
      <c r="B338" s="12" t="s">
        <v>95</v>
      </c>
      <c r="C338">
        <v>58009873.537087761</v>
      </c>
      <c r="D338">
        <v>61180083.233663335</v>
      </c>
      <c r="E338">
        <v>13513.513513514001</v>
      </c>
      <c r="G338">
        <v>3</v>
      </c>
      <c r="H338">
        <v>6</v>
      </c>
      <c r="K338">
        <v>3</v>
      </c>
      <c r="L338">
        <v>8</v>
      </c>
      <c r="M338">
        <v>554054.05405405397</v>
      </c>
      <c r="N338">
        <v>450450.45045045001</v>
      </c>
      <c r="O338">
        <v>14321234.234234234</v>
      </c>
      <c r="P338">
        <v>16873324.324324325</v>
      </c>
      <c r="Q338">
        <v>427567.56756756798</v>
      </c>
      <c r="R338">
        <v>308558.55855855899</v>
      </c>
      <c r="S338">
        <v>906</v>
      </c>
      <c r="T338">
        <v>862</v>
      </c>
    </row>
    <row r="339" spans="1:20" x14ac:dyDescent="0.35">
      <c r="A339" s="7" t="s">
        <v>437</v>
      </c>
      <c r="B339" s="12" t="s">
        <v>90</v>
      </c>
      <c r="C339">
        <v>304291796.08504879</v>
      </c>
      <c r="D339">
        <v>322090360.19657373</v>
      </c>
      <c r="E339">
        <v>3889189.1891891961</v>
      </c>
      <c r="F339">
        <v>7104504.5045045102</v>
      </c>
      <c r="G339">
        <v>85</v>
      </c>
      <c r="H339">
        <v>55</v>
      </c>
      <c r="K339">
        <v>93</v>
      </c>
      <c r="L339">
        <v>65</v>
      </c>
      <c r="M339">
        <v>41189009.009009011</v>
      </c>
      <c r="N339">
        <v>49371441.441441439</v>
      </c>
      <c r="O339">
        <v>139236436.93693694</v>
      </c>
      <c r="P339">
        <v>149305729.72972974</v>
      </c>
      <c r="Q339">
        <v>39941081.081081077</v>
      </c>
      <c r="R339">
        <v>53383693.693693697</v>
      </c>
      <c r="S339">
        <v>5533</v>
      </c>
      <c r="T339">
        <v>5826</v>
      </c>
    </row>
    <row r="340" spans="1:20" x14ac:dyDescent="0.35">
      <c r="A340" s="7" t="s">
        <v>438</v>
      </c>
      <c r="B340" s="12" t="s">
        <v>71</v>
      </c>
      <c r="C340">
        <v>9547864.6744411159</v>
      </c>
      <c r="D340">
        <v>8858672.0953500569</v>
      </c>
      <c r="G340">
        <v>7</v>
      </c>
      <c r="H340">
        <v>5</v>
      </c>
      <c r="K340">
        <v>7</v>
      </c>
      <c r="L340">
        <v>5</v>
      </c>
      <c r="O340">
        <v>6463324.3243243238</v>
      </c>
      <c r="P340">
        <v>5998504.5045045037</v>
      </c>
      <c r="S340">
        <v>2797</v>
      </c>
      <c r="T340">
        <v>2740</v>
      </c>
    </row>
    <row r="341" spans="1:20" x14ac:dyDescent="0.35">
      <c r="A341" s="7" t="s">
        <v>439</v>
      </c>
      <c r="B341" s="12" t="s">
        <v>196</v>
      </c>
      <c r="C341">
        <v>1440731680.6969299</v>
      </c>
      <c r="D341">
        <v>1445448948.652163</v>
      </c>
      <c r="E341">
        <v>251243509.009009</v>
      </c>
      <c r="F341">
        <v>324207473.87387395</v>
      </c>
      <c r="G341">
        <v>386</v>
      </c>
      <c r="H341">
        <v>234</v>
      </c>
      <c r="K341">
        <v>454</v>
      </c>
      <c r="L341">
        <v>324</v>
      </c>
      <c r="M341">
        <v>135855045.04504505</v>
      </c>
      <c r="N341">
        <v>139983783.78378379</v>
      </c>
      <c r="O341">
        <v>247363324.32432431</v>
      </c>
      <c r="P341">
        <v>258316998.1981982</v>
      </c>
      <c r="Q341">
        <v>116232612.61261261</v>
      </c>
      <c r="R341">
        <v>114464504.50450452</v>
      </c>
      <c r="S341">
        <v>20945</v>
      </c>
      <c r="T341">
        <v>22252</v>
      </c>
    </row>
    <row r="342" spans="1:20" x14ac:dyDescent="0.35">
      <c r="A342" s="7" t="s">
        <v>440</v>
      </c>
      <c r="B342" s="12" t="s">
        <v>179</v>
      </c>
      <c r="C342">
        <v>721478344.10299587</v>
      </c>
      <c r="D342">
        <v>713466764.62159026</v>
      </c>
      <c r="E342">
        <v>4403603.6036036061</v>
      </c>
      <c r="F342">
        <v>8830630.6306306366</v>
      </c>
      <c r="G342">
        <v>188</v>
      </c>
      <c r="H342">
        <v>93</v>
      </c>
      <c r="I342">
        <v>1</v>
      </c>
      <c r="K342">
        <v>254</v>
      </c>
      <c r="L342">
        <v>121</v>
      </c>
      <c r="M342">
        <v>116098323.42342342</v>
      </c>
      <c r="N342">
        <v>130598198.1981982</v>
      </c>
      <c r="O342">
        <v>291514815.31531531</v>
      </c>
      <c r="P342">
        <v>302273306.3063063</v>
      </c>
      <c r="Q342">
        <v>110381576.57657658</v>
      </c>
      <c r="R342">
        <v>115796756.75675675</v>
      </c>
      <c r="S342">
        <v>15174</v>
      </c>
      <c r="T342">
        <v>14324</v>
      </c>
    </row>
    <row r="343" spans="1:20" x14ac:dyDescent="0.35">
      <c r="A343" s="7" t="s">
        <v>441</v>
      </c>
      <c r="B343" s="12" t="s">
        <v>79</v>
      </c>
      <c r="C343">
        <v>307216318.52978545</v>
      </c>
      <c r="D343">
        <v>306426661.66758496</v>
      </c>
      <c r="E343">
        <v>3762162.1621621628</v>
      </c>
      <c r="F343">
        <v>6421171.1711711744</v>
      </c>
      <c r="G343">
        <v>54</v>
      </c>
      <c r="H343">
        <v>139</v>
      </c>
      <c r="I343">
        <v>2</v>
      </c>
      <c r="K343">
        <v>123</v>
      </c>
      <c r="L343">
        <v>202</v>
      </c>
      <c r="M343">
        <v>29780180.180180181</v>
      </c>
      <c r="N343">
        <v>40398648.648648649</v>
      </c>
      <c r="O343">
        <v>62577153.153153151</v>
      </c>
      <c r="P343">
        <v>68953486.486486495</v>
      </c>
      <c r="Q343">
        <v>30105135.135135137</v>
      </c>
      <c r="R343">
        <v>35504954.954954959</v>
      </c>
      <c r="S343">
        <v>5091</v>
      </c>
      <c r="T343">
        <v>5281</v>
      </c>
    </row>
    <row r="344" spans="1:20" x14ac:dyDescent="0.35">
      <c r="A344" s="7" t="s">
        <v>442</v>
      </c>
      <c r="B344" s="12" t="s">
        <v>79</v>
      </c>
      <c r="C344">
        <v>130405697.61726707</v>
      </c>
      <c r="D344">
        <v>136944736.71218619</v>
      </c>
      <c r="E344">
        <v>2242342.3423423441</v>
      </c>
      <c r="F344">
        <v>2156756.7567567579</v>
      </c>
      <c r="G344">
        <v>37</v>
      </c>
      <c r="H344">
        <v>28</v>
      </c>
      <c r="I344">
        <v>2</v>
      </c>
      <c r="K344">
        <v>44</v>
      </c>
      <c r="L344">
        <v>30</v>
      </c>
      <c r="M344">
        <v>27028558.558558557</v>
      </c>
      <c r="N344">
        <v>26425045.045045044</v>
      </c>
      <c r="O344">
        <v>28437927.927927926</v>
      </c>
      <c r="P344">
        <v>29083918.918918919</v>
      </c>
      <c r="Q344">
        <v>25435675.675675675</v>
      </c>
      <c r="R344">
        <v>23544864.864864863</v>
      </c>
      <c r="S344">
        <v>2476</v>
      </c>
      <c r="T344">
        <v>1801</v>
      </c>
    </row>
    <row r="345" spans="1:20" x14ac:dyDescent="0.35">
      <c r="A345" s="7" t="s">
        <v>443</v>
      </c>
      <c r="B345" s="12" t="s">
        <v>124</v>
      </c>
      <c r="C345">
        <v>1863594.3742323699</v>
      </c>
      <c r="D345">
        <v>1353745.146274725</v>
      </c>
      <c r="O345">
        <v>721531.53153153195</v>
      </c>
      <c r="P345">
        <v>659270.27027026995</v>
      </c>
      <c r="S345">
        <v>1</v>
      </c>
      <c r="T345">
        <v>356</v>
      </c>
    </row>
    <row r="346" spans="1:20" x14ac:dyDescent="0.35">
      <c r="A346" s="7" t="s">
        <v>444</v>
      </c>
      <c r="B346" s="12" t="s">
        <v>141</v>
      </c>
      <c r="C346">
        <v>313373795.92092943</v>
      </c>
      <c r="D346">
        <v>317052600.00781828</v>
      </c>
      <c r="E346">
        <v>3229279.27927928</v>
      </c>
      <c r="F346">
        <v>5049549.5495495535</v>
      </c>
      <c r="G346">
        <v>50</v>
      </c>
      <c r="H346">
        <v>79</v>
      </c>
      <c r="I346">
        <v>10</v>
      </c>
      <c r="K346">
        <v>100</v>
      </c>
      <c r="L346">
        <v>108</v>
      </c>
      <c r="M346">
        <v>35798558.558558561</v>
      </c>
      <c r="N346">
        <v>46237207.20720721</v>
      </c>
      <c r="O346">
        <v>85422765.765765756</v>
      </c>
      <c r="P346">
        <v>91001891.891891882</v>
      </c>
      <c r="Q346">
        <v>30809369.369369373</v>
      </c>
      <c r="R346">
        <v>38013423.423423424</v>
      </c>
      <c r="S346">
        <v>5884</v>
      </c>
      <c r="T346">
        <v>5553</v>
      </c>
    </row>
    <row r="347" spans="1:20" x14ac:dyDescent="0.35">
      <c r="A347" s="7" t="s">
        <v>445</v>
      </c>
      <c r="B347" s="12" t="s">
        <v>77</v>
      </c>
      <c r="C347">
        <v>35181461.252301104</v>
      </c>
      <c r="D347">
        <v>32915446.501989529</v>
      </c>
      <c r="E347">
        <v>281081.08108108101</v>
      </c>
      <c r="F347">
        <v>172972.97297297299</v>
      </c>
      <c r="G347">
        <v>6</v>
      </c>
      <c r="H347">
        <v>3</v>
      </c>
      <c r="K347">
        <v>6</v>
      </c>
      <c r="L347">
        <v>3</v>
      </c>
      <c r="M347">
        <v>5285585.5855855858</v>
      </c>
      <c r="N347">
        <v>9672072.072072072</v>
      </c>
      <c r="O347">
        <v>7622900.9009009013</v>
      </c>
      <c r="P347">
        <v>8032396.3963963958</v>
      </c>
      <c r="Q347">
        <v>5076306.3063063063</v>
      </c>
      <c r="R347">
        <v>7685855.8558558552</v>
      </c>
      <c r="S347">
        <v>3970</v>
      </c>
      <c r="T347">
        <v>605</v>
      </c>
    </row>
    <row r="348" spans="1:20" x14ac:dyDescent="0.35">
      <c r="A348" s="7" t="s">
        <v>446</v>
      </c>
      <c r="B348" s="12" t="s">
        <v>90</v>
      </c>
      <c r="C348">
        <v>965609257.83065426</v>
      </c>
      <c r="D348">
        <v>962033636.93107641</v>
      </c>
      <c r="E348">
        <v>415374729.72972971</v>
      </c>
      <c r="F348">
        <v>752843900.90090084</v>
      </c>
      <c r="G348">
        <v>571</v>
      </c>
      <c r="H348">
        <v>329</v>
      </c>
      <c r="I348">
        <v>6</v>
      </c>
      <c r="K348">
        <v>1477</v>
      </c>
      <c r="L348">
        <v>601</v>
      </c>
      <c r="M348">
        <v>307104054.05405408</v>
      </c>
      <c r="N348">
        <v>144700360.36036035</v>
      </c>
      <c r="O348">
        <v>320934502.7027027</v>
      </c>
      <c r="P348">
        <v>319249693.6936937</v>
      </c>
      <c r="Q348">
        <v>196250270.27027026</v>
      </c>
      <c r="R348">
        <v>144219819.81981981</v>
      </c>
      <c r="S348">
        <v>18245</v>
      </c>
      <c r="T348">
        <v>16750</v>
      </c>
    </row>
    <row r="349" spans="1:20" x14ac:dyDescent="0.35">
      <c r="A349" s="7" t="s">
        <v>447</v>
      </c>
      <c r="B349" s="12" t="s">
        <v>49</v>
      </c>
      <c r="C349">
        <v>95884881.338009283</v>
      </c>
      <c r="D349">
        <v>94397495.678573236</v>
      </c>
      <c r="E349">
        <v>106538738.73873873</v>
      </c>
      <c r="F349">
        <v>57154054.054054059</v>
      </c>
      <c r="G349">
        <v>10</v>
      </c>
      <c r="H349">
        <v>3</v>
      </c>
      <c r="K349">
        <v>11</v>
      </c>
      <c r="L349">
        <v>5</v>
      </c>
      <c r="M349">
        <v>30083963.963963963</v>
      </c>
      <c r="N349">
        <v>28500900.9009009</v>
      </c>
      <c r="O349">
        <v>32819801.801801801</v>
      </c>
      <c r="P349">
        <v>35039090.090090089</v>
      </c>
      <c r="Q349">
        <v>22205855.855855856</v>
      </c>
      <c r="R349">
        <v>16826936.936936937</v>
      </c>
      <c r="S349">
        <v>1143</v>
      </c>
      <c r="T349">
        <v>1121</v>
      </c>
    </row>
    <row r="350" spans="1:20" x14ac:dyDescent="0.35">
      <c r="A350" s="7" t="s">
        <v>448</v>
      </c>
      <c r="B350" s="12" t="s">
        <v>449</v>
      </c>
      <c r="C350">
        <v>192412386.72493079</v>
      </c>
      <c r="D350">
        <v>202590866.22529837</v>
      </c>
      <c r="E350">
        <v>3911711.7117117122</v>
      </c>
      <c r="F350">
        <v>7441891.8918918921</v>
      </c>
      <c r="G350">
        <v>99</v>
      </c>
      <c r="H350">
        <v>402</v>
      </c>
      <c r="K350">
        <v>114</v>
      </c>
      <c r="L350">
        <v>429</v>
      </c>
      <c r="M350">
        <v>15233153.153153153</v>
      </c>
      <c r="N350">
        <v>104873198.1981982</v>
      </c>
      <c r="O350">
        <v>77527072.072072074</v>
      </c>
      <c r="P350">
        <v>84131288.288288295</v>
      </c>
      <c r="Q350">
        <v>16598918.918918921</v>
      </c>
      <c r="R350">
        <v>104655360.36036035</v>
      </c>
      <c r="S350">
        <v>8498</v>
      </c>
      <c r="T350">
        <v>5840</v>
      </c>
    </row>
    <row r="351" spans="1:20" x14ac:dyDescent="0.35">
      <c r="A351" s="7" t="s">
        <v>450</v>
      </c>
      <c r="B351" s="12" t="s">
        <v>77</v>
      </c>
      <c r="C351">
        <v>46084578.35051465</v>
      </c>
      <c r="D351">
        <v>49811938.789140113</v>
      </c>
      <c r="E351">
        <v>600000.00000000198</v>
      </c>
      <c r="F351">
        <v>468468.46846847102</v>
      </c>
      <c r="G351">
        <v>28</v>
      </c>
      <c r="H351">
        <v>23</v>
      </c>
      <c r="I351">
        <v>1</v>
      </c>
      <c r="K351">
        <v>29</v>
      </c>
      <c r="L351">
        <v>29</v>
      </c>
      <c r="M351">
        <v>12904774.774774771</v>
      </c>
      <c r="N351">
        <v>15203603.603603603</v>
      </c>
      <c r="O351">
        <v>16941034.234234232</v>
      </c>
      <c r="P351">
        <v>17247639.639639638</v>
      </c>
      <c r="Q351">
        <v>10076306.306306308</v>
      </c>
      <c r="R351">
        <v>11361081.081081079</v>
      </c>
      <c r="S351">
        <v>1917</v>
      </c>
      <c r="T351">
        <v>1827</v>
      </c>
    </row>
    <row r="352" spans="1:20" x14ac:dyDescent="0.35">
      <c r="A352" s="7" t="s">
        <v>451</v>
      </c>
      <c r="B352" s="12" t="s">
        <v>84</v>
      </c>
      <c r="C352">
        <v>1714799167.3585021</v>
      </c>
      <c r="D352">
        <v>1765627684.3315461</v>
      </c>
      <c r="E352">
        <v>570524773.87387383</v>
      </c>
      <c r="F352">
        <v>683720138.73873866</v>
      </c>
      <c r="G352">
        <v>641</v>
      </c>
      <c r="H352">
        <v>403</v>
      </c>
      <c r="I352">
        <v>3</v>
      </c>
      <c r="K352">
        <v>785</v>
      </c>
      <c r="L352">
        <v>651</v>
      </c>
      <c r="M352">
        <v>206947432.43243244</v>
      </c>
      <c r="N352">
        <v>277163018.01801801</v>
      </c>
      <c r="O352">
        <v>370115371.62162161</v>
      </c>
      <c r="P352">
        <v>411421890.0900901</v>
      </c>
      <c r="Q352">
        <v>197520225.22522521</v>
      </c>
      <c r="R352">
        <v>251959954.95495495</v>
      </c>
      <c r="S352">
        <v>33388</v>
      </c>
      <c r="T352">
        <v>32451</v>
      </c>
    </row>
    <row r="353" spans="1:20" x14ac:dyDescent="0.35">
      <c r="A353" s="7" t="s">
        <v>452</v>
      </c>
      <c r="B353" s="12" t="s">
        <v>71</v>
      </c>
      <c r="C353">
        <v>114957350.70531245</v>
      </c>
      <c r="D353">
        <v>109172071.12673697</v>
      </c>
      <c r="E353">
        <v>508108.10810810799</v>
      </c>
      <c r="F353">
        <v>2050450.4504504499</v>
      </c>
      <c r="G353">
        <v>25</v>
      </c>
      <c r="H353">
        <v>12</v>
      </c>
      <c r="K353">
        <v>28</v>
      </c>
      <c r="L353">
        <v>16</v>
      </c>
      <c r="M353">
        <v>3086486.4864864852</v>
      </c>
      <c r="N353">
        <v>191873873.87387389</v>
      </c>
      <c r="O353">
        <v>70875756.756756753</v>
      </c>
      <c r="P353">
        <v>63921540.540540546</v>
      </c>
      <c r="Q353">
        <v>3193963.9639639631</v>
      </c>
      <c r="R353">
        <v>189644324.32432431</v>
      </c>
      <c r="S353">
        <v>2959</v>
      </c>
      <c r="T353">
        <v>2608</v>
      </c>
    </row>
    <row r="354" spans="1:20" x14ac:dyDescent="0.35">
      <c r="A354" s="7" t="s">
        <v>453</v>
      </c>
      <c r="B354" s="12" t="s">
        <v>168</v>
      </c>
      <c r="C354">
        <v>136340030.22716793</v>
      </c>
      <c r="D354">
        <v>140289467.38919002</v>
      </c>
      <c r="E354">
        <v>3198198.1981981979</v>
      </c>
      <c r="F354">
        <v>4035135.1351351342</v>
      </c>
      <c r="G354">
        <v>3</v>
      </c>
      <c r="H354">
        <v>22</v>
      </c>
      <c r="K354">
        <v>3</v>
      </c>
      <c r="L354">
        <v>28</v>
      </c>
      <c r="M354">
        <v>6996846.8468468469</v>
      </c>
      <c r="N354">
        <v>9512612.6126126125</v>
      </c>
      <c r="O354">
        <v>26666180.180180181</v>
      </c>
      <c r="P354">
        <v>34625603.603603601</v>
      </c>
      <c r="Q354">
        <v>6740990.9909909908</v>
      </c>
      <c r="R354">
        <v>7943873.8738738718</v>
      </c>
      <c r="S354">
        <v>2707</v>
      </c>
      <c r="T354">
        <v>2662</v>
      </c>
    </row>
    <row r="355" spans="1:20" x14ac:dyDescent="0.35">
      <c r="A355" s="7" t="s">
        <v>454</v>
      </c>
      <c r="B355" s="12" t="s">
        <v>122</v>
      </c>
      <c r="C355">
        <v>5431233.9746603323</v>
      </c>
      <c r="D355">
        <v>6260241.2403874658</v>
      </c>
      <c r="E355">
        <v>34234.234234233998</v>
      </c>
      <c r="F355">
        <v>9009.0090090100002</v>
      </c>
      <c r="G355">
        <v>2</v>
      </c>
      <c r="H355">
        <v>1</v>
      </c>
      <c r="K355">
        <v>2</v>
      </c>
      <c r="M355">
        <v>36036.036036035999</v>
      </c>
      <c r="N355">
        <v>99099.0990991</v>
      </c>
      <c r="O355">
        <v>581216.21621621598</v>
      </c>
      <c r="P355">
        <v>470081.08108108101</v>
      </c>
      <c r="R355">
        <v>90090.090090090001</v>
      </c>
      <c r="S355">
        <v>163</v>
      </c>
      <c r="T355">
        <v>135</v>
      </c>
    </row>
    <row r="356" spans="1:20" x14ac:dyDescent="0.35">
      <c r="A356" s="7" t="s">
        <v>455</v>
      </c>
      <c r="B356" s="12" t="s">
        <v>225</v>
      </c>
      <c r="C356">
        <v>46324503.793681204</v>
      </c>
      <c r="D356">
        <v>48071178.516924314</v>
      </c>
      <c r="F356">
        <v>13513.513513514001</v>
      </c>
      <c r="G356">
        <v>1</v>
      </c>
      <c r="K356">
        <v>2</v>
      </c>
      <c r="N356">
        <v>914414.41441441397</v>
      </c>
      <c r="O356">
        <v>8851882.8828828838</v>
      </c>
      <c r="P356">
        <v>13452972.972972972</v>
      </c>
      <c r="Q356">
        <v>194864.864864865</v>
      </c>
      <c r="R356">
        <v>258738.73873873899</v>
      </c>
      <c r="S356">
        <v>1395</v>
      </c>
      <c r="T356">
        <v>1256</v>
      </c>
    </row>
    <row r="357" spans="1:20" x14ac:dyDescent="0.35">
      <c r="A357" s="7" t="s">
        <v>456</v>
      </c>
      <c r="B357" s="12" t="s">
        <v>95</v>
      </c>
      <c r="C357">
        <v>70471640.87706162</v>
      </c>
      <c r="D357">
        <v>87749327.780046239</v>
      </c>
      <c r="E357">
        <v>621621.62162162201</v>
      </c>
      <c r="F357">
        <v>1788288.288288292</v>
      </c>
      <c r="G357">
        <v>21</v>
      </c>
      <c r="H357">
        <v>33</v>
      </c>
      <c r="K357">
        <v>24</v>
      </c>
      <c r="L357">
        <v>35</v>
      </c>
      <c r="M357">
        <v>29984234.234234236</v>
      </c>
      <c r="N357">
        <v>20256756.756756756</v>
      </c>
      <c r="O357">
        <v>16237490.990990993</v>
      </c>
      <c r="P357">
        <v>22777500</v>
      </c>
      <c r="Q357">
        <v>28300810.810810812</v>
      </c>
      <c r="R357">
        <v>16374144.144144144</v>
      </c>
      <c r="S357">
        <v>2011</v>
      </c>
      <c r="T357">
        <v>2273</v>
      </c>
    </row>
    <row r="358" spans="1:20" x14ac:dyDescent="0.35">
      <c r="A358" s="7" t="s">
        <v>670</v>
      </c>
      <c r="B358" s="12" t="s">
        <v>190</v>
      </c>
      <c r="E358">
        <v>33510846.846846849</v>
      </c>
      <c r="F358">
        <v>93815380.180180177</v>
      </c>
      <c r="M358">
        <v>16277247.747747747</v>
      </c>
      <c r="N358">
        <v>10162162.162162162</v>
      </c>
    </row>
    <row r="359" spans="1:20" x14ac:dyDescent="0.35">
      <c r="A359" s="7" t="s">
        <v>671</v>
      </c>
      <c r="B359" s="12" t="s">
        <v>261</v>
      </c>
      <c r="E359">
        <v>76719819.819819823</v>
      </c>
      <c r="F359">
        <v>58693693.693693697</v>
      </c>
      <c r="M359">
        <v>2476576.576576577</v>
      </c>
      <c r="N359">
        <v>457657.65765765798</v>
      </c>
    </row>
    <row r="360" spans="1:20" x14ac:dyDescent="0.35">
      <c r="A360" s="7" t="s">
        <v>457</v>
      </c>
      <c r="B360" s="12" t="s">
        <v>61</v>
      </c>
      <c r="C360">
        <v>10014417.564036259</v>
      </c>
      <c r="D360">
        <v>12178357.085259192</v>
      </c>
      <c r="E360">
        <v>35686486.486486487</v>
      </c>
      <c r="F360">
        <v>601127927.92792797</v>
      </c>
      <c r="G360">
        <v>5</v>
      </c>
      <c r="H360">
        <v>4</v>
      </c>
      <c r="K360">
        <v>6</v>
      </c>
      <c r="L360">
        <v>5</v>
      </c>
      <c r="M360">
        <v>1767567.567567569</v>
      </c>
      <c r="N360">
        <v>1353153.1531531529</v>
      </c>
      <c r="O360">
        <v>4551342.3423423423</v>
      </c>
      <c r="P360">
        <v>6375423.4234234244</v>
      </c>
      <c r="Q360">
        <v>753063.06306306296</v>
      </c>
      <c r="R360">
        <v>979189.189189189</v>
      </c>
      <c r="S360">
        <v>642</v>
      </c>
      <c r="T360">
        <v>577</v>
      </c>
    </row>
    <row r="361" spans="1:20" x14ac:dyDescent="0.35">
      <c r="A361" s="7" t="s">
        <v>458</v>
      </c>
      <c r="B361" s="12" t="s">
        <v>215</v>
      </c>
      <c r="C361">
        <v>189815330.95206115</v>
      </c>
      <c r="D361">
        <v>183647037.93862435</v>
      </c>
      <c r="E361">
        <v>455855.85585585597</v>
      </c>
      <c r="G361">
        <v>27</v>
      </c>
      <c r="H361">
        <v>11</v>
      </c>
      <c r="K361">
        <v>29</v>
      </c>
      <c r="L361">
        <v>14</v>
      </c>
      <c r="M361">
        <v>996396.39639639598</v>
      </c>
      <c r="N361">
        <v>360360.36036036001</v>
      </c>
      <c r="O361">
        <v>97122081.081081092</v>
      </c>
      <c r="P361">
        <v>97501846.846846849</v>
      </c>
      <c r="Q361">
        <v>1759909.9099099101</v>
      </c>
      <c r="R361">
        <v>427117.11711711698</v>
      </c>
      <c r="S361">
        <v>3235</v>
      </c>
      <c r="T361">
        <v>3019</v>
      </c>
    </row>
    <row r="362" spans="1:20" x14ac:dyDescent="0.35">
      <c r="A362" s="7" t="s">
        <v>459</v>
      </c>
      <c r="B362" s="12" t="s">
        <v>460</v>
      </c>
      <c r="C362">
        <v>741432518.36640406</v>
      </c>
      <c r="D362">
        <v>776193572.6237458</v>
      </c>
      <c r="E362">
        <v>18498198.198198225</v>
      </c>
      <c r="F362">
        <v>25475675.67567569</v>
      </c>
      <c r="G362">
        <v>423</v>
      </c>
      <c r="H362">
        <v>342</v>
      </c>
      <c r="I362">
        <v>1</v>
      </c>
      <c r="K362">
        <v>543</v>
      </c>
      <c r="L362">
        <v>487</v>
      </c>
      <c r="M362">
        <v>256225000</v>
      </c>
      <c r="N362">
        <v>272724684.68468469</v>
      </c>
      <c r="O362">
        <v>263558966.21621624</v>
      </c>
      <c r="P362">
        <v>291337627.02702701</v>
      </c>
      <c r="Q362">
        <v>179182207.2072072</v>
      </c>
      <c r="R362">
        <v>226004504.5045045</v>
      </c>
      <c r="S362">
        <v>32653</v>
      </c>
      <c r="T362">
        <v>24239</v>
      </c>
    </row>
    <row r="363" spans="1:20" x14ac:dyDescent="0.35">
      <c r="A363" s="7" t="s">
        <v>461</v>
      </c>
      <c r="B363" s="12" t="s">
        <v>460</v>
      </c>
      <c r="C363">
        <v>2455585299.5031481</v>
      </c>
      <c r="D363">
        <v>2565874484.266819</v>
      </c>
      <c r="E363">
        <v>17261261.261261277</v>
      </c>
      <c r="F363">
        <v>22531531.531531546</v>
      </c>
      <c r="G363">
        <v>524</v>
      </c>
      <c r="H363">
        <v>574</v>
      </c>
      <c r="I363">
        <v>3</v>
      </c>
      <c r="K363">
        <v>616</v>
      </c>
      <c r="L363">
        <v>821</v>
      </c>
      <c r="M363">
        <v>123186621.62162161</v>
      </c>
      <c r="N363">
        <v>223620315.31531534</v>
      </c>
      <c r="O363">
        <v>1559033194.1441441</v>
      </c>
      <c r="P363">
        <v>1701840594.5945945</v>
      </c>
      <c r="Q363">
        <v>115734999.99999999</v>
      </c>
      <c r="R363">
        <v>170769054.05405405</v>
      </c>
      <c r="S363">
        <v>42404</v>
      </c>
      <c r="T363">
        <v>32165</v>
      </c>
    </row>
    <row r="364" spans="1:20" x14ac:dyDescent="0.35">
      <c r="A364" s="7" t="s">
        <v>462</v>
      </c>
      <c r="B364" s="12" t="s">
        <v>460</v>
      </c>
      <c r="C364">
        <v>1168444656.9002526</v>
      </c>
      <c r="D364">
        <v>1170298136.7608387</v>
      </c>
      <c r="E364">
        <v>27983271.171171181</v>
      </c>
      <c r="F364">
        <v>37206004.504504509</v>
      </c>
      <c r="G364">
        <v>415</v>
      </c>
      <c r="H364">
        <v>499</v>
      </c>
      <c r="I364">
        <v>6</v>
      </c>
      <c r="K364">
        <v>512</v>
      </c>
      <c r="L364">
        <v>697</v>
      </c>
      <c r="M364">
        <v>897655127.92792797</v>
      </c>
      <c r="N364">
        <v>1104397716.2162161</v>
      </c>
      <c r="O364">
        <v>323741310.8108108</v>
      </c>
      <c r="P364">
        <v>347902854.05405408</v>
      </c>
      <c r="Q364">
        <v>893495720.72072077</v>
      </c>
      <c r="R364">
        <v>226766576.57657659</v>
      </c>
      <c r="S364">
        <v>32558</v>
      </c>
      <c r="T364">
        <v>27423</v>
      </c>
    </row>
    <row r="365" spans="1:20" x14ac:dyDescent="0.35">
      <c r="A365" s="7" t="s">
        <v>463</v>
      </c>
      <c r="B365" s="12" t="s">
        <v>460</v>
      </c>
      <c r="C365">
        <v>852750590.02887619</v>
      </c>
      <c r="D365">
        <v>773070817.57700872</v>
      </c>
      <c r="E365">
        <v>5099099.0990991052</v>
      </c>
      <c r="F365">
        <v>10527027.027027028</v>
      </c>
      <c r="G365">
        <v>311</v>
      </c>
      <c r="H365">
        <v>162</v>
      </c>
      <c r="I365">
        <v>2</v>
      </c>
      <c r="K365">
        <v>365</v>
      </c>
      <c r="L365">
        <v>200</v>
      </c>
      <c r="M365">
        <v>137582792.7927928</v>
      </c>
      <c r="N365">
        <v>130278540.54054055</v>
      </c>
      <c r="O365">
        <v>192430342.34234235</v>
      </c>
      <c r="P365">
        <v>194866917.11711711</v>
      </c>
      <c r="Q365">
        <v>85121351.351351351</v>
      </c>
      <c r="R365">
        <v>111396576.57657658</v>
      </c>
      <c r="S365">
        <v>25237</v>
      </c>
      <c r="T365">
        <v>18280</v>
      </c>
    </row>
    <row r="366" spans="1:20" x14ac:dyDescent="0.35">
      <c r="A366" s="7" t="s">
        <v>464</v>
      </c>
      <c r="B366" s="12" t="s">
        <v>460</v>
      </c>
      <c r="C366">
        <v>817413244.48748672</v>
      </c>
      <c r="D366">
        <v>853180461.11040258</v>
      </c>
      <c r="E366">
        <v>14629954.954954959</v>
      </c>
      <c r="F366">
        <v>14741891.891891904</v>
      </c>
      <c r="G366">
        <v>783</v>
      </c>
      <c r="H366">
        <v>654</v>
      </c>
      <c r="I366">
        <v>1</v>
      </c>
      <c r="K366">
        <v>922</v>
      </c>
      <c r="L366">
        <v>1237</v>
      </c>
      <c r="M366">
        <v>174665675.67567569</v>
      </c>
      <c r="N366">
        <v>316146576.57657659</v>
      </c>
      <c r="O366">
        <v>332323286.03603601</v>
      </c>
      <c r="P366">
        <v>350245522.52252251</v>
      </c>
      <c r="Q366">
        <v>149957117.11711711</v>
      </c>
      <c r="R366">
        <v>269699594.5945946</v>
      </c>
      <c r="S366">
        <v>33443</v>
      </c>
      <c r="T366">
        <v>26264</v>
      </c>
    </row>
    <row r="367" spans="1:20" x14ac:dyDescent="0.35">
      <c r="A367" s="7" t="s">
        <v>465</v>
      </c>
      <c r="B367" s="12" t="s">
        <v>460</v>
      </c>
      <c r="C367">
        <v>951135590.80906844</v>
      </c>
      <c r="D367">
        <v>930849034.47712314</v>
      </c>
      <c r="E367">
        <v>2358074900</v>
      </c>
      <c r="F367">
        <v>1893076627.9279277</v>
      </c>
      <c r="G367">
        <v>349</v>
      </c>
      <c r="H367">
        <v>242</v>
      </c>
      <c r="K367">
        <v>396</v>
      </c>
      <c r="L367">
        <v>335</v>
      </c>
      <c r="M367">
        <v>142203404.5045045</v>
      </c>
      <c r="N367">
        <v>262712747.74774775</v>
      </c>
      <c r="O367">
        <v>409040725.67567563</v>
      </c>
      <c r="P367">
        <v>423872936.93693697</v>
      </c>
      <c r="Q367">
        <v>127895135.13513513</v>
      </c>
      <c r="R367">
        <v>214413108.1081081</v>
      </c>
      <c r="S367">
        <v>37825</v>
      </c>
      <c r="T367">
        <v>28420</v>
      </c>
    </row>
    <row r="368" spans="1:20" x14ac:dyDescent="0.35">
      <c r="A368" s="7" t="s">
        <v>466</v>
      </c>
      <c r="B368" s="12" t="s">
        <v>55</v>
      </c>
      <c r="C368">
        <v>62539140.171020813</v>
      </c>
      <c r="D368">
        <v>62504547.140971944</v>
      </c>
      <c r="E368">
        <v>886486.48648648604</v>
      </c>
      <c r="F368">
        <v>642342.342342344</v>
      </c>
      <c r="G368">
        <v>16</v>
      </c>
      <c r="H368">
        <v>12</v>
      </c>
      <c r="K368">
        <v>17</v>
      </c>
      <c r="L368">
        <v>52</v>
      </c>
      <c r="M368">
        <v>6861981.9819819834</v>
      </c>
      <c r="N368">
        <v>6755495.4954954963</v>
      </c>
      <c r="O368">
        <v>13238684.684684685</v>
      </c>
      <c r="P368">
        <v>13694612.612612613</v>
      </c>
      <c r="Q368">
        <v>6226396.3963963948</v>
      </c>
      <c r="R368">
        <v>6264234.2342342325</v>
      </c>
      <c r="S368">
        <v>1340</v>
      </c>
      <c r="T368">
        <v>1228</v>
      </c>
    </row>
    <row r="369" spans="1:20" x14ac:dyDescent="0.35">
      <c r="A369" s="7" t="s">
        <v>467</v>
      </c>
      <c r="B369" s="12" t="s">
        <v>88</v>
      </c>
      <c r="C369">
        <v>2327941.6841667378</v>
      </c>
      <c r="D369">
        <v>2711956.4701701459</v>
      </c>
      <c r="H369">
        <v>1</v>
      </c>
      <c r="L369">
        <v>1</v>
      </c>
      <c r="O369">
        <v>389864.86486486503</v>
      </c>
      <c r="P369">
        <v>1116666.666666667</v>
      </c>
      <c r="S369">
        <v>94</v>
      </c>
      <c r="T369">
        <v>85</v>
      </c>
    </row>
    <row r="370" spans="1:20" x14ac:dyDescent="0.35">
      <c r="A370" s="7" t="s">
        <v>468</v>
      </c>
      <c r="B370" s="12" t="s">
        <v>144</v>
      </c>
      <c r="C370">
        <v>293876228.77732277</v>
      </c>
      <c r="D370">
        <v>323412008.56888157</v>
      </c>
      <c r="E370">
        <v>275675.67567567702</v>
      </c>
      <c r="F370">
        <v>346846.84684684803</v>
      </c>
      <c r="G370">
        <v>57</v>
      </c>
      <c r="H370">
        <v>12</v>
      </c>
      <c r="K370">
        <v>59</v>
      </c>
      <c r="L370">
        <v>14</v>
      </c>
      <c r="M370">
        <v>17654054.054054055</v>
      </c>
      <c r="N370">
        <v>18319819.819819819</v>
      </c>
      <c r="O370">
        <v>46385581.981981985</v>
      </c>
      <c r="P370">
        <v>60435556.75675676</v>
      </c>
      <c r="Q370">
        <v>13449459.459459459</v>
      </c>
      <c r="R370">
        <v>15004187.387387389</v>
      </c>
      <c r="S370">
        <v>5132</v>
      </c>
      <c r="T370">
        <v>5153</v>
      </c>
    </row>
    <row r="371" spans="1:20" x14ac:dyDescent="0.35">
      <c r="A371" s="7" t="s">
        <v>469</v>
      </c>
      <c r="B371" s="12" t="s">
        <v>81</v>
      </c>
      <c r="C371">
        <v>252877081.27366242</v>
      </c>
      <c r="D371">
        <v>246452372.64743102</v>
      </c>
      <c r="E371">
        <v>85080630.630630642</v>
      </c>
      <c r="F371">
        <v>92610540.540540546</v>
      </c>
      <c r="G371">
        <v>40</v>
      </c>
      <c r="H371">
        <v>29</v>
      </c>
      <c r="K371">
        <v>45</v>
      </c>
      <c r="L371">
        <v>31</v>
      </c>
      <c r="M371">
        <v>7372972.9729729732</v>
      </c>
      <c r="N371">
        <v>10686306.306306308</v>
      </c>
      <c r="O371">
        <v>95410810.810810819</v>
      </c>
      <c r="P371">
        <v>95281722.522522524</v>
      </c>
      <c r="Q371">
        <v>5648018.0180180185</v>
      </c>
      <c r="R371">
        <v>6280270.2702702694</v>
      </c>
      <c r="S371">
        <v>4756</v>
      </c>
      <c r="T371">
        <v>6910</v>
      </c>
    </row>
    <row r="372" spans="1:20" x14ac:dyDescent="0.35">
      <c r="A372" s="7" t="s">
        <v>470</v>
      </c>
      <c r="B372" s="12" t="s">
        <v>471</v>
      </c>
      <c r="C372">
        <v>304669207.71464103</v>
      </c>
      <c r="D372">
        <v>300286307.63767916</v>
      </c>
      <c r="E372">
        <v>2326126.1261261259</v>
      </c>
      <c r="F372">
        <v>2077477.477477479</v>
      </c>
      <c r="G372">
        <v>34</v>
      </c>
      <c r="H372">
        <v>37</v>
      </c>
      <c r="K372">
        <v>37</v>
      </c>
      <c r="L372">
        <v>51</v>
      </c>
      <c r="M372">
        <v>26613963.963963963</v>
      </c>
      <c r="N372">
        <v>17104504.504504509</v>
      </c>
      <c r="O372">
        <v>95679935.135135129</v>
      </c>
      <c r="P372">
        <v>100339645.04504503</v>
      </c>
      <c r="Q372">
        <v>26257610.810810812</v>
      </c>
      <c r="R372">
        <v>33403315.315315317</v>
      </c>
      <c r="S372">
        <v>5494</v>
      </c>
      <c r="T372">
        <v>5190</v>
      </c>
    </row>
    <row r="373" spans="1:20" x14ac:dyDescent="0.35">
      <c r="A373" s="7" t="s">
        <v>472</v>
      </c>
      <c r="B373" s="12" t="s">
        <v>471</v>
      </c>
      <c r="C373">
        <v>25430309.973531831</v>
      </c>
      <c r="D373">
        <v>26115275.627094787</v>
      </c>
      <c r="E373">
        <v>107157657.65765767</v>
      </c>
      <c r="F373">
        <v>63563063.063063063</v>
      </c>
      <c r="G373">
        <v>3</v>
      </c>
      <c r="H373">
        <v>1</v>
      </c>
      <c r="K373">
        <v>4</v>
      </c>
      <c r="L373">
        <v>1</v>
      </c>
      <c r="M373">
        <v>7554954.9549549548</v>
      </c>
      <c r="N373">
        <v>468468.468468468</v>
      </c>
      <c r="O373">
        <v>2264054.054054054</v>
      </c>
      <c r="P373">
        <v>3301648.648648649</v>
      </c>
      <c r="Q373">
        <v>3069909.9099099091</v>
      </c>
      <c r="R373">
        <v>218918.91891891899</v>
      </c>
      <c r="S373">
        <v>624</v>
      </c>
      <c r="T373">
        <v>642</v>
      </c>
    </row>
    <row r="374" spans="1:20" x14ac:dyDescent="0.35">
      <c r="A374" s="7" t="s">
        <v>473</v>
      </c>
      <c r="B374" s="12" t="s">
        <v>471</v>
      </c>
      <c r="C374">
        <v>3077119.617603512</v>
      </c>
      <c r="D374">
        <v>3273145.7663628249</v>
      </c>
      <c r="E374">
        <v>375675.67567567597</v>
      </c>
      <c r="F374">
        <v>229729.72972973</v>
      </c>
      <c r="M374">
        <v>2925225.225225226</v>
      </c>
      <c r="N374">
        <v>680180.18018018105</v>
      </c>
      <c r="O374">
        <v>719909.90990991006</v>
      </c>
      <c r="P374">
        <v>806846.84684684698</v>
      </c>
      <c r="Q374">
        <v>2703603.6036036038</v>
      </c>
      <c r="R374">
        <v>4247207.2072072066</v>
      </c>
      <c r="S374">
        <v>385</v>
      </c>
      <c r="T374">
        <v>513</v>
      </c>
    </row>
    <row r="375" spans="1:20" x14ac:dyDescent="0.35">
      <c r="A375" s="7" t="s">
        <v>474</v>
      </c>
      <c r="B375" s="12" t="s">
        <v>471</v>
      </c>
      <c r="C375">
        <v>107500926.2187821</v>
      </c>
      <c r="D375">
        <v>105538389.95913789</v>
      </c>
      <c r="E375">
        <v>184784288.2882883</v>
      </c>
      <c r="F375">
        <v>126939679.27927928</v>
      </c>
      <c r="G375">
        <v>14</v>
      </c>
      <c r="H375">
        <v>24</v>
      </c>
      <c r="K375">
        <v>14</v>
      </c>
      <c r="L375">
        <v>43</v>
      </c>
      <c r="M375">
        <v>49665911.711711712</v>
      </c>
      <c r="N375">
        <v>33121260.360360362</v>
      </c>
      <c r="O375">
        <v>14915756.756756756</v>
      </c>
      <c r="P375">
        <v>18632646.846846849</v>
      </c>
      <c r="Q375">
        <v>22887747.747747749</v>
      </c>
      <c r="R375">
        <v>19487027.02702703</v>
      </c>
      <c r="S375">
        <v>2206</v>
      </c>
      <c r="T375">
        <v>2518</v>
      </c>
    </row>
    <row r="376" spans="1:20" x14ac:dyDescent="0.35">
      <c r="A376" s="7" t="s">
        <v>475</v>
      </c>
      <c r="B376" s="12" t="s">
        <v>471</v>
      </c>
      <c r="C376">
        <v>150661494.81499666</v>
      </c>
      <c r="D376">
        <v>150389013.65716025</v>
      </c>
      <c r="E376">
        <v>1105405.4054054071</v>
      </c>
      <c r="F376">
        <v>1469369.369369372</v>
      </c>
      <c r="G376">
        <v>30</v>
      </c>
      <c r="H376">
        <v>16</v>
      </c>
      <c r="K376">
        <v>31</v>
      </c>
      <c r="L376">
        <v>20</v>
      </c>
      <c r="M376">
        <v>12246936.936936935</v>
      </c>
      <c r="N376">
        <v>8851711.711711714</v>
      </c>
      <c r="O376">
        <v>32587000</v>
      </c>
      <c r="P376">
        <v>36478738.738738738</v>
      </c>
      <c r="Q376">
        <v>12600720.72072072</v>
      </c>
      <c r="R376">
        <v>12561441.441441443</v>
      </c>
      <c r="S376">
        <v>2410</v>
      </c>
      <c r="T376">
        <v>2215</v>
      </c>
    </row>
    <row r="377" spans="1:20" x14ac:dyDescent="0.35">
      <c r="A377" s="7" t="s">
        <v>476</v>
      </c>
      <c r="B377" s="12" t="s">
        <v>471</v>
      </c>
      <c r="C377">
        <v>55795157.773357913</v>
      </c>
      <c r="D377">
        <v>55563846.538682669</v>
      </c>
      <c r="E377">
        <v>378378.37837837898</v>
      </c>
      <c r="F377">
        <v>467567.56756757002</v>
      </c>
      <c r="G377">
        <v>6</v>
      </c>
      <c r="H377">
        <v>5</v>
      </c>
      <c r="K377">
        <v>6</v>
      </c>
      <c r="L377">
        <v>6</v>
      </c>
      <c r="M377">
        <v>8108108.1081081079</v>
      </c>
      <c r="N377">
        <v>3418018.0180180189</v>
      </c>
      <c r="O377">
        <v>11657133.333333332</v>
      </c>
      <c r="P377">
        <v>14294459.459459459</v>
      </c>
      <c r="Q377">
        <v>6750900.9009009013</v>
      </c>
      <c r="R377">
        <v>7665225.225225226</v>
      </c>
      <c r="S377">
        <v>1379</v>
      </c>
      <c r="T377">
        <v>1420</v>
      </c>
    </row>
    <row r="378" spans="1:20" x14ac:dyDescent="0.35">
      <c r="A378" s="7" t="s">
        <v>477</v>
      </c>
      <c r="B378" s="12" t="s">
        <v>471</v>
      </c>
      <c r="C378">
        <v>572711138.35140431</v>
      </c>
      <c r="D378">
        <v>600410841.51699233</v>
      </c>
      <c r="E378">
        <v>11426126.126126133</v>
      </c>
      <c r="F378">
        <v>12118018.018018024</v>
      </c>
      <c r="G378">
        <v>214</v>
      </c>
      <c r="H378">
        <v>412</v>
      </c>
      <c r="K378">
        <v>456</v>
      </c>
      <c r="L378">
        <v>476</v>
      </c>
      <c r="M378">
        <v>192649459.45945945</v>
      </c>
      <c r="N378">
        <v>150607837.83783782</v>
      </c>
      <c r="O378">
        <v>151296718.91891891</v>
      </c>
      <c r="P378">
        <v>168523091.8918919</v>
      </c>
      <c r="Q378">
        <v>189774504.5045045</v>
      </c>
      <c r="R378">
        <v>149589232.43243244</v>
      </c>
      <c r="S378">
        <v>17446</v>
      </c>
      <c r="T378">
        <v>18074</v>
      </c>
    </row>
    <row r="379" spans="1:20" x14ac:dyDescent="0.35">
      <c r="A379" s="7" t="s">
        <v>478</v>
      </c>
      <c r="B379" s="12" t="s">
        <v>261</v>
      </c>
      <c r="C379">
        <v>678011347.32169771</v>
      </c>
      <c r="D379">
        <v>675225469.16157961</v>
      </c>
      <c r="E379">
        <v>3693918.9189189179</v>
      </c>
      <c r="F379">
        <v>5882882.8828828894</v>
      </c>
      <c r="G379">
        <v>148</v>
      </c>
      <c r="H379">
        <v>85</v>
      </c>
      <c r="I379">
        <v>1</v>
      </c>
      <c r="K379">
        <v>154</v>
      </c>
      <c r="L379">
        <v>94</v>
      </c>
      <c r="M379">
        <v>84586486.486486495</v>
      </c>
      <c r="N379">
        <v>101906306.3063063</v>
      </c>
      <c r="O379">
        <v>180690563.06306309</v>
      </c>
      <c r="P379">
        <v>193135657.65765765</v>
      </c>
      <c r="Q379">
        <v>83272162.162162155</v>
      </c>
      <c r="R379">
        <v>100952702.7027027</v>
      </c>
      <c r="S379">
        <v>11274</v>
      </c>
      <c r="T379">
        <v>11773</v>
      </c>
    </row>
    <row r="380" spans="1:20" x14ac:dyDescent="0.35">
      <c r="A380" s="7" t="s">
        <v>479</v>
      </c>
      <c r="B380" s="12" t="s">
        <v>480</v>
      </c>
      <c r="C380">
        <v>49729993.855938815</v>
      </c>
      <c r="D380">
        <v>49241281.992429249</v>
      </c>
      <c r="E380">
        <v>681081.081081082</v>
      </c>
      <c r="F380">
        <v>685585.58558558603</v>
      </c>
      <c r="G380">
        <v>14</v>
      </c>
      <c r="H380">
        <v>15</v>
      </c>
      <c r="K380">
        <v>14</v>
      </c>
      <c r="L380">
        <v>16</v>
      </c>
      <c r="M380">
        <v>16464414.414414415</v>
      </c>
      <c r="N380">
        <v>16285225.225225223</v>
      </c>
      <c r="O380">
        <v>11956756.756756756</v>
      </c>
      <c r="P380">
        <v>13479718.918918921</v>
      </c>
      <c r="Q380">
        <v>16414234.234234234</v>
      </c>
      <c r="R380">
        <v>16586576.576576576</v>
      </c>
      <c r="S380">
        <v>1194</v>
      </c>
      <c r="T380">
        <v>813</v>
      </c>
    </row>
    <row r="381" spans="1:20" x14ac:dyDescent="0.35">
      <c r="A381" s="7" t="s">
        <v>481</v>
      </c>
      <c r="B381" s="12" t="s">
        <v>124</v>
      </c>
      <c r="C381">
        <v>365290116.78646702</v>
      </c>
      <c r="D381">
        <v>351131036.30054915</v>
      </c>
      <c r="E381">
        <v>4002702.7027027039</v>
      </c>
      <c r="F381">
        <v>2490090.0900900918</v>
      </c>
      <c r="G381">
        <v>75</v>
      </c>
      <c r="H381">
        <v>53</v>
      </c>
      <c r="K381">
        <v>81</v>
      </c>
      <c r="L381">
        <v>56</v>
      </c>
      <c r="M381">
        <v>28916216.216216218</v>
      </c>
      <c r="N381">
        <v>27423783.783783782</v>
      </c>
      <c r="O381">
        <v>137582049.54954955</v>
      </c>
      <c r="P381">
        <v>143933401.8018018</v>
      </c>
      <c r="Q381">
        <v>27024774.774774771</v>
      </c>
      <c r="R381">
        <v>24718061.261261258</v>
      </c>
      <c r="S381">
        <v>5898</v>
      </c>
      <c r="T381">
        <v>5710</v>
      </c>
    </row>
    <row r="382" spans="1:20" x14ac:dyDescent="0.35">
      <c r="A382" s="7" t="s">
        <v>482</v>
      </c>
      <c r="B382" s="12" t="s">
        <v>471</v>
      </c>
      <c r="C382">
        <v>28918462.833045881</v>
      </c>
      <c r="D382">
        <v>29275141.942410491</v>
      </c>
      <c r="E382">
        <v>94594.594594594993</v>
      </c>
      <c r="F382">
        <v>327027.02702702698</v>
      </c>
      <c r="G382">
        <v>3</v>
      </c>
      <c r="H382">
        <v>3</v>
      </c>
      <c r="K382">
        <v>4</v>
      </c>
      <c r="L382">
        <v>3</v>
      </c>
      <c r="M382">
        <v>1445945.945945946</v>
      </c>
      <c r="N382">
        <v>790990.99099099101</v>
      </c>
      <c r="O382">
        <v>3880621.6216216218</v>
      </c>
      <c r="P382">
        <v>4015621.6216216218</v>
      </c>
      <c r="Q382">
        <v>1025585.585585585</v>
      </c>
      <c r="R382">
        <v>1151351.351351351</v>
      </c>
      <c r="S382">
        <v>616</v>
      </c>
      <c r="T382">
        <v>588</v>
      </c>
    </row>
    <row r="383" spans="1:20" x14ac:dyDescent="0.35">
      <c r="A383" s="7" t="s">
        <v>483</v>
      </c>
      <c r="B383" s="12" t="s">
        <v>168</v>
      </c>
      <c r="C383">
        <v>300260151.0336228</v>
      </c>
      <c r="D383">
        <v>315144085.02981579</v>
      </c>
      <c r="E383">
        <v>2793693.6936936961</v>
      </c>
      <c r="F383">
        <v>8766666.6666666642</v>
      </c>
      <c r="G383">
        <v>228</v>
      </c>
      <c r="H383">
        <v>66</v>
      </c>
      <c r="I383">
        <v>1</v>
      </c>
      <c r="K383">
        <v>298</v>
      </c>
      <c r="L383">
        <v>132</v>
      </c>
      <c r="M383">
        <v>23582919.819819815</v>
      </c>
      <c r="N383">
        <v>42508783.783783786</v>
      </c>
      <c r="O383">
        <v>125373909.9099099</v>
      </c>
      <c r="P383">
        <v>139006531.53153154</v>
      </c>
      <c r="Q383">
        <v>22622882.882882878</v>
      </c>
      <c r="R383">
        <v>38690855.855855852</v>
      </c>
      <c r="S383">
        <v>8936</v>
      </c>
      <c r="T383">
        <v>7911</v>
      </c>
    </row>
    <row r="384" spans="1:20" x14ac:dyDescent="0.35">
      <c r="A384" s="7" t="s">
        <v>484</v>
      </c>
      <c r="B384" s="12" t="s">
        <v>168</v>
      </c>
      <c r="C384">
        <v>344485185.03099561</v>
      </c>
      <c r="D384">
        <v>359640393.59973562</v>
      </c>
      <c r="E384">
        <v>478157877.47747749</v>
      </c>
      <c r="F384">
        <v>539681104.50450456</v>
      </c>
      <c r="G384">
        <v>508</v>
      </c>
      <c r="H384">
        <v>276</v>
      </c>
      <c r="I384">
        <v>1</v>
      </c>
      <c r="K384">
        <v>1014</v>
      </c>
      <c r="L384">
        <v>1126</v>
      </c>
      <c r="M384">
        <v>54175000.9009009</v>
      </c>
      <c r="N384">
        <v>97107657.657657653</v>
      </c>
      <c r="O384">
        <v>135526516.21621624</v>
      </c>
      <c r="P384">
        <v>166251338.73873875</v>
      </c>
      <c r="Q384">
        <v>50884007.20720721</v>
      </c>
      <c r="R384">
        <v>85492655.855855852</v>
      </c>
      <c r="S384">
        <v>10057</v>
      </c>
      <c r="T384">
        <v>13887</v>
      </c>
    </row>
    <row r="385" spans="1:20" x14ac:dyDescent="0.35">
      <c r="A385" s="7" t="s">
        <v>485</v>
      </c>
      <c r="B385" s="12" t="s">
        <v>51</v>
      </c>
      <c r="C385">
        <v>203747549.41068938</v>
      </c>
      <c r="D385">
        <v>206252259.92796731</v>
      </c>
      <c r="E385">
        <v>3154954.9549549562</v>
      </c>
      <c r="F385">
        <v>3373873.8738738778</v>
      </c>
      <c r="G385">
        <v>55</v>
      </c>
      <c r="H385">
        <v>35</v>
      </c>
      <c r="K385">
        <v>58</v>
      </c>
      <c r="L385">
        <v>38</v>
      </c>
      <c r="M385">
        <v>37717927.927927926</v>
      </c>
      <c r="N385">
        <v>39170720.720720723</v>
      </c>
      <c r="O385">
        <v>91003115.315315306</v>
      </c>
      <c r="P385">
        <v>95204171.171171173</v>
      </c>
      <c r="Q385">
        <v>36622882.882882878</v>
      </c>
      <c r="R385">
        <v>36761351.351351351</v>
      </c>
      <c r="S385">
        <v>3747</v>
      </c>
      <c r="T385">
        <v>3916</v>
      </c>
    </row>
    <row r="386" spans="1:20" x14ac:dyDescent="0.35">
      <c r="A386" s="7" t="s">
        <v>486</v>
      </c>
      <c r="B386" s="12" t="s">
        <v>135</v>
      </c>
      <c r="C386">
        <v>271588158.10142809</v>
      </c>
      <c r="D386">
        <v>272223642.0701198</v>
      </c>
      <c r="E386">
        <v>2634234.2342342339</v>
      </c>
      <c r="F386">
        <v>1982882.882882884</v>
      </c>
      <c r="G386">
        <v>44</v>
      </c>
      <c r="H386">
        <v>58</v>
      </c>
      <c r="K386">
        <v>45</v>
      </c>
      <c r="L386">
        <v>67</v>
      </c>
      <c r="M386">
        <v>41588288.288288288</v>
      </c>
      <c r="N386">
        <v>42109909.909909911</v>
      </c>
      <c r="O386">
        <v>52684917.117117122</v>
      </c>
      <c r="P386">
        <v>60032576.576576576</v>
      </c>
      <c r="Q386">
        <v>28551441.441441439</v>
      </c>
      <c r="R386">
        <v>33966216.216216214</v>
      </c>
      <c r="S386">
        <v>4709</v>
      </c>
      <c r="T386">
        <v>4778</v>
      </c>
    </row>
    <row r="387" spans="1:20" x14ac:dyDescent="0.35">
      <c r="A387" s="7" t="s">
        <v>487</v>
      </c>
      <c r="B387" s="12" t="s">
        <v>77</v>
      </c>
      <c r="C387">
        <v>58853897.901181012</v>
      </c>
      <c r="D387">
        <v>73471299.15136607</v>
      </c>
      <c r="E387">
        <v>1220720.7207207209</v>
      </c>
      <c r="F387">
        <v>950450.450450451</v>
      </c>
      <c r="G387">
        <v>18</v>
      </c>
      <c r="H387">
        <v>23</v>
      </c>
      <c r="K387">
        <v>18</v>
      </c>
      <c r="L387">
        <v>25</v>
      </c>
      <c r="M387">
        <v>13296486.486486487</v>
      </c>
      <c r="N387">
        <v>16917117.117117114</v>
      </c>
      <c r="O387">
        <v>22996509.909909911</v>
      </c>
      <c r="P387">
        <v>26443872.072072074</v>
      </c>
      <c r="Q387">
        <v>12172158.558558561</v>
      </c>
      <c r="R387">
        <v>14347610.81081081</v>
      </c>
      <c r="S387">
        <v>1804</v>
      </c>
      <c r="T387">
        <v>1983</v>
      </c>
    </row>
    <row r="388" spans="1:20" x14ac:dyDescent="0.35">
      <c r="A388" s="7" t="s">
        <v>488</v>
      </c>
      <c r="B388" s="12" t="s">
        <v>308</v>
      </c>
      <c r="C388">
        <v>467631849.9173162</v>
      </c>
      <c r="D388">
        <v>466147599.9584592</v>
      </c>
      <c r="E388">
        <v>5812612.6126126163</v>
      </c>
      <c r="F388">
        <v>6371171.1711711716</v>
      </c>
      <c r="G388">
        <v>115</v>
      </c>
      <c r="H388">
        <v>136</v>
      </c>
      <c r="K388">
        <v>124</v>
      </c>
      <c r="L388">
        <v>157</v>
      </c>
      <c r="M388">
        <v>109782972.97297297</v>
      </c>
      <c r="N388">
        <v>123372387.38738739</v>
      </c>
      <c r="O388">
        <v>198019351.35135135</v>
      </c>
      <c r="P388">
        <v>205097621.62162164</v>
      </c>
      <c r="Q388">
        <v>101282972.97297297</v>
      </c>
      <c r="R388">
        <v>122598963.96396397</v>
      </c>
      <c r="S388">
        <v>12570</v>
      </c>
      <c r="T388">
        <v>11563</v>
      </c>
    </row>
    <row r="389" spans="1:20" x14ac:dyDescent="0.35">
      <c r="A389" s="7" t="s">
        <v>489</v>
      </c>
      <c r="B389" s="12" t="s">
        <v>316</v>
      </c>
      <c r="C389">
        <v>106470257.91724275</v>
      </c>
      <c r="D389">
        <v>103351466.66655052</v>
      </c>
      <c r="E389">
        <v>1367567.5675675671</v>
      </c>
      <c r="F389">
        <v>1058558.558558563</v>
      </c>
      <c r="G389">
        <v>8</v>
      </c>
      <c r="H389">
        <v>6</v>
      </c>
      <c r="K389">
        <v>9</v>
      </c>
      <c r="L389">
        <v>6</v>
      </c>
      <c r="M389">
        <v>49019729.729729727</v>
      </c>
      <c r="N389">
        <v>64970360.360360362</v>
      </c>
      <c r="O389">
        <v>45927783.783783786</v>
      </c>
      <c r="P389">
        <v>42065864.864864863</v>
      </c>
      <c r="Q389">
        <v>41591081.081081077</v>
      </c>
      <c r="R389">
        <v>67202432.432432428</v>
      </c>
      <c r="S389">
        <v>1657</v>
      </c>
      <c r="T389">
        <v>1796</v>
      </c>
    </row>
    <row r="390" spans="1:20" x14ac:dyDescent="0.35">
      <c r="A390" s="7" t="s">
        <v>490</v>
      </c>
      <c r="B390" s="12" t="s">
        <v>182</v>
      </c>
      <c r="C390">
        <v>246081309.27796265</v>
      </c>
      <c r="D390">
        <v>253767649.06834796</v>
      </c>
      <c r="E390">
        <v>1431981.9819819829</v>
      </c>
      <c r="F390">
        <v>2764414.4144144128</v>
      </c>
      <c r="G390">
        <v>128</v>
      </c>
      <c r="H390">
        <v>92</v>
      </c>
      <c r="I390">
        <v>1</v>
      </c>
      <c r="K390">
        <v>168</v>
      </c>
      <c r="L390">
        <v>117</v>
      </c>
      <c r="M390">
        <v>25095675.675675672</v>
      </c>
      <c r="N390">
        <v>36499369.369369365</v>
      </c>
      <c r="O390">
        <v>72464621.621621609</v>
      </c>
      <c r="P390">
        <v>81685430.630630627</v>
      </c>
      <c r="Q390">
        <v>24434144.144144144</v>
      </c>
      <c r="R390">
        <v>35922702.702702701</v>
      </c>
      <c r="S390">
        <v>7387</v>
      </c>
      <c r="T390">
        <v>6467</v>
      </c>
    </row>
    <row r="391" spans="1:20" x14ac:dyDescent="0.35">
      <c r="A391" s="7" t="s">
        <v>491</v>
      </c>
      <c r="B391" s="12" t="s">
        <v>221</v>
      </c>
      <c r="C391">
        <v>143871869.01198676</v>
      </c>
      <c r="D391">
        <v>143935894.86594972</v>
      </c>
      <c r="E391">
        <v>102702.702702703</v>
      </c>
      <c r="F391">
        <v>13513.513513514001</v>
      </c>
      <c r="G391">
        <v>49</v>
      </c>
      <c r="H391">
        <v>50</v>
      </c>
      <c r="K391">
        <v>56</v>
      </c>
      <c r="L391">
        <v>80</v>
      </c>
      <c r="M391">
        <v>2946306.3063063058</v>
      </c>
      <c r="N391">
        <v>1663963.963963965</v>
      </c>
      <c r="O391">
        <v>35780367.567567565</v>
      </c>
      <c r="P391">
        <v>38853108.108108111</v>
      </c>
      <c r="Q391">
        <v>1697027.027027027</v>
      </c>
      <c r="R391">
        <v>857207.20720720803</v>
      </c>
      <c r="S391">
        <v>4183</v>
      </c>
      <c r="T391">
        <v>3963</v>
      </c>
    </row>
    <row r="392" spans="1:20" x14ac:dyDescent="0.35">
      <c r="A392" s="7" t="s">
        <v>492</v>
      </c>
      <c r="B392" s="12" t="s">
        <v>221</v>
      </c>
      <c r="C392">
        <v>48962541.844210841</v>
      </c>
      <c r="D392">
        <v>34746799.278038822</v>
      </c>
      <c r="E392">
        <v>465765.76576576597</v>
      </c>
      <c r="F392">
        <v>90090.090090091006</v>
      </c>
      <c r="G392">
        <v>25</v>
      </c>
      <c r="H392">
        <v>11</v>
      </c>
      <c r="I392">
        <v>1</v>
      </c>
      <c r="K392">
        <v>29</v>
      </c>
      <c r="L392">
        <v>12</v>
      </c>
      <c r="M392">
        <v>15679729.729729732</v>
      </c>
      <c r="N392">
        <v>11432432.432432432</v>
      </c>
      <c r="O392">
        <v>14365846.846846849</v>
      </c>
      <c r="P392">
        <v>13053457.657657661</v>
      </c>
      <c r="Q392">
        <v>15420810.810810812</v>
      </c>
      <c r="R392">
        <v>11403153.153153153</v>
      </c>
      <c r="S392">
        <v>1320</v>
      </c>
      <c r="T392">
        <v>1552</v>
      </c>
    </row>
    <row r="393" spans="1:20" x14ac:dyDescent="0.35">
      <c r="A393" s="7" t="s">
        <v>493</v>
      </c>
      <c r="B393" s="12" t="s">
        <v>61</v>
      </c>
      <c r="C393">
        <v>163773225.54998064</v>
      </c>
      <c r="D393">
        <v>170364609.59462592</v>
      </c>
      <c r="E393">
        <v>2854954.9549549608</v>
      </c>
      <c r="F393">
        <v>3231531.531531536</v>
      </c>
      <c r="G393">
        <v>41</v>
      </c>
      <c r="H393">
        <v>19</v>
      </c>
      <c r="K393">
        <v>85</v>
      </c>
      <c r="L393">
        <v>26</v>
      </c>
      <c r="M393">
        <v>35615945.945945941</v>
      </c>
      <c r="N393">
        <v>35256306.30630631</v>
      </c>
      <c r="O393">
        <v>74049954.954954967</v>
      </c>
      <c r="P393">
        <v>79109414.414414421</v>
      </c>
      <c r="Q393">
        <v>31808198.198198196</v>
      </c>
      <c r="R393">
        <v>32714414.414414413</v>
      </c>
      <c r="S393">
        <v>3818</v>
      </c>
      <c r="T393">
        <v>3576</v>
      </c>
    </row>
    <row r="394" spans="1:20" x14ac:dyDescent="0.35">
      <c r="A394" s="7" t="s">
        <v>494</v>
      </c>
      <c r="B394" s="12" t="s">
        <v>449</v>
      </c>
      <c r="C394">
        <v>198424639.25983575</v>
      </c>
      <c r="D394">
        <v>191663635.31771776</v>
      </c>
      <c r="E394">
        <v>400900.90090090298</v>
      </c>
      <c r="F394">
        <v>3374774.7747747758</v>
      </c>
      <c r="G394">
        <v>124</v>
      </c>
      <c r="H394">
        <v>89</v>
      </c>
      <c r="K394">
        <v>206</v>
      </c>
      <c r="L394">
        <v>156</v>
      </c>
      <c r="M394">
        <v>14091891.891891891</v>
      </c>
      <c r="N394">
        <v>38286711.711711712</v>
      </c>
      <c r="O394">
        <v>71213783.783783779</v>
      </c>
      <c r="P394">
        <v>75853828.828828827</v>
      </c>
      <c r="Q394">
        <v>14868378.37837838</v>
      </c>
      <c r="R394">
        <v>38459279.279279277</v>
      </c>
      <c r="S394">
        <v>5404</v>
      </c>
      <c r="T394">
        <v>4843</v>
      </c>
    </row>
    <row r="395" spans="1:20" x14ac:dyDescent="0.35">
      <c r="A395" s="7" t="s">
        <v>7</v>
      </c>
      <c r="B395" s="12" t="s">
        <v>194</v>
      </c>
      <c r="C395">
        <v>167982267.37786144</v>
      </c>
      <c r="D395">
        <v>163943494.62291747</v>
      </c>
      <c r="E395">
        <v>421621.62162162398</v>
      </c>
      <c r="F395">
        <v>363963.96396396402</v>
      </c>
      <c r="G395">
        <v>47</v>
      </c>
      <c r="H395">
        <v>50</v>
      </c>
      <c r="K395">
        <v>56</v>
      </c>
      <c r="L395">
        <v>56</v>
      </c>
      <c r="M395">
        <v>28293243.243243244</v>
      </c>
      <c r="N395">
        <v>51640540.540540539</v>
      </c>
      <c r="O395">
        <v>117098072.07207206</v>
      </c>
      <c r="P395">
        <v>110502693.6936937</v>
      </c>
      <c r="Q395">
        <v>30243153.153153151</v>
      </c>
      <c r="R395">
        <v>52023693.693693697</v>
      </c>
      <c r="S395">
        <v>5058</v>
      </c>
      <c r="T395">
        <v>4777</v>
      </c>
    </row>
    <row r="396" spans="1:20" x14ac:dyDescent="0.35">
      <c r="A396" s="7" t="s">
        <v>495</v>
      </c>
      <c r="B396" s="12" t="s">
        <v>331</v>
      </c>
      <c r="C396">
        <v>192086858.43111786</v>
      </c>
      <c r="D396">
        <v>192688989.42630368</v>
      </c>
      <c r="E396">
        <v>820720.72072072094</v>
      </c>
      <c r="F396">
        <v>209009.009009011</v>
      </c>
      <c r="G396">
        <v>91</v>
      </c>
      <c r="H396">
        <v>93</v>
      </c>
      <c r="K396">
        <v>160</v>
      </c>
      <c r="L396">
        <v>112</v>
      </c>
      <c r="M396">
        <v>11573513.513513515</v>
      </c>
      <c r="N396">
        <v>12000360.36036036</v>
      </c>
      <c r="O396">
        <v>47659090.090090089</v>
      </c>
      <c r="P396">
        <v>50290063.063063063</v>
      </c>
      <c r="Q396">
        <v>11045135.135135137</v>
      </c>
      <c r="R396">
        <v>10750270.270270268</v>
      </c>
      <c r="S396">
        <v>7035</v>
      </c>
      <c r="T396">
        <v>5961</v>
      </c>
    </row>
    <row r="397" spans="1:20" x14ac:dyDescent="0.35">
      <c r="A397" s="7" t="s">
        <v>496</v>
      </c>
      <c r="B397" s="12" t="s">
        <v>331</v>
      </c>
      <c r="C397">
        <v>323603700.70990002</v>
      </c>
      <c r="D397">
        <v>330155214.32127345</v>
      </c>
      <c r="E397">
        <v>2726801.801801804</v>
      </c>
      <c r="F397">
        <v>1008108.108108109</v>
      </c>
      <c r="G397">
        <v>134</v>
      </c>
      <c r="H397">
        <v>118</v>
      </c>
      <c r="K397">
        <v>149</v>
      </c>
      <c r="L397">
        <v>149</v>
      </c>
      <c r="M397">
        <v>14564144.144144146</v>
      </c>
      <c r="N397">
        <v>16202342.342342343</v>
      </c>
      <c r="O397">
        <v>74703292.792792797</v>
      </c>
      <c r="P397">
        <v>80682945.945945948</v>
      </c>
      <c r="Q397">
        <v>13773783.783783782</v>
      </c>
      <c r="R397">
        <v>18801351.351351351</v>
      </c>
      <c r="S397">
        <v>7847</v>
      </c>
      <c r="T397">
        <v>7812</v>
      </c>
    </row>
    <row r="398" spans="1:20" x14ac:dyDescent="0.35">
      <c r="A398" s="7" t="s">
        <v>497</v>
      </c>
      <c r="B398" s="12" t="s">
        <v>331</v>
      </c>
      <c r="C398">
        <v>326098667.97398615</v>
      </c>
      <c r="D398">
        <v>302078234.71247786</v>
      </c>
      <c r="E398">
        <v>4834009.0090090102</v>
      </c>
      <c r="F398">
        <v>2892792.7927927971</v>
      </c>
      <c r="G398">
        <v>157</v>
      </c>
      <c r="H398">
        <v>160</v>
      </c>
      <c r="K398">
        <v>224</v>
      </c>
      <c r="L398">
        <v>208</v>
      </c>
      <c r="M398">
        <v>36501621.621621624</v>
      </c>
      <c r="N398">
        <v>39722162.162162162</v>
      </c>
      <c r="O398">
        <v>73258576.576576576</v>
      </c>
      <c r="P398">
        <v>73841450.45045045</v>
      </c>
      <c r="Q398">
        <v>36944324.324324325</v>
      </c>
      <c r="R398">
        <v>40228648.648648649</v>
      </c>
      <c r="S398">
        <v>9975</v>
      </c>
      <c r="T398">
        <v>8243</v>
      </c>
    </row>
    <row r="399" spans="1:20" x14ac:dyDescent="0.35">
      <c r="A399" s="7" t="s">
        <v>498</v>
      </c>
      <c r="B399" s="12" t="s">
        <v>331</v>
      </c>
      <c r="C399">
        <v>1332528083.73456</v>
      </c>
      <c r="D399">
        <v>1192783517.2348642</v>
      </c>
      <c r="E399">
        <v>1106391644.1441441</v>
      </c>
      <c r="F399">
        <v>15880843.243243255</v>
      </c>
      <c r="G399">
        <v>715</v>
      </c>
      <c r="H399">
        <v>611</v>
      </c>
      <c r="K399">
        <v>1598</v>
      </c>
      <c r="L399">
        <v>732</v>
      </c>
      <c r="M399">
        <v>446290600.9009009</v>
      </c>
      <c r="N399">
        <v>432696609.009009</v>
      </c>
      <c r="O399">
        <v>309653765.76576579</v>
      </c>
      <c r="P399">
        <v>257679729.72972974</v>
      </c>
      <c r="Q399">
        <v>207867747.74774775</v>
      </c>
      <c r="R399">
        <v>354079729.72972971</v>
      </c>
      <c r="S399">
        <v>31161</v>
      </c>
      <c r="T399">
        <v>27705</v>
      </c>
    </row>
    <row r="400" spans="1:20" x14ac:dyDescent="0.35">
      <c r="A400" s="7" t="s">
        <v>499</v>
      </c>
      <c r="B400" s="12" t="s">
        <v>331</v>
      </c>
      <c r="C400">
        <v>1038931785.3984456</v>
      </c>
      <c r="D400">
        <v>974589584.36346114</v>
      </c>
      <c r="E400">
        <v>11748648.648648653</v>
      </c>
      <c r="F400">
        <v>4294594.5945946081</v>
      </c>
      <c r="G400">
        <v>371</v>
      </c>
      <c r="H400">
        <v>407</v>
      </c>
      <c r="I400">
        <v>1</v>
      </c>
      <c r="K400">
        <v>513</v>
      </c>
      <c r="L400">
        <v>499</v>
      </c>
      <c r="M400">
        <v>225193693.6936937</v>
      </c>
      <c r="N400">
        <v>125950180.18018018</v>
      </c>
      <c r="O400">
        <v>263076344.5945946</v>
      </c>
      <c r="P400">
        <v>260915362.16216218</v>
      </c>
      <c r="Q400">
        <v>216707657.65765765</v>
      </c>
      <c r="R400">
        <v>127260360.36036037</v>
      </c>
      <c r="S400">
        <v>28413</v>
      </c>
      <c r="T400">
        <v>25969</v>
      </c>
    </row>
    <row r="401" spans="1:20" x14ac:dyDescent="0.35">
      <c r="A401" s="7" t="s">
        <v>500</v>
      </c>
      <c r="B401" s="12" t="s">
        <v>144</v>
      </c>
      <c r="C401">
        <v>429158554.33291137</v>
      </c>
      <c r="D401">
        <v>434596064.67671907</v>
      </c>
      <c r="E401">
        <v>2325450.4504504511</v>
      </c>
      <c r="F401">
        <v>1000000.000000005</v>
      </c>
      <c r="G401">
        <v>125</v>
      </c>
      <c r="H401">
        <v>70</v>
      </c>
      <c r="K401">
        <v>138</v>
      </c>
      <c r="L401">
        <v>90</v>
      </c>
      <c r="M401">
        <v>37776576.576576576</v>
      </c>
      <c r="N401">
        <v>39678378.378378384</v>
      </c>
      <c r="O401">
        <v>65998917.117117122</v>
      </c>
      <c r="P401">
        <v>79276702.702702701</v>
      </c>
      <c r="Q401">
        <v>25653693.693693694</v>
      </c>
      <c r="R401">
        <v>29719909.909909908</v>
      </c>
      <c r="S401">
        <v>7961</v>
      </c>
      <c r="T401">
        <v>8225</v>
      </c>
    </row>
    <row r="402" spans="1:20" x14ac:dyDescent="0.35">
      <c r="A402" s="7" t="s">
        <v>501</v>
      </c>
      <c r="B402" s="12" t="s">
        <v>221</v>
      </c>
      <c r="C402">
        <v>504629486.08745474</v>
      </c>
      <c r="D402">
        <v>526657899.03079081</v>
      </c>
      <c r="E402">
        <v>5184009.009009012</v>
      </c>
      <c r="F402">
        <v>12920720.720720729</v>
      </c>
      <c r="G402">
        <v>223</v>
      </c>
      <c r="H402">
        <v>264</v>
      </c>
      <c r="I402">
        <v>2</v>
      </c>
      <c r="K402">
        <v>277</v>
      </c>
      <c r="L402">
        <v>380</v>
      </c>
      <c r="M402">
        <v>173682072.07207206</v>
      </c>
      <c r="N402">
        <v>324609099.0990991</v>
      </c>
      <c r="O402">
        <v>155525851.35135135</v>
      </c>
      <c r="P402">
        <v>166086189.1891892</v>
      </c>
      <c r="Q402">
        <v>175549549.54954955</v>
      </c>
      <c r="R402">
        <v>308811171.17117119</v>
      </c>
      <c r="S402">
        <v>15810</v>
      </c>
      <c r="T402">
        <v>11995</v>
      </c>
    </row>
    <row r="403" spans="1:20" x14ac:dyDescent="0.35">
      <c r="A403" s="7" t="s">
        <v>502</v>
      </c>
      <c r="B403" s="12" t="s">
        <v>398</v>
      </c>
      <c r="C403">
        <v>1421770074.7730603</v>
      </c>
      <c r="D403">
        <v>1453182142.4272013</v>
      </c>
      <c r="E403">
        <v>262916597.2972973</v>
      </c>
      <c r="F403">
        <v>332766363.96396399</v>
      </c>
      <c r="G403">
        <v>442</v>
      </c>
      <c r="H403">
        <v>363</v>
      </c>
      <c r="K403">
        <v>548</v>
      </c>
      <c r="L403">
        <v>470</v>
      </c>
      <c r="M403">
        <v>162890765.76576576</v>
      </c>
      <c r="N403">
        <v>195373963.96396396</v>
      </c>
      <c r="O403">
        <v>302991933.33333331</v>
      </c>
      <c r="P403">
        <v>325192625.22522521</v>
      </c>
      <c r="Q403">
        <v>151888693.6936937</v>
      </c>
      <c r="R403">
        <v>169573873.87387389</v>
      </c>
      <c r="S403">
        <v>27689</v>
      </c>
      <c r="T403">
        <v>27076</v>
      </c>
    </row>
    <row r="404" spans="1:20" x14ac:dyDescent="0.35">
      <c r="A404" s="7" t="s">
        <v>503</v>
      </c>
      <c r="B404" s="12" t="s">
        <v>71</v>
      </c>
      <c r="C404">
        <v>22056875.170980655</v>
      </c>
      <c r="D404">
        <v>22619296.659637377</v>
      </c>
      <c r="E404">
        <v>242342.34234234301</v>
      </c>
      <c r="F404">
        <v>1300900.9009009011</v>
      </c>
      <c r="G404">
        <v>10</v>
      </c>
      <c r="H404">
        <v>8</v>
      </c>
      <c r="K404">
        <v>10</v>
      </c>
      <c r="L404">
        <v>9</v>
      </c>
      <c r="M404">
        <v>1101801.801801801</v>
      </c>
      <c r="N404">
        <v>4436036.0360360369</v>
      </c>
      <c r="O404">
        <v>15686882.882882884</v>
      </c>
      <c r="P404">
        <v>17581171.171171173</v>
      </c>
      <c r="Q404">
        <v>907027.02702702605</v>
      </c>
      <c r="R404">
        <v>3186396.3963963971</v>
      </c>
      <c r="S404">
        <v>775</v>
      </c>
      <c r="T404">
        <v>881</v>
      </c>
    </row>
    <row r="405" spans="1:20" x14ac:dyDescent="0.35">
      <c r="A405" s="7" t="s">
        <v>504</v>
      </c>
      <c r="B405" s="12" t="s">
        <v>331</v>
      </c>
      <c r="C405">
        <v>599915992.83326077</v>
      </c>
      <c r="D405">
        <v>593890832.32286692</v>
      </c>
      <c r="E405">
        <v>5025000</v>
      </c>
      <c r="F405">
        <v>4568468.4684684742</v>
      </c>
      <c r="G405">
        <v>214</v>
      </c>
      <c r="H405">
        <v>195</v>
      </c>
      <c r="K405">
        <v>327</v>
      </c>
      <c r="L405">
        <v>225</v>
      </c>
      <c r="M405">
        <v>65175495.495495491</v>
      </c>
      <c r="N405">
        <v>80332432.432432428</v>
      </c>
      <c r="O405">
        <v>178378605.85585585</v>
      </c>
      <c r="P405">
        <v>158665890.09009007</v>
      </c>
      <c r="Q405">
        <v>65640990.990990989</v>
      </c>
      <c r="R405">
        <v>83872522.522522524</v>
      </c>
      <c r="S405">
        <v>17190</v>
      </c>
      <c r="T405">
        <v>16658</v>
      </c>
    </row>
    <row r="406" spans="1:20" x14ac:dyDescent="0.35">
      <c r="A406" s="7" t="s">
        <v>505</v>
      </c>
      <c r="B406" s="12" t="s">
        <v>284</v>
      </c>
      <c r="C406">
        <v>183940154.12749484</v>
      </c>
      <c r="D406">
        <v>188532749.86788926</v>
      </c>
      <c r="E406">
        <v>233631272.97297296</v>
      </c>
      <c r="F406">
        <v>153018944.14414415</v>
      </c>
      <c r="G406">
        <v>35</v>
      </c>
      <c r="H406">
        <v>11</v>
      </c>
      <c r="K406">
        <v>36</v>
      </c>
      <c r="L406">
        <v>18</v>
      </c>
      <c r="M406">
        <v>39092769.369369365</v>
      </c>
      <c r="N406">
        <v>36406210.810810804</v>
      </c>
      <c r="O406">
        <v>32034171.171171173</v>
      </c>
      <c r="P406">
        <v>37176270.270270273</v>
      </c>
      <c r="Q406">
        <v>13506576.576576576</v>
      </c>
      <c r="R406">
        <v>13960990.990990993</v>
      </c>
      <c r="S406">
        <v>3180</v>
      </c>
      <c r="T406">
        <v>2856</v>
      </c>
    </row>
    <row r="407" spans="1:20" x14ac:dyDescent="0.35">
      <c r="A407" s="7" t="s">
        <v>506</v>
      </c>
      <c r="B407" s="12" t="s">
        <v>261</v>
      </c>
      <c r="C407">
        <v>112413991.59825234</v>
      </c>
      <c r="D407">
        <v>125728786.82589835</v>
      </c>
      <c r="E407">
        <v>55855.855855856003</v>
      </c>
      <c r="F407">
        <v>13513.513513514001</v>
      </c>
      <c r="G407">
        <v>5</v>
      </c>
      <c r="H407">
        <v>12</v>
      </c>
      <c r="K407">
        <v>7</v>
      </c>
      <c r="L407">
        <v>16</v>
      </c>
      <c r="M407">
        <v>1866666.666666667</v>
      </c>
      <c r="N407">
        <v>2716216.2162162168</v>
      </c>
      <c r="O407">
        <v>25176603.603603605</v>
      </c>
      <c r="P407">
        <v>35204529.729729727</v>
      </c>
      <c r="Q407">
        <v>1362162.1621621619</v>
      </c>
      <c r="R407">
        <v>3436036.036036036</v>
      </c>
      <c r="S407">
        <v>2134</v>
      </c>
      <c r="T407">
        <v>2212</v>
      </c>
    </row>
    <row r="408" spans="1:20" x14ac:dyDescent="0.35">
      <c r="A408" s="7" t="s">
        <v>507</v>
      </c>
      <c r="B408" s="12" t="s">
        <v>237</v>
      </c>
      <c r="C408">
        <v>277847320.38281548</v>
      </c>
      <c r="D408">
        <v>270574902.40506834</v>
      </c>
      <c r="E408">
        <v>1666216.216216217</v>
      </c>
      <c r="F408">
        <v>3051351.3513513608</v>
      </c>
      <c r="G408">
        <v>38</v>
      </c>
      <c r="H408">
        <v>109</v>
      </c>
      <c r="I408">
        <v>1</v>
      </c>
      <c r="K408">
        <v>142</v>
      </c>
      <c r="L408">
        <v>159</v>
      </c>
      <c r="M408">
        <v>57090405.40540541</v>
      </c>
      <c r="N408">
        <v>52286936.936936937</v>
      </c>
      <c r="O408">
        <v>62647639.639639638</v>
      </c>
      <c r="P408">
        <v>65368585.585585587</v>
      </c>
      <c r="Q408">
        <v>55062117.117117122</v>
      </c>
      <c r="R408">
        <v>49861801.801801801</v>
      </c>
      <c r="S408">
        <v>4833</v>
      </c>
      <c r="T408">
        <v>4549</v>
      </c>
    </row>
    <row r="409" spans="1:20" x14ac:dyDescent="0.35">
      <c r="A409" s="7" t="s">
        <v>508</v>
      </c>
      <c r="B409" s="12" t="s">
        <v>135</v>
      </c>
      <c r="C409">
        <v>32380162.516142908</v>
      </c>
      <c r="D409">
        <v>47296419.705762848</v>
      </c>
      <c r="G409">
        <v>2</v>
      </c>
      <c r="H409">
        <v>1</v>
      </c>
      <c r="K409">
        <v>2</v>
      </c>
      <c r="L409">
        <v>1</v>
      </c>
      <c r="O409">
        <v>5615081.0810810812</v>
      </c>
      <c r="P409">
        <v>8483585.5855855867</v>
      </c>
      <c r="S409">
        <v>1280</v>
      </c>
      <c r="T409">
        <v>1197</v>
      </c>
    </row>
    <row r="410" spans="1:20" x14ac:dyDescent="0.35">
      <c r="A410" s="7" t="s">
        <v>509</v>
      </c>
      <c r="B410" s="12" t="s">
        <v>398</v>
      </c>
      <c r="C410">
        <v>289428432.11735189</v>
      </c>
      <c r="D410">
        <v>297369231.80226105</v>
      </c>
      <c r="E410">
        <v>1685585.585585586</v>
      </c>
      <c r="F410">
        <v>1021621.6216216231</v>
      </c>
      <c r="G410">
        <v>51</v>
      </c>
      <c r="H410">
        <v>55</v>
      </c>
      <c r="K410">
        <v>79</v>
      </c>
      <c r="L410">
        <v>71</v>
      </c>
      <c r="M410">
        <v>33124774.774774775</v>
      </c>
      <c r="N410">
        <v>30774774.774774775</v>
      </c>
      <c r="O410">
        <v>44386351.351351351</v>
      </c>
      <c r="P410">
        <v>45844342.342342347</v>
      </c>
      <c r="Q410">
        <v>32438738.738738742</v>
      </c>
      <c r="R410">
        <v>28049549.54954955</v>
      </c>
      <c r="S410">
        <v>4611</v>
      </c>
      <c r="T410">
        <v>4379</v>
      </c>
    </row>
    <row r="411" spans="1:20" x14ac:dyDescent="0.35">
      <c r="A411" s="7" t="s">
        <v>510</v>
      </c>
      <c r="B411" s="12" t="s">
        <v>135</v>
      </c>
      <c r="C411">
        <v>320678291.100734</v>
      </c>
      <c r="D411">
        <v>341074692.75483638</v>
      </c>
      <c r="E411">
        <v>1712612.6126126151</v>
      </c>
      <c r="F411">
        <v>2177477.4774774802</v>
      </c>
      <c r="G411">
        <v>69</v>
      </c>
      <c r="H411">
        <v>75</v>
      </c>
      <c r="K411">
        <v>76</v>
      </c>
      <c r="L411">
        <v>81</v>
      </c>
      <c r="M411">
        <v>29897297.297297295</v>
      </c>
      <c r="N411">
        <v>37754054.054054059</v>
      </c>
      <c r="O411">
        <v>51802970.720720723</v>
      </c>
      <c r="P411">
        <v>59021477.477477483</v>
      </c>
      <c r="Q411">
        <v>24778378.378378376</v>
      </c>
      <c r="R411">
        <v>28600540.540540539</v>
      </c>
      <c r="S411">
        <v>5841</v>
      </c>
      <c r="T411">
        <v>5500</v>
      </c>
    </row>
    <row r="412" spans="1:20" x14ac:dyDescent="0.35">
      <c r="A412" s="7" t="s">
        <v>511</v>
      </c>
      <c r="B412" s="12" t="s">
        <v>135</v>
      </c>
      <c r="C412">
        <v>881333452.28308046</v>
      </c>
      <c r="D412">
        <v>913804307.58670866</v>
      </c>
      <c r="E412">
        <v>5365765.7657657741</v>
      </c>
      <c r="F412">
        <v>8146846.8468468525</v>
      </c>
      <c r="G412">
        <v>162</v>
      </c>
      <c r="H412">
        <v>178</v>
      </c>
      <c r="K412">
        <v>209</v>
      </c>
      <c r="L412">
        <v>283</v>
      </c>
      <c r="M412">
        <v>65958558.558558561</v>
      </c>
      <c r="N412">
        <v>86603603.603603601</v>
      </c>
      <c r="O412">
        <v>92768369.369369373</v>
      </c>
      <c r="P412">
        <v>105722882.88288288</v>
      </c>
      <c r="Q412">
        <v>63554144.144144148</v>
      </c>
      <c r="R412">
        <v>77572882.882882878</v>
      </c>
      <c r="S412">
        <v>17803</v>
      </c>
      <c r="T412">
        <v>16665</v>
      </c>
    </row>
    <row r="413" spans="1:20" x14ac:dyDescent="0.35">
      <c r="A413" s="7" t="s">
        <v>8</v>
      </c>
      <c r="B413" s="12" t="s">
        <v>159</v>
      </c>
      <c r="C413">
        <v>232775707.11638537</v>
      </c>
      <c r="D413">
        <v>235477866.27252737</v>
      </c>
      <c r="E413">
        <v>4509009.0090090111</v>
      </c>
      <c r="F413">
        <v>4691891.8918918958</v>
      </c>
      <c r="G413">
        <v>20</v>
      </c>
      <c r="H413">
        <v>51</v>
      </c>
      <c r="K413">
        <v>22</v>
      </c>
      <c r="L413">
        <v>54</v>
      </c>
      <c r="M413">
        <v>42172072.072072074</v>
      </c>
      <c r="N413">
        <v>45747297.297297299</v>
      </c>
      <c r="O413">
        <v>68863126.126126125</v>
      </c>
      <c r="P413">
        <v>71698774.774774775</v>
      </c>
      <c r="Q413">
        <v>39336756.756756753</v>
      </c>
      <c r="R413">
        <v>41383963.963963971</v>
      </c>
      <c r="S413">
        <v>4066</v>
      </c>
      <c r="T413">
        <v>3508</v>
      </c>
    </row>
    <row r="414" spans="1:20" x14ac:dyDescent="0.35">
      <c r="A414" s="7" t="s">
        <v>512</v>
      </c>
      <c r="B414" s="12" t="s">
        <v>135</v>
      </c>
      <c r="C414">
        <v>170673045.1240274</v>
      </c>
      <c r="D414">
        <v>195691810.39253411</v>
      </c>
      <c r="E414">
        <v>743243.24324324296</v>
      </c>
      <c r="F414">
        <v>747747.74774774897</v>
      </c>
      <c r="G414">
        <v>13</v>
      </c>
      <c r="H414">
        <v>1</v>
      </c>
      <c r="K414">
        <v>15</v>
      </c>
      <c r="L414">
        <v>2</v>
      </c>
      <c r="M414">
        <v>6148648.6486486495</v>
      </c>
      <c r="N414">
        <v>14261261.261261262</v>
      </c>
      <c r="O414">
        <v>23341909.909909911</v>
      </c>
      <c r="P414">
        <v>29421414.414414417</v>
      </c>
      <c r="Q414">
        <v>4748378.3783783801</v>
      </c>
      <c r="R414">
        <v>6023963.963963965</v>
      </c>
      <c r="S414">
        <v>3810</v>
      </c>
      <c r="T414">
        <v>4005</v>
      </c>
    </row>
    <row r="415" spans="1:20" x14ac:dyDescent="0.35">
      <c r="A415" s="7" t="s">
        <v>513</v>
      </c>
      <c r="B415" s="12" t="s">
        <v>63</v>
      </c>
      <c r="C415">
        <v>741711454.07983851</v>
      </c>
      <c r="D415">
        <v>727186039.79372156</v>
      </c>
      <c r="E415">
        <v>701571945.94594598</v>
      </c>
      <c r="F415">
        <v>853443795.49549556</v>
      </c>
      <c r="G415">
        <v>179</v>
      </c>
      <c r="H415">
        <v>111</v>
      </c>
      <c r="K415">
        <v>245</v>
      </c>
      <c r="L415">
        <v>222</v>
      </c>
      <c r="M415">
        <v>178233012.61261261</v>
      </c>
      <c r="N415">
        <v>104546178.37837839</v>
      </c>
      <c r="O415">
        <v>154785775.67567569</v>
      </c>
      <c r="P415">
        <v>161995111.7117117</v>
      </c>
      <c r="Q415">
        <v>106648108.10810812</v>
      </c>
      <c r="R415">
        <v>60048421.621621624</v>
      </c>
      <c r="S415">
        <v>15012</v>
      </c>
      <c r="T415">
        <v>15288</v>
      </c>
    </row>
    <row r="416" spans="1:20" x14ac:dyDescent="0.35">
      <c r="A416" s="7" t="s">
        <v>514</v>
      </c>
      <c r="B416" s="12" t="s">
        <v>118</v>
      </c>
      <c r="C416">
        <v>76754478.311820388</v>
      </c>
      <c r="D416">
        <v>67305076.438977689</v>
      </c>
      <c r="E416">
        <v>301801.80180180201</v>
      </c>
      <c r="F416">
        <v>1675675.6756756781</v>
      </c>
      <c r="G416">
        <v>32</v>
      </c>
      <c r="H416">
        <v>32</v>
      </c>
      <c r="K416">
        <v>32</v>
      </c>
      <c r="L416">
        <v>35</v>
      </c>
      <c r="M416">
        <v>3746216.2162162159</v>
      </c>
      <c r="N416">
        <v>5793018.0180180203</v>
      </c>
      <c r="O416">
        <v>33390783.783783782</v>
      </c>
      <c r="P416">
        <v>30749441.441441439</v>
      </c>
      <c r="Q416">
        <v>3060000.0000000009</v>
      </c>
      <c r="R416">
        <v>5184549.5495495489</v>
      </c>
      <c r="S416">
        <v>2079</v>
      </c>
      <c r="T416">
        <v>1978</v>
      </c>
    </row>
    <row r="417" spans="1:20" x14ac:dyDescent="0.35">
      <c r="A417" s="7" t="s">
        <v>515</v>
      </c>
      <c r="B417" s="12" t="s">
        <v>305</v>
      </c>
      <c r="C417">
        <v>138548684.65900043</v>
      </c>
      <c r="D417">
        <v>133055456.09390858</v>
      </c>
      <c r="E417">
        <v>118746720.72072072</v>
      </c>
      <c r="F417">
        <v>146264112.61261261</v>
      </c>
      <c r="G417">
        <v>76</v>
      </c>
      <c r="H417">
        <v>80</v>
      </c>
      <c r="I417">
        <v>2</v>
      </c>
      <c r="K417">
        <v>78</v>
      </c>
      <c r="L417">
        <v>87</v>
      </c>
      <c r="M417">
        <v>12010810.81081081</v>
      </c>
      <c r="N417">
        <v>27918018.018018015</v>
      </c>
      <c r="O417">
        <v>14101171.171171172</v>
      </c>
      <c r="P417">
        <v>15422909.909909911</v>
      </c>
      <c r="Q417">
        <v>10968108.108108109</v>
      </c>
      <c r="R417">
        <v>5671981.9819819834</v>
      </c>
      <c r="S417">
        <v>1747</v>
      </c>
      <c r="T417">
        <v>1460</v>
      </c>
    </row>
    <row r="418" spans="1:20" x14ac:dyDescent="0.35">
      <c r="A418" s="7" t="s">
        <v>516</v>
      </c>
      <c r="B418" s="12" t="s">
        <v>305</v>
      </c>
      <c r="C418">
        <v>38181477.094046205</v>
      </c>
      <c r="D418">
        <v>44843229.255627155</v>
      </c>
      <c r="E418">
        <v>442342.34234234202</v>
      </c>
      <c r="F418">
        <v>391891.89189189498</v>
      </c>
      <c r="G418">
        <v>10</v>
      </c>
      <c r="H418">
        <v>10</v>
      </c>
      <c r="K418">
        <v>10</v>
      </c>
      <c r="L418">
        <v>11</v>
      </c>
      <c r="M418">
        <v>4493693.6936936928</v>
      </c>
      <c r="N418">
        <v>6797297.2972972989</v>
      </c>
      <c r="O418">
        <v>5548027.0270270268</v>
      </c>
      <c r="P418">
        <v>7294720.7207207214</v>
      </c>
      <c r="Q418">
        <v>3320180.180180179</v>
      </c>
      <c r="R418">
        <v>5238198.1981981974</v>
      </c>
      <c r="S418">
        <v>733</v>
      </c>
      <c r="T418">
        <v>590</v>
      </c>
    </row>
    <row r="419" spans="1:20" x14ac:dyDescent="0.35">
      <c r="A419" s="7" t="s">
        <v>517</v>
      </c>
      <c r="B419" s="12" t="s">
        <v>305</v>
      </c>
      <c r="C419">
        <v>81645499.411768988</v>
      </c>
      <c r="D419">
        <v>83778950.72864002</v>
      </c>
      <c r="E419">
        <v>754954.95495495305</v>
      </c>
      <c r="F419">
        <v>270270.27027027402</v>
      </c>
      <c r="G419">
        <v>39</v>
      </c>
      <c r="H419">
        <v>26</v>
      </c>
      <c r="K419">
        <v>44</v>
      </c>
      <c r="L419">
        <v>41</v>
      </c>
      <c r="M419">
        <v>4110810.81081081</v>
      </c>
      <c r="N419">
        <v>6990990.9909909926</v>
      </c>
      <c r="O419">
        <v>12504018.018018018</v>
      </c>
      <c r="P419">
        <v>12778486.486486483</v>
      </c>
      <c r="Q419">
        <v>3952072.072072071</v>
      </c>
      <c r="R419">
        <v>6511171.1711711697</v>
      </c>
      <c r="S419">
        <v>1397</v>
      </c>
      <c r="T419">
        <v>1110</v>
      </c>
    </row>
    <row r="420" spans="1:20" x14ac:dyDescent="0.35">
      <c r="A420" s="7" t="s">
        <v>518</v>
      </c>
      <c r="B420" s="12" t="s">
        <v>305</v>
      </c>
      <c r="C420">
        <v>64054354.897179723</v>
      </c>
      <c r="D420">
        <v>63141200.189800866</v>
      </c>
      <c r="E420">
        <v>94594.594594594993</v>
      </c>
      <c r="F420">
        <v>63063.063063064001</v>
      </c>
      <c r="G420">
        <v>24</v>
      </c>
      <c r="H420">
        <v>24</v>
      </c>
      <c r="K420">
        <v>24</v>
      </c>
      <c r="L420">
        <v>25</v>
      </c>
      <c r="M420">
        <v>1445945.945945946</v>
      </c>
      <c r="N420">
        <v>2617117.1171171172</v>
      </c>
      <c r="O420">
        <v>8478729.7297297288</v>
      </c>
      <c r="P420">
        <v>9680216.2162162159</v>
      </c>
      <c r="Q420">
        <v>1197207.2072072059</v>
      </c>
      <c r="R420">
        <v>1640990.9909909901</v>
      </c>
      <c r="S420">
        <v>1002</v>
      </c>
      <c r="T420">
        <v>783</v>
      </c>
    </row>
    <row r="421" spans="1:20" x14ac:dyDescent="0.35">
      <c r="A421" s="7" t="s">
        <v>519</v>
      </c>
      <c r="B421" s="12" t="s">
        <v>449</v>
      </c>
      <c r="C421">
        <v>65821216.091114938</v>
      </c>
      <c r="D421">
        <v>64634163.860963494</v>
      </c>
      <c r="E421">
        <v>347747.74774774798</v>
      </c>
      <c r="F421">
        <v>1559459.4594594601</v>
      </c>
      <c r="G421">
        <v>15</v>
      </c>
      <c r="H421">
        <v>29</v>
      </c>
      <c r="K421">
        <v>17</v>
      </c>
      <c r="L421">
        <v>39</v>
      </c>
      <c r="M421">
        <v>4161711.7117117122</v>
      </c>
      <c r="N421">
        <v>67813783.783783779</v>
      </c>
      <c r="O421">
        <v>22349948.198198199</v>
      </c>
      <c r="P421">
        <v>22601990.990990993</v>
      </c>
      <c r="Q421">
        <v>4552342.3423423423</v>
      </c>
      <c r="R421">
        <v>67625405.405405402</v>
      </c>
      <c r="S421">
        <v>3304</v>
      </c>
      <c r="T421">
        <v>1768</v>
      </c>
    </row>
    <row r="422" spans="1:20" x14ac:dyDescent="0.35">
      <c r="A422" s="7" t="s">
        <v>520</v>
      </c>
      <c r="B422" s="12" t="s">
        <v>86</v>
      </c>
      <c r="C422">
        <v>204906471.1966438</v>
      </c>
      <c r="D422">
        <v>208818729.16221869</v>
      </c>
      <c r="E422">
        <v>1635135.1351351361</v>
      </c>
      <c r="F422">
        <v>2869369.3693693718</v>
      </c>
      <c r="G422">
        <v>31</v>
      </c>
      <c r="H422">
        <v>15</v>
      </c>
      <c r="K422">
        <v>36</v>
      </c>
      <c r="L422">
        <v>21</v>
      </c>
      <c r="M422">
        <v>39411261.261261262</v>
      </c>
      <c r="N422">
        <v>77396306.306306303</v>
      </c>
      <c r="O422">
        <v>50623475.675675675</v>
      </c>
      <c r="P422">
        <v>58265765.765765771</v>
      </c>
      <c r="Q422">
        <v>33932926.126126125</v>
      </c>
      <c r="R422">
        <v>65630090.090090096</v>
      </c>
      <c r="S422">
        <v>4290</v>
      </c>
      <c r="T422">
        <v>4072</v>
      </c>
    </row>
    <row r="423" spans="1:20" x14ac:dyDescent="0.35">
      <c r="A423" s="7" t="s">
        <v>521</v>
      </c>
      <c r="B423" s="12" t="s">
        <v>305</v>
      </c>
      <c r="C423">
        <v>104062728.56907058</v>
      </c>
      <c r="D423">
        <v>103796129.00195083</v>
      </c>
      <c r="E423">
        <v>44144.144144143997</v>
      </c>
      <c r="F423">
        <v>18018.018018019</v>
      </c>
      <c r="G423">
        <v>12</v>
      </c>
      <c r="H423">
        <v>15</v>
      </c>
      <c r="K423">
        <v>12</v>
      </c>
      <c r="L423">
        <v>16</v>
      </c>
      <c r="M423">
        <v>5756756.7567567565</v>
      </c>
      <c r="N423">
        <v>5045045.0450450461</v>
      </c>
      <c r="O423">
        <v>17449292.792792793</v>
      </c>
      <c r="P423">
        <v>19135396.396396395</v>
      </c>
      <c r="Q423">
        <v>3226846.8468468469</v>
      </c>
      <c r="R423">
        <v>4258198.1981981983</v>
      </c>
      <c r="S423">
        <v>1481</v>
      </c>
      <c r="T423">
        <v>1359</v>
      </c>
    </row>
    <row r="424" spans="1:20" x14ac:dyDescent="0.35">
      <c r="A424" s="7" t="s">
        <v>522</v>
      </c>
      <c r="B424" s="12" t="s">
        <v>400</v>
      </c>
      <c r="C424">
        <v>718163872.01370275</v>
      </c>
      <c r="D424">
        <v>722837948.05983365</v>
      </c>
      <c r="E424">
        <v>182661358.55855855</v>
      </c>
      <c r="F424">
        <v>162179390.990991</v>
      </c>
      <c r="G424">
        <v>156</v>
      </c>
      <c r="H424">
        <v>178</v>
      </c>
      <c r="I424">
        <v>1</v>
      </c>
      <c r="K424">
        <v>452</v>
      </c>
      <c r="L424">
        <v>609</v>
      </c>
      <c r="M424">
        <v>132432882.88288288</v>
      </c>
      <c r="N424">
        <v>219239639.63963965</v>
      </c>
      <c r="O424">
        <v>182312270.27027026</v>
      </c>
      <c r="P424">
        <v>190314387.38738739</v>
      </c>
      <c r="Q424">
        <v>111966576.57657658</v>
      </c>
      <c r="R424">
        <v>147495088.2882883</v>
      </c>
      <c r="S424">
        <v>14992</v>
      </c>
      <c r="T424">
        <v>13809</v>
      </c>
    </row>
    <row r="425" spans="1:20" x14ac:dyDescent="0.35">
      <c r="A425" s="7" t="s">
        <v>523</v>
      </c>
      <c r="B425" s="12" t="s">
        <v>144</v>
      </c>
      <c r="C425">
        <v>202469295.14503598</v>
      </c>
      <c r="D425">
        <v>212802848.45417285</v>
      </c>
      <c r="E425">
        <v>573873.87387387396</v>
      </c>
      <c r="F425">
        <v>378378.37837837799</v>
      </c>
      <c r="G425">
        <v>56</v>
      </c>
      <c r="H425">
        <v>16</v>
      </c>
      <c r="K425">
        <v>58</v>
      </c>
      <c r="L425">
        <v>17</v>
      </c>
      <c r="M425">
        <v>12285585.585585589</v>
      </c>
      <c r="N425">
        <v>9837837.8378378376</v>
      </c>
      <c r="O425">
        <v>26074054.054054055</v>
      </c>
      <c r="P425">
        <v>27213753.153153151</v>
      </c>
      <c r="Q425">
        <v>11630360.36036036</v>
      </c>
      <c r="R425">
        <v>10079549.549549548</v>
      </c>
      <c r="S425">
        <v>3072</v>
      </c>
      <c r="T425">
        <v>2980</v>
      </c>
    </row>
    <row r="426" spans="1:20" x14ac:dyDescent="0.35">
      <c r="A426" s="7" t="s">
        <v>524</v>
      </c>
      <c r="B426" s="12" t="s">
        <v>67</v>
      </c>
      <c r="C426">
        <v>141212434.074411</v>
      </c>
      <c r="D426">
        <v>131632500.76798801</v>
      </c>
      <c r="E426">
        <v>275269369.36936939</v>
      </c>
      <c r="F426">
        <v>482157657.65765768</v>
      </c>
      <c r="G426">
        <v>33</v>
      </c>
      <c r="H426">
        <v>35</v>
      </c>
      <c r="K426">
        <v>39</v>
      </c>
      <c r="L426">
        <v>39</v>
      </c>
      <c r="M426">
        <v>75873108.108108118</v>
      </c>
      <c r="N426">
        <v>77598873.873873875</v>
      </c>
      <c r="O426">
        <v>67697432.432432428</v>
      </c>
      <c r="P426">
        <v>66375765.765765771</v>
      </c>
      <c r="Q426">
        <v>51051621.621621624</v>
      </c>
      <c r="R426">
        <v>55821486.486486487</v>
      </c>
      <c r="S426">
        <v>4590</v>
      </c>
      <c r="T426">
        <v>4011</v>
      </c>
    </row>
    <row r="427" spans="1:20" x14ac:dyDescent="0.35">
      <c r="A427" s="7" t="s">
        <v>525</v>
      </c>
      <c r="B427" s="12" t="s">
        <v>221</v>
      </c>
      <c r="C427">
        <v>182062387.91923919</v>
      </c>
      <c r="D427">
        <v>182198426.48652041</v>
      </c>
      <c r="E427">
        <v>702702.70270270202</v>
      </c>
      <c r="F427">
        <v>373873.87387387501</v>
      </c>
      <c r="G427">
        <v>64</v>
      </c>
      <c r="H427">
        <v>55</v>
      </c>
      <c r="K427">
        <v>73</v>
      </c>
      <c r="L427">
        <v>60</v>
      </c>
      <c r="M427">
        <v>11972972.972972972</v>
      </c>
      <c r="N427">
        <v>11882657.657657659</v>
      </c>
      <c r="O427">
        <v>45604180.180180177</v>
      </c>
      <c r="P427">
        <v>49170809.009009011</v>
      </c>
      <c r="Q427">
        <v>9495945.9459459446</v>
      </c>
      <c r="R427">
        <v>7267342.3423423423</v>
      </c>
      <c r="S427">
        <v>4501</v>
      </c>
      <c r="T427">
        <v>4233</v>
      </c>
    </row>
    <row r="428" spans="1:20" x14ac:dyDescent="0.35">
      <c r="A428" s="7" t="s">
        <v>526</v>
      </c>
      <c r="B428" s="12" t="s">
        <v>414</v>
      </c>
      <c r="C428">
        <v>2012734372.5390246</v>
      </c>
      <c r="D428">
        <v>2036890767.3038697</v>
      </c>
      <c r="E428">
        <v>562440465.76576579</v>
      </c>
      <c r="F428">
        <v>752575314.41441441</v>
      </c>
      <c r="G428">
        <v>358</v>
      </c>
      <c r="H428">
        <v>775</v>
      </c>
      <c r="I428">
        <v>1</v>
      </c>
      <c r="K428">
        <v>780</v>
      </c>
      <c r="L428">
        <v>1182</v>
      </c>
      <c r="M428">
        <v>160086432.43243244</v>
      </c>
      <c r="N428">
        <v>406505270.27027029</v>
      </c>
      <c r="O428">
        <v>588666977.47747755</v>
      </c>
      <c r="P428">
        <v>662722263.96396387</v>
      </c>
      <c r="Q428">
        <v>168361261.26126128</v>
      </c>
      <c r="R428">
        <v>212786216.21621624</v>
      </c>
      <c r="S428">
        <v>33056</v>
      </c>
      <c r="T428">
        <v>43201</v>
      </c>
    </row>
    <row r="429" spans="1:20" x14ac:dyDescent="0.35">
      <c r="A429" s="7" t="s">
        <v>527</v>
      </c>
      <c r="B429" s="12" t="s">
        <v>414</v>
      </c>
      <c r="C429">
        <v>225160309.95695052</v>
      </c>
      <c r="D429">
        <v>230423836.9157939</v>
      </c>
      <c r="E429">
        <v>2777702.702702703</v>
      </c>
      <c r="F429">
        <v>103603.60360360501</v>
      </c>
      <c r="G429">
        <v>37</v>
      </c>
      <c r="H429">
        <v>27</v>
      </c>
      <c r="K429">
        <v>39</v>
      </c>
      <c r="L429">
        <v>33</v>
      </c>
      <c r="M429">
        <v>14037705.405405406</v>
      </c>
      <c r="N429">
        <v>13645495.495495496</v>
      </c>
      <c r="O429">
        <v>70265027.027027026</v>
      </c>
      <c r="P429">
        <v>75152049.54954955</v>
      </c>
      <c r="Q429">
        <v>11401621.62162162</v>
      </c>
      <c r="R429">
        <v>11839189.189189188</v>
      </c>
      <c r="S429">
        <v>4742</v>
      </c>
      <c r="T429">
        <v>3324</v>
      </c>
    </row>
    <row r="430" spans="1:20" x14ac:dyDescent="0.35">
      <c r="A430" s="7" t="s">
        <v>663</v>
      </c>
      <c r="B430" s="12" t="s">
        <v>190</v>
      </c>
      <c r="C430">
        <v>1023851.162434482</v>
      </c>
      <c r="G430">
        <v>1</v>
      </c>
      <c r="K430">
        <v>1</v>
      </c>
      <c r="O430">
        <v>672342.34234234202</v>
      </c>
      <c r="S430">
        <v>131</v>
      </c>
    </row>
    <row r="431" spans="1:20" x14ac:dyDescent="0.35">
      <c r="A431" s="7" t="s">
        <v>528</v>
      </c>
      <c r="B431" s="12" t="s">
        <v>148</v>
      </c>
      <c r="C431">
        <v>467498235.44324297</v>
      </c>
      <c r="D431">
        <v>445702736.81814849</v>
      </c>
      <c r="E431">
        <v>7930855.8558558598</v>
      </c>
      <c r="F431">
        <v>11227027.027027031</v>
      </c>
      <c r="G431">
        <v>148</v>
      </c>
      <c r="H431">
        <v>169</v>
      </c>
      <c r="K431">
        <v>227</v>
      </c>
      <c r="L431">
        <v>245</v>
      </c>
      <c r="M431">
        <v>111305177.47747749</v>
      </c>
      <c r="N431">
        <v>137717130.63063064</v>
      </c>
      <c r="O431">
        <v>166934556.75675678</v>
      </c>
      <c r="P431">
        <v>172359601.8018018</v>
      </c>
      <c r="Q431">
        <v>110183783.78378379</v>
      </c>
      <c r="R431">
        <v>128383693.6936937</v>
      </c>
      <c r="S431">
        <v>10421</v>
      </c>
      <c r="T431">
        <v>9840</v>
      </c>
    </row>
    <row r="432" spans="1:20" x14ac:dyDescent="0.35">
      <c r="A432" s="7" t="s">
        <v>529</v>
      </c>
      <c r="B432" s="12" t="s">
        <v>122</v>
      </c>
      <c r="C432">
        <v>52373007.993119121</v>
      </c>
      <c r="D432">
        <v>45195960.866517261</v>
      </c>
      <c r="E432">
        <v>470270.27027027</v>
      </c>
      <c r="F432">
        <v>393693.69369369501</v>
      </c>
      <c r="G432">
        <v>25</v>
      </c>
      <c r="H432">
        <v>28</v>
      </c>
      <c r="K432">
        <v>28</v>
      </c>
      <c r="L432">
        <v>32</v>
      </c>
      <c r="M432">
        <v>5736036.036036036</v>
      </c>
      <c r="N432">
        <v>3952252.2522522528</v>
      </c>
      <c r="O432">
        <v>6852536.036036036</v>
      </c>
      <c r="P432">
        <v>6151000</v>
      </c>
      <c r="Q432">
        <v>4588378.3783783782</v>
      </c>
      <c r="R432">
        <v>3874504.5045045041</v>
      </c>
      <c r="S432">
        <v>1025</v>
      </c>
      <c r="T432">
        <v>930</v>
      </c>
    </row>
    <row r="433" spans="1:20" x14ac:dyDescent="0.35">
      <c r="A433" s="7" t="s">
        <v>530</v>
      </c>
      <c r="B433" s="12" t="s">
        <v>449</v>
      </c>
      <c r="C433">
        <v>95282356.960524067</v>
      </c>
      <c r="D433">
        <v>122889898.21713649</v>
      </c>
      <c r="E433">
        <v>655855.85585585597</v>
      </c>
      <c r="F433">
        <v>2251351.351351351</v>
      </c>
      <c r="G433">
        <v>92</v>
      </c>
      <c r="H433">
        <v>25</v>
      </c>
      <c r="K433">
        <v>150</v>
      </c>
      <c r="L433">
        <v>28</v>
      </c>
      <c r="M433">
        <v>5683783.7837837841</v>
      </c>
      <c r="N433">
        <v>18706756.756756756</v>
      </c>
      <c r="O433">
        <v>46231551.801801801</v>
      </c>
      <c r="P433">
        <v>59162216.216216214</v>
      </c>
      <c r="Q433">
        <v>5370450.4504504493</v>
      </c>
      <c r="R433">
        <v>16589189.189189188</v>
      </c>
      <c r="S433">
        <v>2252</v>
      </c>
      <c r="T433">
        <v>2162</v>
      </c>
    </row>
    <row r="434" spans="1:20" x14ac:dyDescent="0.35">
      <c r="A434" s="7" t="s">
        <v>531</v>
      </c>
      <c r="B434" s="12" t="s">
        <v>449</v>
      </c>
      <c r="C434">
        <v>219299268.42953178</v>
      </c>
      <c r="D434">
        <v>223216053.49144232</v>
      </c>
      <c r="E434">
        <v>1483783.783783783</v>
      </c>
      <c r="F434">
        <v>5530630.6306306319</v>
      </c>
      <c r="G434">
        <v>129</v>
      </c>
      <c r="H434">
        <v>223</v>
      </c>
      <c r="K434">
        <v>139</v>
      </c>
      <c r="L434">
        <v>234</v>
      </c>
      <c r="M434">
        <v>9629279.2792792786</v>
      </c>
      <c r="N434">
        <v>36355180.180180177</v>
      </c>
      <c r="O434">
        <v>104569432.43243243</v>
      </c>
      <c r="P434">
        <v>108066212.61261261</v>
      </c>
      <c r="Q434">
        <v>10516486.486486485</v>
      </c>
      <c r="R434">
        <v>35942837.837837838</v>
      </c>
      <c r="S434">
        <v>6539</v>
      </c>
      <c r="T434">
        <v>5091</v>
      </c>
    </row>
    <row r="435" spans="1:20" x14ac:dyDescent="0.35">
      <c r="A435" s="7" t="s">
        <v>532</v>
      </c>
      <c r="B435" s="12" t="s">
        <v>124</v>
      </c>
      <c r="C435">
        <v>577859867.90509009</v>
      </c>
      <c r="D435">
        <v>586801551.23105347</v>
      </c>
      <c r="E435">
        <v>276443378.37837839</v>
      </c>
      <c r="F435">
        <v>548099382.88288283</v>
      </c>
      <c r="G435">
        <v>350</v>
      </c>
      <c r="H435">
        <v>459</v>
      </c>
      <c r="I435">
        <v>7</v>
      </c>
      <c r="K435">
        <v>756</v>
      </c>
      <c r="L435">
        <v>787</v>
      </c>
      <c r="M435">
        <v>225046756.75675678</v>
      </c>
      <c r="N435">
        <v>304183063.06306303</v>
      </c>
      <c r="O435">
        <v>204493989.1891892</v>
      </c>
      <c r="P435">
        <v>219500840.54054055</v>
      </c>
      <c r="Q435">
        <v>224516396.3963964</v>
      </c>
      <c r="R435">
        <v>300085945.94594592</v>
      </c>
      <c r="S435">
        <v>14753</v>
      </c>
      <c r="T435">
        <v>10892</v>
      </c>
    </row>
    <row r="436" spans="1:20" x14ac:dyDescent="0.35">
      <c r="A436" s="7" t="s">
        <v>533</v>
      </c>
      <c r="B436" s="12" t="s">
        <v>86</v>
      </c>
      <c r="C436">
        <v>167184830.35851744</v>
      </c>
      <c r="D436">
        <v>192852638.76619086</v>
      </c>
      <c r="E436">
        <v>1626126.126126128</v>
      </c>
      <c r="F436">
        <v>3735135.1351351351</v>
      </c>
      <c r="G436">
        <v>18</v>
      </c>
      <c r="H436">
        <v>26</v>
      </c>
      <c r="K436">
        <v>20</v>
      </c>
      <c r="L436">
        <v>46</v>
      </c>
      <c r="M436">
        <v>23942882.882882878</v>
      </c>
      <c r="N436">
        <v>65935585.585585587</v>
      </c>
      <c r="O436">
        <v>36427162.162162162</v>
      </c>
      <c r="P436">
        <v>50017666.666666664</v>
      </c>
      <c r="Q436">
        <v>18385405.40540541</v>
      </c>
      <c r="R436">
        <v>53589279.279279277</v>
      </c>
      <c r="S436">
        <v>3650</v>
      </c>
      <c r="T436">
        <v>4212</v>
      </c>
    </row>
    <row r="437" spans="1:20" x14ac:dyDescent="0.35">
      <c r="A437" s="7" t="s">
        <v>9</v>
      </c>
      <c r="B437" s="12" t="s">
        <v>159</v>
      </c>
      <c r="C437">
        <v>452846437.45104921</v>
      </c>
      <c r="D437">
        <v>430023315.69384193</v>
      </c>
      <c r="E437">
        <v>11896039.639639648</v>
      </c>
      <c r="F437">
        <v>9222685.5855855886</v>
      </c>
      <c r="G437">
        <v>68</v>
      </c>
      <c r="H437">
        <v>110</v>
      </c>
      <c r="K437">
        <v>72</v>
      </c>
      <c r="L437">
        <v>132</v>
      </c>
      <c r="M437">
        <v>632584095.49549556</v>
      </c>
      <c r="N437">
        <v>617271919.81981981</v>
      </c>
      <c r="O437">
        <v>164873342.34234235</v>
      </c>
      <c r="P437">
        <v>157609953.15315315</v>
      </c>
      <c r="Q437">
        <v>557382342.34234238</v>
      </c>
      <c r="R437">
        <v>558653378.37837839</v>
      </c>
      <c r="S437">
        <v>7640</v>
      </c>
      <c r="T437">
        <v>6981</v>
      </c>
    </row>
    <row r="438" spans="1:20" x14ac:dyDescent="0.35">
      <c r="A438" s="7" t="s">
        <v>534</v>
      </c>
      <c r="B438" s="12" t="s">
        <v>95</v>
      </c>
      <c r="C438">
        <v>433508033.40211743</v>
      </c>
      <c r="D438">
        <v>450445034.88636571</v>
      </c>
      <c r="E438">
        <v>1412612.612612616</v>
      </c>
      <c r="F438">
        <v>1853153.153153155</v>
      </c>
      <c r="G438">
        <v>86</v>
      </c>
      <c r="H438">
        <v>103</v>
      </c>
      <c r="K438">
        <v>95</v>
      </c>
      <c r="L438">
        <v>112</v>
      </c>
      <c r="M438">
        <v>36940540.540540546</v>
      </c>
      <c r="N438">
        <v>50623423.423423424</v>
      </c>
      <c r="O438">
        <v>58038459.459459454</v>
      </c>
      <c r="P438">
        <v>69104645.045045048</v>
      </c>
      <c r="Q438">
        <v>24701081.081081081</v>
      </c>
      <c r="R438">
        <v>29584054.054054052</v>
      </c>
      <c r="S438">
        <v>6588</v>
      </c>
      <c r="T438">
        <v>6416</v>
      </c>
    </row>
    <row r="439" spans="1:20" x14ac:dyDescent="0.35">
      <c r="A439" s="7" t="s">
        <v>535</v>
      </c>
      <c r="B439" s="12" t="s">
        <v>305</v>
      </c>
      <c r="C439">
        <v>11733408.858526301</v>
      </c>
      <c r="D439">
        <v>16317195.274253637</v>
      </c>
      <c r="G439">
        <v>4</v>
      </c>
      <c r="H439">
        <v>7</v>
      </c>
      <c r="K439">
        <v>4</v>
      </c>
      <c r="L439">
        <v>7</v>
      </c>
      <c r="O439">
        <v>2064459.4594594601</v>
      </c>
      <c r="P439">
        <v>2070405.4054054059</v>
      </c>
      <c r="S439">
        <v>436</v>
      </c>
      <c r="T439">
        <v>410</v>
      </c>
    </row>
    <row r="440" spans="1:20" x14ac:dyDescent="0.35">
      <c r="A440" s="7" t="s">
        <v>536</v>
      </c>
      <c r="B440" s="12" t="s">
        <v>305</v>
      </c>
      <c r="C440">
        <v>176635692.18124914</v>
      </c>
      <c r="D440">
        <v>171513946.67472276</v>
      </c>
      <c r="E440">
        <v>737837.83783783799</v>
      </c>
      <c r="F440">
        <v>1626126.1261261271</v>
      </c>
      <c r="G440">
        <v>17</v>
      </c>
      <c r="H440">
        <v>33</v>
      </c>
      <c r="K440">
        <v>24</v>
      </c>
      <c r="L440">
        <v>35</v>
      </c>
      <c r="M440">
        <v>13316216.216216216</v>
      </c>
      <c r="N440">
        <v>17671171.171171173</v>
      </c>
      <c r="O440">
        <v>15848648.648648648</v>
      </c>
      <c r="P440">
        <v>14646477.477477476</v>
      </c>
      <c r="Q440">
        <v>5762792.7927927934</v>
      </c>
      <c r="R440">
        <v>8637837.8378378358</v>
      </c>
      <c r="S440">
        <v>2847</v>
      </c>
      <c r="T440">
        <v>2731</v>
      </c>
    </row>
    <row r="441" spans="1:20" x14ac:dyDescent="0.35">
      <c r="A441" s="7" t="s">
        <v>537</v>
      </c>
      <c r="B441" s="12" t="s">
        <v>86</v>
      </c>
      <c r="C441">
        <v>157986759.71425009</v>
      </c>
      <c r="D441">
        <v>166129180.71363845</v>
      </c>
      <c r="E441">
        <v>925225.22522522695</v>
      </c>
      <c r="F441">
        <v>1518918.9189189221</v>
      </c>
      <c r="G441">
        <v>73</v>
      </c>
      <c r="H441">
        <v>97</v>
      </c>
      <c r="I441">
        <v>1</v>
      </c>
      <c r="K441">
        <v>84</v>
      </c>
      <c r="L441">
        <v>219</v>
      </c>
      <c r="M441">
        <v>59562972.972972974</v>
      </c>
      <c r="N441">
        <v>89879099.0990991</v>
      </c>
      <c r="O441">
        <v>71322009.009009004</v>
      </c>
      <c r="P441">
        <v>78242945.945945948</v>
      </c>
      <c r="Q441">
        <v>48373783.783783786</v>
      </c>
      <c r="R441">
        <v>76661621.621621609</v>
      </c>
      <c r="S441">
        <v>3004</v>
      </c>
      <c r="T441">
        <v>3063</v>
      </c>
    </row>
    <row r="442" spans="1:20" x14ac:dyDescent="0.35">
      <c r="A442" s="7" t="s">
        <v>538</v>
      </c>
      <c r="B442" s="12" t="s">
        <v>449</v>
      </c>
      <c r="C442">
        <v>217500324.96716636</v>
      </c>
      <c r="D442">
        <v>206496097.01573923</v>
      </c>
      <c r="E442">
        <v>1958558.5585585609</v>
      </c>
      <c r="F442">
        <v>1538738.738738741</v>
      </c>
      <c r="G442">
        <v>103</v>
      </c>
      <c r="H442">
        <v>66</v>
      </c>
      <c r="I442">
        <v>2</v>
      </c>
      <c r="K442">
        <v>125</v>
      </c>
      <c r="L442">
        <v>79</v>
      </c>
      <c r="M442">
        <v>15601981.98198198</v>
      </c>
      <c r="N442">
        <v>31352927.927927926</v>
      </c>
      <c r="O442">
        <v>61165547.747747742</v>
      </c>
      <c r="P442">
        <v>63423702.702702701</v>
      </c>
      <c r="Q442">
        <v>16783963.963963959</v>
      </c>
      <c r="R442">
        <v>30084639.639639638</v>
      </c>
      <c r="S442">
        <v>5949</v>
      </c>
      <c r="T442">
        <v>5108</v>
      </c>
    </row>
    <row r="443" spans="1:20" x14ac:dyDescent="0.35">
      <c r="A443" s="7" t="s">
        <v>539</v>
      </c>
      <c r="B443" s="12" t="s">
        <v>118</v>
      </c>
      <c r="C443">
        <v>498390871.65474105</v>
      </c>
      <c r="D443">
        <v>472010214.4169547</v>
      </c>
      <c r="E443">
        <v>14749549.549549552</v>
      </c>
      <c r="F443">
        <v>152617747.74774775</v>
      </c>
      <c r="G443">
        <v>156</v>
      </c>
      <c r="H443">
        <v>162</v>
      </c>
      <c r="K443">
        <v>201</v>
      </c>
      <c r="L443">
        <v>223</v>
      </c>
      <c r="M443">
        <v>105185764.86486487</v>
      </c>
      <c r="N443">
        <v>118747624.32432434</v>
      </c>
      <c r="O443">
        <v>284059963.96396399</v>
      </c>
      <c r="P443">
        <v>268766684.68468469</v>
      </c>
      <c r="Q443">
        <v>95810720.720720723</v>
      </c>
      <c r="R443">
        <v>97841396.396396399</v>
      </c>
      <c r="S443">
        <v>11784</v>
      </c>
      <c r="T443">
        <v>11329</v>
      </c>
    </row>
    <row r="444" spans="1:20" x14ac:dyDescent="0.35">
      <c r="A444" s="7" t="s">
        <v>540</v>
      </c>
      <c r="B444" s="12" t="s">
        <v>84</v>
      </c>
      <c r="C444">
        <v>1533996868.9281313</v>
      </c>
      <c r="D444">
        <v>1511852784.3921394</v>
      </c>
      <c r="E444">
        <v>7640618.0180180203</v>
      </c>
      <c r="F444">
        <v>9678378.378378382</v>
      </c>
      <c r="G444">
        <v>306</v>
      </c>
      <c r="H444">
        <v>243</v>
      </c>
      <c r="I444">
        <v>1</v>
      </c>
      <c r="K444">
        <v>341</v>
      </c>
      <c r="L444">
        <v>309</v>
      </c>
      <c r="M444">
        <v>92359990.990990996</v>
      </c>
      <c r="N444">
        <v>110819819.81981982</v>
      </c>
      <c r="O444">
        <v>167248327.47747746</v>
      </c>
      <c r="P444">
        <v>179808232.43243244</v>
      </c>
      <c r="Q444">
        <v>84117340.540540546</v>
      </c>
      <c r="R444">
        <v>92676800</v>
      </c>
      <c r="S444">
        <v>22359</v>
      </c>
      <c r="T444">
        <v>21454</v>
      </c>
    </row>
    <row r="445" spans="1:20" x14ac:dyDescent="0.35">
      <c r="A445" s="7" t="s">
        <v>541</v>
      </c>
      <c r="B445" s="12" t="s">
        <v>316</v>
      </c>
      <c r="C445">
        <v>187891655.64043966</v>
      </c>
      <c r="D445">
        <v>182037425.98034427</v>
      </c>
      <c r="E445">
        <v>2441666.6666666651</v>
      </c>
      <c r="F445">
        <v>2810360.360360364</v>
      </c>
      <c r="G445">
        <v>28</v>
      </c>
      <c r="H445">
        <v>17</v>
      </c>
      <c r="K445">
        <v>32</v>
      </c>
      <c r="L445">
        <v>18</v>
      </c>
      <c r="M445">
        <v>13300450.450450448</v>
      </c>
      <c r="N445">
        <v>27892342.342342343</v>
      </c>
      <c r="O445">
        <v>35612297.297297299</v>
      </c>
      <c r="P445">
        <v>37034207.20720721</v>
      </c>
      <c r="Q445">
        <v>11122432.432432432</v>
      </c>
      <c r="R445">
        <v>25063423.423423424</v>
      </c>
      <c r="S445">
        <v>2579</v>
      </c>
      <c r="T445">
        <v>2417</v>
      </c>
    </row>
    <row r="446" spans="1:20" x14ac:dyDescent="0.35">
      <c r="A446" s="7" t="s">
        <v>542</v>
      </c>
      <c r="B446" s="12" t="s">
        <v>170</v>
      </c>
      <c r="C446">
        <v>1300059037.8845396</v>
      </c>
      <c r="D446">
        <v>1335903678.4542322</v>
      </c>
      <c r="E446">
        <v>3000000.0000000009</v>
      </c>
      <c r="F446">
        <v>6824324.3243243257</v>
      </c>
      <c r="G446">
        <v>127</v>
      </c>
      <c r="H446">
        <v>215</v>
      </c>
      <c r="I446">
        <v>1</v>
      </c>
      <c r="K446">
        <v>142</v>
      </c>
      <c r="L446">
        <v>289</v>
      </c>
      <c r="M446">
        <v>76431418.918918908</v>
      </c>
      <c r="N446">
        <v>90171620.720720723</v>
      </c>
      <c r="O446">
        <v>480279925.67567563</v>
      </c>
      <c r="P446">
        <v>518407792.7927928</v>
      </c>
      <c r="Q446">
        <v>75795045.045045033</v>
      </c>
      <c r="R446">
        <v>84704864.864864871</v>
      </c>
      <c r="S446">
        <v>22838</v>
      </c>
      <c r="T446">
        <v>19966</v>
      </c>
    </row>
    <row r="447" spans="1:20" x14ac:dyDescent="0.35">
      <c r="A447" s="7" t="s">
        <v>543</v>
      </c>
      <c r="B447" s="12" t="s">
        <v>480</v>
      </c>
      <c r="C447">
        <v>404654835.97914314</v>
      </c>
      <c r="D447">
        <v>399217727.07105815</v>
      </c>
      <c r="E447">
        <v>1153153.153153152</v>
      </c>
      <c r="F447">
        <v>1204504.5045045039</v>
      </c>
      <c r="G447">
        <v>43</v>
      </c>
      <c r="H447">
        <v>33</v>
      </c>
      <c r="K447">
        <v>45</v>
      </c>
      <c r="L447">
        <v>39</v>
      </c>
      <c r="M447">
        <v>3351351.3513513491</v>
      </c>
      <c r="N447">
        <v>2438738.7387387478</v>
      </c>
      <c r="O447">
        <v>52232801.801801801</v>
      </c>
      <c r="P447">
        <v>71942657.657657653</v>
      </c>
      <c r="Q447">
        <v>2488018.0180180161</v>
      </c>
      <c r="R447">
        <v>2237477.4774774848</v>
      </c>
      <c r="S447">
        <v>5649</v>
      </c>
      <c r="T447">
        <v>5430</v>
      </c>
    </row>
    <row r="448" spans="1:20" x14ac:dyDescent="0.35">
      <c r="A448" s="7" t="s">
        <v>544</v>
      </c>
      <c r="B448" s="12" t="s">
        <v>81</v>
      </c>
      <c r="C448">
        <v>98842738.430969894</v>
      </c>
      <c r="D448">
        <v>107029944.76415972</v>
      </c>
      <c r="E448">
        <v>684234.23423423304</v>
      </c>
      <c r="F448">
        <v>1417117.1171171169</v>
      </c>
      <c r="G448">
        <v>32</v>
      </c>
      <c r="H448">
        <v>6</v>
      </c>
      <c r="K448">
        <v>37</v>
      </c>
      <c r="L448">
        <v>12</v>
      </c>
      <c r="M448">
        <v>27165315.315315314</v>
      </c>
      <c r="N448">
        <v>12245045.045045046</v>
      </c>
      <c r="O448">
        <v>36652333.333333336</v>
      </c>
      <c r="P448">
        <v>39090450.45045045</v>
      </c>
      <c r="Q448">
        <v>25555405.405405402</v>
      </c>
      <c r="R448">
        <v>12060720.72072072</v>
      </c>
      <c r="S448">
        <v>2677</v>
      </c>
      <c r="T448">
        <v>2916</v>
      </c>
    </row>
    <row r="449" spans="1:20" x14ac:dyDescent="0.35">
      <c r="A449" s="7" t="s">
        <v>545</v>
      </c>
      <c r="B449" s="12" t="s">
        <v>170</v>
      </c>
      <c r="C449">
        <v>104892374.93679525</v>
      </c>
      <c r="D449">
        <v>137567865.08772945</v>
      </c>
      <c r="E449">
        <v>277477.47747747699</v>
      </c>
      <c r="F449">
        <v>461261.26126126101</v>
      </c>
      <c r="G449">
        <v>14</v>
      </c>
      <c r="H449">
        <v>4</v>
      </c>
      <c r="K449">
        <v>15</v>
      </c>
      <c r="L449">
        <v>5</v>
      </c>
      <c r="M449">
        <v>1178378.378378378</v>
      </c>
      <c r="N449">
        <v>461261.26126126101</v>
      </c>
      <c r="O449">
        <v>43744448.648648649</v>
      </c>
      <c r="P449">
        <v>50683081.081081077</v>
      </c>
      <c r="Q449">
        <v>792432.43243243196</v>
      </c>
      <c r="R449">
        <v>1057567.567567568</v>
      </c>
      <c r="S449">
        <v>2512</v>
      </c>
      <c r="T449">
        <v>2420</v>
      </c>
    </row>
    <row r="450" spans="1:20" x14ac:dyDescent="0.35">
      <c r="A450" s="7" t="s">
        <v>546</v>
      </c>
      <c r="B450" s="12" t="s">
        <v>225</v>
      </c>
      <c r="C450">
        <v>11462.492423166001</v>
      </c>
      <c r="D450">
        <v>42313.454668708</v>
      </c>
      <c r="P450">
        <v>6081.0810810809999</v>
      </c>
    </row>
    <row r="451" spans="1:20" x14ac:dyDescent="0.35">
      <c r="A451" s="7" t="s">
        <v>547</v>
      </c>
      <c r="B451" s="12" t="s">
        <v>137</v>
      </c>
      <c r="C451">
        <v>255388818.112712</v>
      </c>
      <c r="D451">
        <v>268552442.8422963</v>
      </c>
      <c r="E451">
        <v>13649549.549549552</v>
      </c>
      <c r="F451">
        <v>54227927.927927926</v>
      </c>
      <c r="G451">
        <v>81</v>
      </c>
      <c r="H451">
        <v>50</v>
      </c>
      <c r="K451">
        <v>86</v>
      </c>
      <c r="L451">
        <v>54</v>
      </c>
      <c r="M451">
        <v>53710810.810810804</v>
      </c>
      <c r="N451">
        <v>62116216.216216214</v>
      </c>
      <c r="O451">
        <v>84239971.171171173</v>
      </c>
      <c r="P451">
        <v>106834863.06306307</v>
      </c>
      <c r="Q451">
        <v>45430360.360360362</v>
      </c>
      <c r="R451">
        <v>49259459.459459454</v>
      </c>
      <c r="S451">
        <v>4439</v>
      </c>
      <c r="T451">
        <v>4425</v>
      </c>
    </row>
    <row r="452" spans="1:20" x14ac:dyDescent="0.35">
      <c r="A452" s="7" t="s">
        <v>548</v>
      </c>
      <c r="B452" s="12" t="s">
        <v>137</v>
      </c>
      <c r="C452">
        <v>482218287.80788821</v>
      </c>
      <c r="D452">
        <v>484463988.90375501</v>
      </c>
      <c r="E452">
        <v>255339668.46846849</v>
      </c>
      <c r="F452">
        <v>412131433.33333331</v>
      </c>
      <c r="G452">
        <v>227</v>
      </c>
      <c r="H452">
        <v>228</v>
      </c>
      <c r="I452">
        <v>7</v>
      </c>
      <c r="K452">
        <v>261</v>
      </c>
      <c r="L452">
        <v>301</v>
      </c>
      <c r="M452">
        <v>118431531.53153154</v>
      </c>
      <c r="N452">
        <v>121155855.85585585</v>
      </c>
      <c r="O452">
        <v>160212074.77477479</v>
      </c>
      <c r="P452">
        <v>169721556.75675678</v>
      </c>
      <c r="Q452">
        <v>101630756.75675675</v>
      </c>
      <c r="R452">
        <v>99830990.990990996</v>
      </c>
      <c r="S452">
        <v>12760</v>
      </c>
      <c r="T452">
        <v>12913</v>
      </c>
    </row>
    <row r="453" spans="1:20" x14ac:dyDescent="0.35">
      <c r="A453" s="7" t="s">
        <v>549</v>
      </c>
      <c r="B453" s="12" t="s">
        <v>137</v>
      </c>
      <c r="C453">
        <v>541082535.172014</v>
      </c>
      <c r="D453">
        <v>560094396.85186672</v>
      </c>
      <c r="E453">
        <v>3973873.8738738759</v>
      </c>
      <c r="F453">
        <v>2079279.27927928</v>
      </c>
      <c r="G453">
        <v>79</v>
      </c>
      <c r="H453">
        <v>114</v>
      </c>
      <c r="I453">
        <v>2</v>
      </c>
      <c r="K453">
        <v>86</v>
      </c>
      <c r="L453">
        <v>118</v>
      </c>
      <c r="M453">
        <v>19388288.288288288</v>
      </c>
      <c r="N453">
        <v>23385585.585585587</v>
      </c>
      <c r="O453">
        <v>88044214.414414421</v>
      </c>
      <c r="P453">
        <v>96312027.027027026</v>
      </c>
      <c r="Q453">
        <v>19157657.657657657</v>
      </c>
      <c r="R453">
        <v>19925855.855855852</v>
      </c>
      <c r="S453">
        <v>8683</v>
      </c>
      <c r="T453">
        <v>8677</v>
      </c>
    </row>
    <row r="454" spans="1:20" x14ac:dyDescent="0.35">
      <c r="A454" s="7" t="s">
        <v>550</v>
      </c>
      <c r="B454" s="12" t="s">
        <v>137</v>
      </c>
      <c r="C454">
        <v>226235231.30593729</v>
      </c>
      <c r="D454">
        <v>214509325.82809621</v>
      </c>
      <c r="E454">
        <v>591891.891891893</v>
      </c>
      <c r="F454">
        <v>1182882.8828828819</v>
      </c>
      <c r="G454">
        <v>40</v>
      </c>
      <c r="H454">
        <v>55</v>
      </c>
      <c r="I454">
        <v>1</v>
      </c>
      <c r="K454">
        <v>43</v>
      </c>
      <c r="L454">
        <v>57</v>
      </c>
      <c r="M454">
        <v>15357657.657657657</v>
      </c>
      <c r="N454">
        <v>20763963.963963963</v>
      </c>
      <c r="O454">
        <v>38304252.252252258</v>
      </c>
      <c r="P454">
        <v>41911819.819819815</v>
      </c>
      <c r="Q454">
        <v>14276216.216216216</v>
      </c>
      <c r="R454">
        <v>16427027.027027028</v>
      </c>
      <c r="S454">
        <v>3870</v>
      </c>
      <c r="T454">
        <v>3403</v>
      </c>
    </row>
    <row r="455" spans="1:20" x14ac:dyDescent="0.35">
      <c r="A455" s="7" t="s">
        <v>551</v>
      </c>
      <c r="B455" s="12" t="s">
        <v>88</v>
      </c>
      <c r="C455">
        <v>93003540.435089022</v>
      </c>
      <c r="D455">
        <v>92996022.890601754</v>
      </c>
      <c r="E455">
        <v>142342.34234234199</v>
      </c>
      <c r="F455">
        <v>40540.540540540998</v>
      </c>
      <c r="G455">
        <v>42</v>
      </c>
      <c r="H455">
        <v>29</v>
      </c>
      <c r="K455">
        <v>46</v>
      </c>
      <c r="L455">
        <v>32</v>
      </c>
      <c r="M455">
        <v>5616216.2162162159</v>
      </c>
      <c r="N455">
        <v>4581081.0810810812</v>
      </c>
      <c r="O455">
        <v>14613603.603603603</v>
      </c>
      <c r="P455">
        <v>16475468.468468469</v>
      </c>
      <c r="Q455">
        <v>5514774.7747747749</v>
      </c>
      <c r="R455">
        <v>3929279.27927928</v>
      </c>
      <c r="S455">
        <v>1470</v>
      </c>
      <c r="T455">
        <v>1267</v>
      </c>
    </row>
    <row r="456" spans="1:20" x14ac:dyDescent="0.35">
      <c r="A456" s="7" t="s">
        <v>552</v>
      </c>
      <c r="B456" s="12" t="s">
        <v>88</v>
      </c>
      <c r="C456">
        <v>141269403.58817664</v>
      </c>
      <c r="D456">
        <v>144818886.8706148</v>
      </c>
      <c r="E456">
        <v>500000.00000000099</v>
      </c>
      <c r="F456">
        <v>477477.47747747903</v>
      </c>
      <c r="G456">
        <v>81</v>
      </c>
      <c r="H456">
        <v>55</v>
      </c>
      <c r="K456">
        <v>91</v>
      </c>
      <c r="L456">
        <v>59</v>
      </c>
      <c r="M456">
        <v>11865765.765765764</v>
      </c>
      <c r="N456">
        <v>13004504.504504504</v>
      </c>
      <c r="O456">
        <v>21061205.40540541</v>
      </c>
      <c r="P456">
        <v>20705522.52252252</v>
      </c>
      <c r="Q456">
        <v>8613153.1531531531</v>
      </c>
      <c r="R456">
        <v>8980270.2702702712</v>
      </c>
      <c r="S456">
        <v>2691</v>
      </c>
      <c r="T456">
        <v>2653</v>
      </c>
    </row>
    <row r="457" spans="1:20" x14ac:dyDescent="0.35">
      <c r="A457" s="7" t="s">
        <v>553</v>
      </c>
      <c r="B457" s="12" t="s">
        <v>67</v>
      </c>
      <c r="C457">
        <v>284743783.56376207</v>
      </c>
      <c r="D457">
        <v>289124998.11000556</v>
      </c>
      <c r="E457">
        <v>9160360.3603603598</v>
      </c>
      <c r="F457">
        <v>15266666.66666667</v>
      </c>
      <c r="G457">
        <v>89</v>
      </c>
      <c r="H457">
        <v>83</v>
      </c>
      <c r="I457">
        <v>1</v>
      </c>
      <c r="K457">
        <v>106</v>
      </c>
      <c r="L457">
        <v>115</v>
      </c>
      <c r="M457">
        <v>201787207.2072072</v>
      </c>
      <c r="N457">
        <v>267410765.76576576</v>
      </c>
      <c r="O457">
        <v>121501146.3963964</v>
      </c>
      <c r="P457">
        <v>121951288.2882883</v>
      </c>
      <c r="Q457">
        <v>169669909.90990993</v>
      </c>
      <c r="R457">
        <v>172956846.84684685</v>
      </c>
      <c r="S457">
        <v>12312</v>
      </c>
      <c r="T457">
        <v>9024</v>
      </c>
    </row>
    <row r="458" spans="1:20" x14ac:dyDescent="0.35">
      <c r="A458" s="7" t="s">
        <v>35</v>
      </c>
      <c r="B458" s="12" t="s">
        <v>159</v>
      </c>
      <c r="E458">
        <v>950168427.92792797</v>
      </c>
      <c r="F458">
        <v>1007325100.9009008</v>
      </c>
      <c r="M458">
        <v>84297297.297297299</v>
      </c>
      <c r="N458">
        <v>93911261.261261269</v>
      </c>
    </row>
    <row r="459" spans="1:20" x14ac:dyDescent="0.35">
      <c r="A459" s="7" t="s">
        <v>554</v>
      </c>
      <c r="B459" s="12" t="s">
        <v>555</v>
      </c>
      <c r="C459">
        <v>568531433.30726027</v>
      </c>
      <c r="D459">
        <v>558952792.26770151</v>
      </c>
      <c r="E459">
        <v>7379729.7297297334</v>
      </c>
      <c r="F459">
        <v>11693693.693693697</v>
      </c>
      <c r="G459">
        <v>114</v>
      </c>
      <c r="H459">
        <v>68</v>
      </c>
      <c r="I459">
        <v>2</v>
      </c>
      <c r="K459">
        <v>144</v>
      </c>
      <c r="L459">
        <v>78</v>
      </c>
      <c r="M459">
        <v>182967567.56756759</v>
      </c>
      <c r="N459">
        <v>213777927.92792794</v>
      </c>
      <c r="O459">
        <v>154524612.61261261</v>
      </c>
      <c r="P459">
        <v>175762927.92792794</v>
      </c>
      <c r="Q459">
        <v>176218918.91891891</v>
      </c>
      <c r="R459">
        <v>200142972.97297296</v>
      </c>
      <c r="S459">
        <v>9514</v>
      </c>
      <c r="T459">
        <v>8914</v>
      </c>
    </row>
    <row r="460" spans="1:20" x14ac:dyDescent="0.35">
      <c r="A460" s="7" t="s">
        <v>556</v>
      </c>
      <c r="B460" s="12" t="s">
        <v>555</v>
      </c>
      <c r="C460">
        <v>88097169.489861697</v>
      </c>
      <c r="D460">
        <v>86763361.236780003</v>
      </c>
      <c r="E460">
        <v>170918438.73873875</v>
      </c>
      <c r="F460">
        <v>175568793.6936937</v>
      </c>
      <c r="G460">
        <v>34</v>
      </c>
      <c r="H460">
        <v>27</v>
      </c>
      <c r="K460">
        <v>35</v>
      </c>
      <c r="L460">
        <v>34</v>
      </c>
      <c r="M460">
        <v>25300000</v>
      </c>
      <c r="N460">
        <v>30083333.333333336</v>
      </c>
      <c r="O460">
        <v>31696792.792792793</v>
      </c>
      <c r="P460">
        <v>35503369.369369365</v>
      </c>
      <c r="Q460">
        <v>11549369.369369371</v>
      </c>
      <c r="R460">
        <v>7580270.2702702712</v>
      </c>
      <c r="S460">
        <v>1665</v>
      </c>
      <c r="T460">
        <v>1522</v>
      </c>
    </row>
    <row r="461" spans="1:20" x14ac:dyDescent="0.35">
      <c r="A461" s="7" t="s">
        <v>557</v>
      </c>
      <c r="B461" s="12" t="s">
        <v>122</v>
      </c>
      <c r="C461">
        <v>64113452.549123555</v>
      </c>
      <c r="D461">
        <v>64672726.368418798</v>
      </c>
      <c r="E461">
        <v>180180.18018018</v>
      </c>
      <c r="F461">
        <v>157657.65765765801</v>
      </c>
      <c r="G461">
        <v>32</v>
      </c>
      <c r="H461">
        <v>31</v>
      </c>
      <c r="K461">
        <v>34</v>
      </c>
      <c r="L461">
        <v>32</v>
      </c>
      <c r="M461">
        <v>180180.18018018</v>
      </c>
      <c r="N461">
        <v>157657.65765765801</v>
      </c>
      <c r="O461">
        <v>5879135.1351351356</v>
      </c>
      <c r="P461">
        <v>8418963.9639639631</v>
      </c>
      <c r="Q461">
        <v>132162.16216216201</v>
      </c>
      <c r="R461">
        <v>198198.19819819799</v>
      </c>
      <c r="S461">
        <v>1408</v>
      </c>
      <c r="T461">
        <v>1321</v>
      </c>
    </row>
    <row r="462" spans="1:20" x14ac:dyDescent="0.35">
      <c r="A462" s="7" t="s">
        <v>665</v>
      </c>
      <c r="B462" s="12" t="s">
        <v>237</v>
      </c>
      <c r="E462">
        <v>156372682.88288289</v>
      </c>
      <c r="F462">
        <v>172247774.77477479</v>
      </c>
      <c r="M462">
        <v>26362162.162162162</v>
      </c>
      <c r="N462">
        <v>12349369.369369371</v>
      </c>
    </row>
    <row r="463" spans="1:20" x14ac:dyDescent="0.35">
      <c r="A463" s="7" t="s">
        <v>558</v>
      </c>
      <c r="B463" s="12" t="s">
        <v>71</v>
      </c>
      <c r="C463">
        <v>519254048.29409122</v>
      </c>
      <c r="D463">
        <v>515064800.6106742</v>
      </c>
      <c r="E463">
        <v>5263963.9639639724</v>
      </c>
      <c r="F463">
        <v>14140990.990990993</v>
      </c>
      <c r="G463">
        <v>114</v>
      </c>
      <c r="H463">
        <v>132</v>
      </c>
      <c r="K463">
        <v>156</v>
      </c>
      <c r="L463">
        <v>178</v>
      </c>
      <c r="M463">
        <v>66780180.180180185</v>
      </c>
      <c r="N463">
        <v>160755405.4054054</v>
      </c>
      <c r="O463">
        <v>218810972.97297296</v>
      </c>
      <c r="P463">
        <v>219038198.1981982</v>
      </c>
      <c r="Q463">
        <v>65784414.414414413</v>
      </c>
      <c r="R463">
        <v>131809819.81981982</v>
      </c>
      <c r="S463">
        <v>10340</v>
      </c>
      <c r="T463">
        <v>10652</v>
      </c>
    </row>
    <row r="464" spans="1:20" x14ac:dyDescent="0.35">
      <c r="A464" s="7" t="s">
        <v>559</v>
      </c>
      <c r="B464" s="12" t="s">
        <v>63</v>
      </c>
      <c r="C464">
        <v>938981891.23053539</v>
      </c>
      <c r="D464">
        <v>941179355.4112134</v>
      </c>
      <c r="E464">
        <v>14740536.036036044</v>
      </c>
      <c r="F464">
        <v>24144144.144144151</v>
      </c>
      <c r="G464">
        <v>363</v>
      </c>
      <c r="H464">
        <v>455</v>
      </c>
      <c r="K464">
        <v>597</v>
      </c>
      <c r="L464">
        <v>788</v>
      </c>
      <c r="M464">
        <v>135223963.96396396</v>
      </c>
      <c r="N464">
        <v>272497477.47747749</v>
      </c>
      <c r="O464">
        <v>218813198.1981982</v>
      </c>
      <c r="P464">
        <v>247633540.54054055</v>
      </c>
      <c r="Q464">
        <v>131682162.16216215</v>
      </c>
      <c r="R464">
        <v>277563827.02702701</v>
      </c>
      <c r="S464">
        <v>18476</v>
      </c>
      <c r="T464">
        <v>18450</v>
      </c>
    </row>
    <row r="465" spans="1:20" x14ac:dyDescent="0.35">
      <c r="A465" s="7" t="s">
        <v>560</v>
      </c>
      <c r="B465" s="12" t="s">
        <v>480</v>
      </c>
      <c r="C465">
        <v>441374767.52000833</v>
      </c>
      <c r="D465">
        <v>450814103.00790137</v>
      </c>
      <c r="E465">
        <v>4525225.225225226</v>
      </c>
      <c r="F465">
        <v>3500900.9009009022</v>
      </c>
      <c r="G465">
        <v>168</v>
      </c>
      <c r="H465">
        <v>102</v>
      </c>
      <c r="I465">
        <v>1</v>
      </c>
      <c r="K465">
        <v>193</v>
      </c>
      <c r="L465">
        <v>114</v>
      </c>
      <c r="M465">
        <v>66714234.234234229</v>
      </c>
      <c r="N465">
        <v>66514639.639639638</v>
      </c>
      <c r="O465">
        <v>135174025.22522524</v>
      </c>
      <c r="P465">
        <v>139340000</v>
      </c>
      <c r="Q465">
        <v>57990720.720720723</v>
      </c>
      <c r="R465">
        <v>70544729.729729727</v>
      </c>
      <c r="S465">
        <v>9074</v>
      </c>
      <c r="T465">
        <v>7663</v>
      </c>
    </row>
    <row r="466" spans="1:20" x14ac:dyDescent="0.35">
      <c r="A466" s="7" t="s">
        <v>561</v>
      </c>
      <c r="B466" s="12" t="s">
        <v>237</v>
      </c>
      <c r="C466">
        <v>76889023.305815533</v>
      </c>
      <c r="D466">
        <v>77902167.183503866</v>
      </c>
      <c r="E466">
        <v>1293693.693693694</v>
      </c>
      <c r="F466">
        <v>772072.072072073</v>
      </c>
      <c r="G466">
        <v>25</v>
      </c>
      <c r="H466">
        <v>20</v>
      </c>
      <c r="K466">
        <v>52</v>
      </c>
      <c r="L466">
        <v>23</v>
      </c>
      <c r="M466">
        <v>5655585.5855855849</v>
      </c>
      <c r="N466">
        <v>5802567.5675675683</v>
      </c>
      <c r="O466">
        <v>28228261.261261266</v>
      </c>
      <c r="P466">
        <v>31832558.558558561</v>
      </c>
      <c r="Q466">
        <v>5412522.5225225212</v>
      </c>
      <c r="R466">
        <v>4465360.3603603598</v>
      </c>
      <c r="S466">
        <v>2250</v>
      </c>
      <c r="T466">
        <v>2756</v>
      </c>
    </row>
    <row r="467" spans="1:20" x14ac:dyDescent="0.35">
      <c r="A467" s="7" t="s">
        <v>562</v>
      </c>
      <c r="B467" s="12" t="s">
        <v>61</v>
      </c>
      <c r="C467">
        <v>72247061.626141191</v>
      </c>
      <c r="D467">
        <v>70844236.163085833</v>
      </c>
      <c r="E467">
        <v>3045945.9459459451</v>
      </c>
      <c r="F467">
        <v>2028378.3783783789</v>
      </c>
      <c r="G467">
        <v>25</v>
      </c>
      <c r="H467">
        <v>57</v>
      </c>
      <c r="K467">
        <v>42</v>
      </c>
      <c r="L467">
        <v>116</v>
      </c>
      <c r="M467">
        <v>19621621.621621624</v>
      </c>
      <c r="N467">
        <v>18875225.225225225</v>
      </c>
      <c r="O467">
        <v>25680900.9009009</v>
      </c>
      <c r="P467">
        <v>25161288.288288288</v>
      </c>
      <c r="Q467">
        <v>18520360.360360362</v>
      </c>
      <c r="R467">
        <v>16796486.486486483</v>
      </c>
      <c r="S467">
        <v>1464</v>
      </c>
      <c r="T467">
        <v>1208</v>
      </c>
    </row>
    <row r="468" spans="1:20" x14ac:dyDescent="0.35">
      <c r="A468" s="7" t="s">
        <v>563</v>
      </c>
      <c r="B468" s="12" t="s">
        <v>564</v>
      </c>
      <c r="C468">
        <v>407428577.05749911</v>
      </c>
      <c r="D468">
        <v>425759129.97891915</v>
      </c>
      <c r="E468">
        <v>1149655871.1711712</v>
      </c>
      <c r="F468">
        <v>731045928.82882881</v>
      </c>
      <c r="G468">
        <v>512</v>
      </c>
      <c r="H468">
        <v>359</v>
      </c>
      <c r="I468">
        <v>3</v>
      </c>
      <c r="K468">
        <v>844</v>
      </c>
      <c r="L468">
        <v>655</v>
      </c>
      <c r="M468">
        <v>731790736.93693697</v>
      </c>
      <c r="N468">
        <v>492066353.15315318</v>
      </c>
      <c r="O468">
        <v>173096801.8018018</v>
      </c>
      <c r="P468">
        <v>199432972.97297296</v>
      </c>
      <c r="Q468">
        <v>539777524.32432437</v>
      </c>
      <c r="R468">
        <v>663134890.09009016</v>
      </c>
      <c r="S468">
        <v>13981</v>
      </c>
      <c r="T468">
        <v>9724</v>
      </c>
    </row>
    <row r="469" spans="1:20" x14ac:dyDescent="0.35">
      <c r="A469" s="7" t="s">
        <v>565</v>
      </c>
      <c r="B469" s="12" t="s">
        <v>564</v>
      </c>
      <c r="C469">
        <v>554386792.34868085</v>
      </c>
      <c r="D469">
        <v>544450275.07838798</v>
      </c>
      <c r="E469">
        <v>7217117.1171171209</v>
      </c>
      <c r="F469">
        <v>10300900.9009009</v>
      </c>
      <c r="G469">
        <v>183</v>
      </c>
      <c r="H469">
        <v>181</v>
      </c>
      <c r="K469">
        <v>221</v>
      </c>
      <c r="L469">
        <v>296</v>
      </c>
      <c r="M469">
        <v>56801218.018018015</v>
      </c>
      <c r="N469">
        <v>90185315.315315306</v>
      </c>
      <c r="O469">
        <v>230491351.35135135</v>
      </c>
      <c r="P469">
        <v>238381909.90990993</v>
      </c>
      <c r="Q469">
        <v>60293603.603603601</v>
      </c>
      <c r="R469">
        <v>82276486.486486495</v>
      </c>
      <c r="S469">
        <v>15854</v>
      </c>
      <c r="T469">
        <v>12025</v>
      </c>
    </row>
    <row r="470" spans="1:20" x14ac:dyDescent="0.35">
      <c r="A470" s="7" t="s">
        <v>566</v>
      </c>
      <c r="B470" s="12" t="s">
        <v>564</v>
      </c>
      <c r="C470">
        <v>400238331.01200682</v>
      </c>
      <c r="D470">
        <v>428784087.8749541</v>
      </c>
      <c r="E470">
        <v>6016846.8468468497</v>
      </c>
      <c r="F470">
        <v>9109820.7207207177</v>
      </c>
      <c r="G470">
        <v>294</v>
      </c>
      <c r="H470">
        <v>210</v>
      </c>
      <c r="K470">
        <v>349</v>
      </c>
      <c r="L470">
        <v>282</v>
      </c>
      <c r="M470">
        <v>44823919.819819815</v>
      </c>
      <c r="N470">
        <v>85223289.189189181</v>
      </c>
      <c r="O470">
        <v>176202702.70270273</v>
      </c>
      <c r="P470">
        <v>195271342.34234235</v>
      </c>
      <c r="Q470">
        <v>45227477.477477483</v>
      </c>
      <c r="R470">
        <v>81280225.225225225</v>
      </c>
      <c r="S470">
        <v>17418</v>
      </c>
      <c r="T470">
        <v>11748</v>
      </c>
    </row>
    <row r="471" spans="1:20" x14ac:dyDescent="0.35">
      <c r="A471" s="7" t="s">
        <v>567</v>
      </c>
      <c r="B471" s="12" t="s">
        <v>564</v>
      </c>
      <c r="C471">
        <v>263753122.64377373</v>
      </c>
      <c r="D471">
        <v>279622536.03840041</v>
      </c>
      <c r="E471">
        <v>3002702.702702703</v>
      </c>
      <c r="F471">
        <v>9986936.9369369391</v>
      </c>
      <c r="G471">
        <v>30</v>
      </c>
      <c r="H471">
        <v>28</v>
      </c>
      <c r="K471">
        <v>36</v>
      </c>
      <c r="L471">
        <v>31</v>
      </c>
      <c r="M471">
        <v>40202628.828828834</v>
      </c>
      <c r="N471">
        <v>79724549.54954955</v>
      </c>
      <c r="O471">
        <v>156389783.78378376</v>
      </c>
      <c r="P471">
        <v>158671675.67567569</v>
      </c>
      <c r="Q471">
        <v>39377342.342342347</v>
      </c>
      <c r="R471">
        <v>81676891.891891882</v>
      </c>
      <c r="S471">
        <v>7532</v>
      </c>
      <c r="T471">
        <v>6434</v>
      </c>
    </row>
    <row r="472" spans="1:20" x14ac:dyDescent="0.35">
      <c r="A472" s="7" t="s">
        <v>568</v>
      </c>
      <c r="B472" s="12" t="s">
        <v>564</v>
      </c>
      <c r="C472">
        <v>154599960.39473203</v>
      </c>
      <c r="D472">
        <v>157562711.77205423</v>
      </c>
      <c r="E472">
        <v>4309909.9099099096</v>
      </c>
      <c r="F472">
        <v>7217117.1171171162</v>
      </c>
      <c r="G472">
        <v>46</v>
      </c>
      <c r="H472">
        <v>41</v>
      </c>
      <c r="I472">
        <v>3</v>
      </c>
      <c r="K472">
        <v>54</v>
      </c>
      <c r="L472">
        <v>67</v>
      </c>
      <c r="M472">
        <v>31866704.504504506</v>
      </c>
      <c r="N472">
        <v>68068018.018018022</v>
      </c>
      <c r="O472">
        <v>63198908.108108103</v>
      </c>
      <c r="P472">
        <v>69006900.9009009</v>
      </c>
      <c r="Q472">
        <v>29877297.297297295</v>
      </c>
      <c r="R472">
        <v>66615225.225225225</v>
      </c>
      <c r="S472">
        <v>7711</v>
      </c>
      <c r="T472">
        <v>5623</v>
      </c>
    </row>
    <row r="473" spans="1:20" x14ac:dyDescent="0.35">
      <c r="A473" s="7" t="s">
        <v>569</v>
      </c>
      <c r="B473" s="12" t="s">
        <v>49</v>
      </c>
      <c r="C473">
        <v>343824053.41571969</v>
      </c>
      <c r="D473">
        <v>353464642.31007177</v>
      </c>
      <c r="E473">
        <v>1379279.27927928</v>
      </c>
      <c r="F473">
        <v>1163063.063063063</v>
      </c>
      <c r="G473">
        <v>9</v>
      </c>
      <c r="H473">
        <v>18</v>
      </c>
      <c r="K473">
        <v>10</v>
      </c>
      <c r="L473">
        <v>22</v>
      </c>
      <c r="M473">
        <v>16496396.396396399</v>
      </c>
      <c r="N473">
        <v>10622522.522522524</v>
      </c>
      <c r="O473">
        <v>42636868.468468472</v>
      </c>
      <c r="P473">
        <v>49084953.153153151</v>
      </c>
      <c r="Q473">
        <v>14833603.603603603</v>
      </c>
      <c r="R473">
        <v>15381935.135135138</v>
      </c>
      <c r="S473">
        <v>6087</v>
      </c>
      <c r="T473">
        <v>6108</v>
      </c>
    </row>
    <row r="474" spans="1:20" x14ac:dyDescent="0.35">
      <c r="A474" s="7" t="s">
        <v>570</v>
      </c>
      <c r="B474" s="12" t="s">
        <v>170</v>
      </c>
      <c r="C474">
        <v>4841231464.0379524</v>
      </c>
      <c r="D474">
        <v>4692766399.1751099</v>
      </c>
      <c r="E474">
        <v>3339170150.4504504</v>
      </c>
      <c r="F474">
        <v>5315003497.2972975</v>
      </c>
      <c r="G474">
        <v>1263</v>
      </c>
      <c r="H474">
        <v>1616</v>
      </c>
      <c r="I474">
        <v>12</v>
      </c>
      <c r="K474">
        <v>1612</v>
      </c>
      <c r="L474">
        <v>3229</v>
      </c>
      <c r="M474">
        <v>640400729.72972977</v>
      </c>
      <c r="N474">
        <v>887548400.90090084</v>
      </c>
      <c r="O474">
        <v>3000158777.4774776</v>
      </c>
      <c r="P474">
        <v>5359327821.6216221</v>
      </c>
      <c r="Q474">
        <v>611972472.07207203</v>
      </c>
      <c r="R474">
        <v>822064455.85585582</v>
      </c>
      <c r="S474">
        <v>56515</v>
      </c>
      <c r="T474">
        <v>56885</v>
      </c>
    </row>
    <row r="475" spans="1:20" x14ac:dyDescent="0.35">
      <c r="A475" s="7" t="s">
        <v>571</v>
      </c>
      <c r="B475" s="12" t="s">
        <v>221</v>
      </c>
      <c r="C475">
        <v>301985737.99943531</v>
      </c>
      <c r="D475">
        <v>313020671.31431884</v>
      </c>
      <c r="E475">
        <v>107429729.72972973</v>
      </c>
      <c r="F475">
        <v>79390990.990990996</v>
      </c>
      <c r="G475">
        <v>30</v>
      </c>
      <c r="H475">
        <v>37</v>
      </c>
      <c r="K475">
        <v>32</v>
      </c>
      <c r="L475">
        <v>42</v>
      </c>
      <c r="M475">
        <v>22446171.171171173</v>
      </c>
      <c r="N475">
        <v>23337027.02702703</v>
      </c>
      <c r="O475">
        <v>50177279.279279277</v>
      </c>
      <c r="P475">
        <v>57385268.468468465</v>
      </c>
      <c r="Q475">
        <v>11095945.945945945</v>
      </c>
      <c r="R475">
        <v>22444684.684684686</v>
      </c>
      <c r="S475">
        <v>4545</v>
      </c>
      <c r="T475">
        <v>4955</v>
      </c>
    </row>
    <row r="476" spans="1:20" x14ac:dyDescent="0.35">
      <c r="A476" s="7" t="s">
        <v>572</v>
      </c>
      <c r="B476" s="12" t="s">
        <v>86</v>
      </c>
      <c r="C476">
        <v>373452258.95910102</v>
      </c>
      <c r="D476">
        <v>415129659.53893435</v>
      </c>
      <c r="E476">
        <v>590090.09009009204</v>
      </c>
      <c r="F476">
        <v>5304504.5045045028</v>
      </c>
      <c r="G476">
        <v>47</v>
      </c>
      <c r="H476">
        <v>15</v>
      </c>
      <c r="K476">
        <v>52</v>
      </c>
      <c r="L476">
        <v>23</v>
      </c>
      <c r="M476">
        <v>46285663.963963971</v>
      </c>
      <c r="N476">
        <v>99446216.216216207</v>
      </c>
      <c r="O476">
        <v>85282763.963963971</v>
      </c>
      <c r="P476">
        <v>103981214.41441442</v>
      </c>
      <c r="Q476">
        <v>29827567.567567572</v>
      </c>
      <c r="R476">
        <v>73891171.171171173</v>
      </c>
      <c r="S476">
        <v>5147</v>
      </c>
      <c r="T476">
        <v>4934</v>
      </c>
    </row>
    <row r="477" spans="1:20" x14ac:dyDescent="0.35">
      <c r="A477" s="7" t="s">
        <v>573</v>
      </c>
      <c r="B477" s="12" t="s">
        <v>480</v>
      </c>
      <c r="C477">
        <v>196089979.75108314</v>
      </c>
      <c r="D477">
        <v>177424356.50110957</v>
      </c>
      <c r="E477">
        <v>179451894.5945946</v>
      </c>
      <c r="F477">
        <v>226464771.17117116</v>
      </c>
      <c r="G477">
        <v>111</v>
      </c>
      <c r="H477">
        <v>89</v>
      </c>
      <c r="K477">
        <v>137</v>
      </c>
      <c r="L477">
        <v>119</v>
      </c>
      <c r="M477">
        <v>42497481.981981985</v>
      </c>
      <c r="N477">
        <v>55048873.873873875</v>
      </c>
      <c r="O477">
        <v>80935616.216216221</v>
      </c>
      <c r="P477">
        <v>79649972.972972974</v>
      </c>
      <c r="Q477">
        <v>32885135.13513514</v>
      </c>
      <c r="R477">
        <v>49914864.864864863</v>
      </c>
      <c r="S477">
        <v>8456</v>
      </c>
      <c r="T477">
        <v>5191</v>
      </c>
    </row>
    <row r="478" spans="1:20" x14ac:dyDescent="0.35">
      <c r="A478" s="7" t="s">
        <v>574</v>
      </c>
      <c r="B478" s="12" t="s">
        <v>95</v>
      </c>
      <c r="C478">
        <v>502948225.52235222</v>
      </c>
      <c r="D478">
        <v>540865183.62040889</v>
      </c>
      <c r="E478">
        <v>3029729.7297297311</v>
      </c>
      <c r="F478">
        <v>5544144.1441441458</v>
      </c>
      <c r="G478">
        <v>90</v>
      </c>
      <c r="H478">
        <v>173</v>
      </c>
      <c r="I478">
        <v>1</v>
      </c>
      <c r="K478">
        <v>114</v>
      </c>
      <c r="L478">
        <v>330</v>
      </c>
      <c r="M478">
        <v>851636936.93693697</v>
      </c>
      <c r="N478">
        <v>47945045.045045048</v>
      </c>
      <c r="O478">
        <v>108684036.48648649</v>
      </c>
      <c r="P478">
        <v>122832475.67567568</v>
      </c>
      <c r="Q478">
        <v>40062612.612612613</v>
      </c>
      <c r="R478">
        <v>43062702.702702701</v>
      </c>
      <c r="S478">
        <v>9465</v>
      </c>
      <c r="T478">
        <v>9791</v>
      </c>
    </row>
    <row r="479" spans="1:20" x14ac:dyDescent="0.35">
      <c r="A479" s="7" t="s">
        <v>575</v>
      </c>
      <c r="B479" s="12" t="s">
        <v>308</v>
      </c>
      <c r="C479">
        <v>1163218871.012989</v>
      </c>
      <c r="D479">
        <v>1195522531.2143373</v>
      </c>
      <c r="E479">
        <v>21402432.432432439</v>
      </c>
      <c r="F479">
        <v>25019819.819819823</v>
      </c>
      <c r="G479">
        <v>487</v>
      </c>
      <c r="H479">
        <v>478</v>
      </c>
      <c r="I479">
        <v>2</v>
      </c>
      <c r="K479">
        <v>549</v>
      </c>
      <c r="L479">
        <v>592</v>
      </c>
      <c r="M479">
        <v>1386179504.5045047</v>
      </c>
      <c r="N479">
        <v>458213513.51351357</v>
      </c>
      <c r="O479">
        <v>480814255.4054054</v>
      </c>
      <c r="P479">
        <v>503703027.02702701</v>
      </c>
      <c r="Q479">
        <v>256293198.1981982</v>
      </c>
      <c r="R479">
        <v>278202972.97297299</v>
      </c>
      <c r="S479">
        <v>35766</v>
      </c>
      <c r="T479">
        <v>33614</v>
      </c>
    </row>
    <row r="480" spans="1:20" x14ac:dyDescent="0.35">
      <c r="A480" s="7" t="s">
        <v>10</v>
      </c>
      <c r="B480" s="12" t="s">
        <v>194</v>
      </c>
      <c r="C480">
        <v>189844050.93911174</v>
      </c>
      <c r="D480">
        <v>188748362.58761123</v>
      </c>
      <c r="G480">
        <v>29</v>
      </c>
      <c r="H480">
        <v>19</v>
      </c>
      <c r="K480">
        <v>30</v>
      </c>
      <c r="L480">
        <v>25</v>
      </c>
      <c r="O480">
        <v>113543304.50450452</v>
      </c>
      <c r="P480">
        <v>111775279.27927928</v>
      </c>
      <c r="Q480">
        <v>19639.639639640001</v>
      </c>
      <c r="R480">
        <v>576486.48648648604</v>
      </c>
      <c r="S480">
        <v>3968</v>
      </c>
      <c r="T480">
        <v>3698</v>
      </c>
    </row>
    <row r="481" spans="1:20" x14ac:dyDescent="0.35">
      <c r="A481" s="7" t="s">
        <v>576</v>
      </c>
      <c r="B481" s="12" t="s">
        <v>88</v>
      </c>
      <c r="C481">
        <v>4106734.45905201</v>
      </c>
      <c r="D481">
        <v>4823451.1356904609</v>
      </c>
      <c r="G481">
        <v>18</v>
      </c>
      <c r="H481">
        <v>10</v>
      </c>
      <c r="K481">
        <v>18</v>
      </c>
      <c r="L481">
        <v>11</v>
      </c>
      <c r="O481">
        <v>1389025.2252252251</v>
      </c>
      <c r="P481">
        <v>1708828.8288288291</v>
      </c>
      <c r="S481">
        <v>250</v>
      </c>
      <c r="T481">
        <v>211</v>
      </c>
    </row>
    <row r="482" spans="1:20" x14ac:dyDescent="0.35">
      <c r="A482" s="7" t="s">
        <v>577</v>
      </c>
      <c r="B482" s="12" t="s">
        <v>284</v>
      </c>
      <c r="C482">
        <v>261364633.08251783</v>
      </c>
      <c r="D482">
        <v>275236647.75043672</v>
      </c>
      <c r="E482">
        <v>363963.96396396402</v>
      </c>
      <c r="F482">
        <v>433333.33333333302</v>
      </c>
      <c r="G482">
        <v>45</v>
      </c>
      <c r="H482">
        <v>14</v>
      </c>
      <c r="I482">
        <v>1</v>
      </c>
      <c r="K482">
        <v>46</v>
      </c>
      <c r="L482">
        <v>15</v>
      </c>
      <c r="M482">
        <v>18886486.486486487</v>
      </c>
      <c r="N482">
        <v>19045945.945945945</v>
      </c>
      <c r="O482">
        <v>41487720.720720723</v>
      </c>
      <c r="P482">
        <v>42131351.351351351</v>
      </c>
      <c r="Q482">
        <v>19863513.513513513</v>
      </c>
      <c r="R482">
        <v>17920900.9009009</v>
      </c>
      <c r="S482">
        <v>3596</v>
      </c>
      <c r="T482">
        <v>3561</v>
      </c>
    </row>
    <row r="483" spans="1:20" x14ac:dyDescent="0.35">
      <c r="A483" s="7" t="s">
        <v>578</v>
      </c>
      <c r="B483" s="12" t="s">
        <v>308</v>
      </c>
      <c r="C483">
        <v>1143253717.2715173</v>
      </c>
      <c r="D483">
        <v>1169221694.6872587</v>
      </c>
      <c r="E483">
        <v>415203153.15315318</v>
      </c>
      <c r="F483">
        <v>741884954.95495498</v>
      </c>
      <c r="G483">
        <v>466</v>
      </c>
      <c r="H483">
        <v>402</v>
      </c>
      <c r="K483">
        <v>518</v>
      </c>
      <c r="L483">
        <v>483</v>
      </c>
      <c r="M483">
        <v>139035585.58558559</v>
      </c>
      <c r="N483">
        <v>357707349.54954958</v>
      </c>
      <c r="O483">
        <v>482567279.27927929</v>
      </c>
      <c r="P483">
        <v>496630872.07207209</v>
      </c>
      <c r="Q483">
        <v>123289144.14414415</v>
      </c>
      <c r="R483">
        <v>208331171.17117116</v>
      </c>
      <c r="S483">
        <v>49330</v>
      </c>
      <c r="T483">
        <v>37429</v>
      </c>
    </row>
    <row r="484" spans="1:20" x14ac:dyDescent="0.35">
      <c r="A484" s="7" t="s">
        <v>579</v>
      </c>
      <c r="B484" s="12" t="s">
        <v>331</v>
      </c>
      <c r="C484">
        <v>1051220122.9154496</v>
      </c>
      <c r="D484">
        <v>1057262352.0231194</v>
      </c>
      <c r="E484">
        <v>10114864.864864867</v>
      </c>
      <c r="F484">
        <v>7896846.8468468543</v>
      </c>
      <c r="G484">
        <v>381</v>
      </c>
      <c r="H484">
        <v>411</v>
      </c>
      <c r="I484">
        <v>17</v>
      </c>
      <c r="K484">
        <v>569</v>
      </c>
      <c r="L484">
        <v>513</v>
      </c>
      <c r="M484">
        <v>179284504.5045045</v>
      </c>
      <c r="N484">
        <v>181137027.02702701</v>
      </c>
      <c r="O484">
        <v>228100414.41441441</v>
      </c>
      <c r="P484">
        <v>241072655.85585585</v>
      </c>
      <c r="Q484">
        <v>174874774.77477479</v>
      </c>
      <c r="R484">
        <v>178298648.64864865</v>
      </c>
      <c r="S484">
        <v>32075</v>
      </c>
      <c r="T484">
        <v>27900</v>
      </c>
    </row>
    <row r="485" spans="1:20" x14ac:dyDescent="0.35">
      <c r="A485" s="7" t="s">
        <v>580</v>
      </c>
      <c r="B485" s="12" t="s">
        <v>67</v>
      </c>
      <c r="C485">
        <v>163796103.03808865</v>
      </c>
      <c r="D485">
        <v>159325750.05290192</v>
      </c>
      <c r="E485">
        <v>404054.05405405501</v>
      </c>
      <c r="F485">
        <v>84684.684684684995</v>
      </c>
      <c r="G485">
        <v>29</v>
      </c>
      <c r="H485">
        <v>17</v>
      </c>
      <c r="K485">
        <v>31</v>
      </c>
      <c r="L485">
        <v>18</v>
      </c>
      <c r="M485">
        <v>4737387.3873873884</v>
      </c>
      <c r="N485">
        <v>3345495.4954954949</v>
      </c>
      <c r="O485">
        <v>44708779.279279277</v>
      </c>
      <c r="P485">
        <v>40470864.864864863</v>
      </c>
      <c r="Q485">
        <v>4400630.6306306301</v>
      </c>
      <c r="R485">
        <v>4192162.1621621619</v>
      </c>
      <c r="S485">
        <v>3870</v>
      </c>
      <c r="T485">
        <v>3300</v>
      </c>
    </row>
    <row r="486" spans="1:20" x14ac:dyDescent="0.35">
      <c r="A486" s="7" t="s">
        <v>581</v>
      </c>
      <c r="B486" s="12" t="s">
        <v>237</v>
      </c>
      <c r="C486">
        <v>12020.705011463</v>
      </c>
      <c r="D486">
        <v>39678.231104680999</v>
      </c>
      <c r="P486">
        <v>34234.234234233998</v>
      </c>
    </row>
    <row r="487" spans="1:20" x14ac:dyDescent="0.35">
      <c r="A487" s="7" t="s">
        <v>582</v>
      </c>
      <c r="B487" s="12" t="s">
        <v>63</v>
      </c>
      <c r="C487">
        <v>420226603.6977182</v>
      </c>
      <c r="D487">
        <v>424381283.30773395</v>
      </c>
      <c r="E487">
        <v>4163063.063063073</v>
      </c>
      <c r="F487">
        <v>3277477.4774774839</v>
      </c>
      <c r="G487">
        <v>207</v>
      </c>
      <c r="H487">
        <v>81</v>
      </c>
      <c r="K487">
        <v>212</v>
      </c>
      <c r="L487">
        <v>159</v>
      </c>
      <c r="M487">
        <v>37396936.936936937</v>
      </c>
      <c r="N487">
        <v>48274234.234234229</v>
      </c>
      <c r="O487">
        <v>95910972.972972974</v>
      </c>
      <c r="P487">
        <v>107999234.23423424</v>
      </c>
      <c r="Q487">
        <v>38508648.648648649</v>
      </c>
      <c r="R487">
        <v>41508018.018018015</v>
      </c>
      <c r="S487">
        <v>6818</v>
      </c>
      <c r="T487">
        <v>6654</v>
      </c>
    </row>
    <row r="488" spans="1:20" x14ac:dyDescent="0.35">
      <c r="A488" s="7" t="s">
        <v>583</v>
      </c>
      <c r="B488" s="12" t="s">
        <v>49</v>
      </c>
      <c r="C488">
        <v>380471289.8462556</v>
      </c>
      <c r="D488">
        <v>361089035.3646102</v>
      </c>
      <c r="E488">
        <v>189296990.99099097</v>
      </c>
      <c r="F488">
        <v>108088443.24324325</v>
      </c>
      <c r="G488">
        <v>36</v>
      </c>
      <c r="H488">
        <v>17</v>
      </c>
      <c r="K488">
        <v>37</v>
      </c>
      <c r="L488">
        <v>21</v>
      </c>
      <c r="M488">
        <v>135297258.55855855</v>
      </c>
      <c r="N488">
        <v>56522712.612612605</v>
      </c>
      <c r="O488">
        <v>55619500</v>
      </c>
      <c r="P488">
        <v>62654135.135135137</v>
      </c>
      <c r="Q488">
        <v>109019549.54954955</v>
      </c>
      <c r="R488">
        <v>68566666.666666657</v>
      </c>
      <c r="S488">
        <v>5395</v>
      </c>
      <c r="T488">
        <v>5399</v>
      </c>
    </row>
    <row r="489" spans="1:20" x14ac:dyDescent="0.35">
      <c r="A489" s="7" t="s">
        <v>584</v>
      </c>
      <c r="B489" s="12" t="s">
        <v>55</v>
      </c>
      <c r="C489">
        <v>75196140.083705679</v>
      </c>
      <c r="D489">
        <v>74517866.833706766</v>
      </c>
      <c r="E489">
        <v>759459.45945946104</v>
      </c>
      <c r="F489">
        <v>3756756.7567567588</v>
      </c>
      <c r="G489">
        <v>25</v>
      </c>
      <c r="H489">
        <v>65</v>
      </c>
      <c r="K489">
        <v>65</v>
      </c>
      <c r="L489">
        <v>185</v>
      </c>
      <c r="M489">
        <v>11270810.810810812</v>
      </c>
      <c r="N489">
        <v>21278738.738738742</v>
      </c>
      <c r="O489">
        <v>19498795.045045044</v>
      </c>
      <c r="P489">
        <v>21766396.396396395</v>
      </c>
      <c r="Q489">
        <v>10364864.864864865</v>
      </c>
      <c r="R489">
        <v>17999459.459459461</v>
      </c>
      <c r="S489">
        <v>2557</v>
      </c>
      <c r="T489">
        <v>2498</v>
      </c>
    </row>
    <row r="490" spans="1:20" x14ac:dyDescent="0.35">
      <c r="A490" s="7" t="s">
        <v>585</v>
      </c>
      <c r="B490" s="12" t="s">
        <v>71</v>
      </c>
      <c r="C490">
        <v>193320850.81021255</v>
      </c>
      <c r="D490">
        <v>188076678.70608062</v>
      </c>
      <c r="E490">
        <v>112612.612612613</v>
      </c>
      <c r="F490">
        <v>865315.31531531597</v>
      </c>
      <c r="G490">
        <v>48</v>
      </c>
      <c r="H490">
        <v>24</v>
      </c>
      <c r="I490">
        <v>2</v>
      </c>
      <c r="K490">
        <v>49</v>
      </c>
      <c r="L490">
        <v>29</v>
      </c>
      <c r="M490">
        <v>1600900.9009009029</v>
      </c>
      <c r="N490">
        <v>3804054.054054054</v>
      </c>
      <c r="O490">
        <v>87356090.090090096</v>
      </c>
      <c r="P490">
        <v>86939061.261261269</v>
      </c>
      <c r="Q490">
        <v>1812612.6126126139</v>
      </c>
      <c r="R490">
        <v>3056306.3063063049</v>
      </c>
      <c r="S490">
        <v>3655</v>
      </c>
      <c r="T490">
        <v>3419</v>
      </c>
    </row>
    <row r="491" spans="1:20" x14ac:dyDescent="0.35">
      <c r="A491" s="7" t="s">
        <v>586</v>
      </c>
      <c r="B491" s="12" t="s">
        <v>331</v>
      </c>
      <c r="C491">
        <v>725357248.92017817</v>
      </c>
      <c r="D491">
        <v>688757643.51425385</v>
      </c>
      <c r="E491">
        <v>8536936.9369369373</v>
      </c>
      <c r="F491">
        <v>4237837.8378378423</v>
      </c>
      <c r="G491">
        <v>295</v>
      </c>
      <c r="H491">
        <v>319</v>
      </c>
      <c r="K491">
        <v>352</v>
      </c>
      <c r="L491">
        <v>376</v>
      </c>
      <c r="M491">
        <v>90198918.918918908</v>
      </c>
      <c r="N491">
        <v>63729954.954954952</v>
      </c>
      <c r="O491">
        <v>195290589.1891892</v>
      </c>
      <c r="P491">
        <v>184952158.55855855</v>
      </c>
      <c r="Q491">
        <v>83532972.972972974</v>
      </c>
      <c r="R491">
        <v>65667702.702702701</v>
      </c>
      <c r="S491">
        <v>22518</v>
      </c>
      <c r="T491">
        <v>18933</v>
      </c>
    </row>
    <row r="492" spans="1:20" x14ac:dyDescent="0.35">
      <c r="A492" s="7" t="s">
        <v>587</v>
      </c>
      <c r="B492" s="12" t="s">
        <v>67</v>
      </c>
      <c r="C492">
        <v>349572077.69293141</v>
      </c>
      <c r="D492">
        <v>370362069.98599535</v>
      </c>
      <c r="E492">
        <v>712978097.29729724</v>
      </c>
      <c r="F492">
        <v>921661165.76576579</v>
      </c>
      <c r="G492">
        <v>166</v>
      </c>
      <c r="H492">
        <v>139</v>
      </c>
      <c r="K492">
        <v>199</v>
      </c>
      <c r="L492">
        <v>169</v>
      </c>
      <c r="M492">
        <v>79068963.963963971</v>
      </c>
      <c r="N492">
        <v>233807726.12612611</v>
      </c>
      <c r="O492">
        <v>172507963.96396396</v>
      </c>
      <c r="P492">
        <v>189369738.73873875</v>
      </c>
      <c r="Q492">
        <v>69640585.585585579</v>
      </c>
      <c r="R492">
        <v>117809189.18918918</v>
      </c>
      <c r="S492">
        <v>14342</v>
      </c>
      <c r="T492">
        <v>11226</v>
      </c>
    </row>
    <row r="493" spans="1:20" x14ac:dyDescent="0.35">
      <c r="A493" s="7" t="s">
        <v>11</v>
      </c>
      <c r="B493" s="12" t="s">
        <v>194</v>
      </c>
      <c r="C493">
        <v>166382922.81161487</v>
      </c>
      <c r="D493">
        <v>154456764.85404283</v>
      </c>
      <c r="E493">
        <v>586486.48648648802</v>
      </c>
      <c r="F493">
        <v>561261.26126126095</v>
      </c>
      <c r="G493">
        <v>36</v>
      </c>
      <c r="H493">
        <v>33</v>
      </c>
      <c r="K493">
        <v>41</v>
      </c>
      <c r="L493">
        <v>37</v>
      </c>
      <c r="M493">
        <v>14505405.405405408</v>
      </c>
      <c r="N493">
        <v>13444144.144144144</v>
      </c>
      <c r="O493">
        <v>56041695.945945941</v>
      </c>
      <c r="P493">
        <v>59141207.20720721</v>
      </c>
      <c r="Q493">
        <v>15268198.198198197</v>
      </c>
      <c r="R493">
        <v>12833963.963963963</v>
      </c>
      <c r="S493">
        <v>5149</v>
      </c>
      <c r="T493">
        <v>4085</v>
      </c>
    </row>
    <row r="494" spans="1:20" x14ac:dyDescent="0.35">
      <c r="A494" s="7" t="s">
        <v>12</v>
      </c>
      <c r="B494" s="12" t="s">
        <v>194</v>
      </c>
      <c r="C494">
        <v>112318621.34218982</v>
      </c>
      <c r="D494">
        <v>100372024.25789727</v>
      </c>
      <c r="E494">
        <v>5278378.3783783782</v>
      </c>
      <c r="F494">
        <v>481981.981981983</v>
      </c>
      <c r="G494">
        <v>20</v>
      </c>
      <c r="H494">
        <v>17</v>
      </c>
      <c r="K494">
        <v>20</v>
      </c>
      <c r="L494">
        <v>23</v>
      </c>
      <c r="M494">
        <v>21584684.684684683</v>
      </c>
      <c r="N494">
        <v>6968468.4684684686</v>
      </c>
      <c r="O494">
        <v>44974297.297297299</v>
      </c>
      <c r="P494">
        <v>43538153.153153151</v>
      </c>
      <c r="Q494">
        <v>23661441.441441439</v>
      </c>
      <c r="R494">
        <v>8347207.2072072094</v>
      </c>
      <c r="S494">
        <v>4367</v>
      </c>
      <c r="T494">
        <v>2806</v>
      </c>
    </row>
    <row r="495" spans="1:20" x14ac:dyDescent="0.35">
      <c r="A495" s="7" t="s">
        <v>588</v>
      </c>
      <c r="B495" s="12" t="s">
        <v>61</v>
      </c>
      <c r="C495">
        <v>88395401.125772908</v>
      </c>
      <c r="D495">
        <v>91532671.275529042</v>
      </c>
      <c r="E495">
        <v>1590990.9909909919</v>
      </c>
      <c r="F495">
        <v>3002702.7027027039</v>
      </c>
      <c r="G495">
        <v>40</v>
      </c>
      <c r="H495">
        <v>39</v>
      </c>
      <c r="I495">
        <v>3</v>
      </c>
      <c r="K495">
        <v>50</v>
      </c>
      <c r="L495">
        <v>64</v>
      </c>
      <c r="M495">
        <v>15032432.432432434</v>
      </c>
      <c r="N495">
        <v>20993693.693693697</v>
      </c>
      <c r="O495">
        <v>32759182.432432432</v>
      </c>
      <c r="P495">
        <v>35006989.189189188</v>
      </c>
      <c r="Q495">
        <v>13757657.657657657</v>
      </c>
      <c r="R495">
        <v>18615268.468468469</v>
      </c>
      <c r="S495">
        <v>1994</v>
      </c>
      <c r="T495">
        <v>1856</v>
      </c>
    </row>
    <row r="496" spans="1:20" x14ac:dyDescent="0.35">
      <c r="A496" s="7" t="s">
        <v>589</v>
      </c>
      <c r="B496" s="12" t="s">
        <v>308</v>
      </c>
      <c r="C496">
        <v>2486329010.523778</v>
      </c>
      <c r="D496">
        <v>2452649806.5751138</v>
      </c>
      <c r="E496">
        <v>1737670341.4414415</v>
      </c>
      <c r="F496">
        <v>1922699163.963964</v>
      </c>
      <c r="G496">
        <v>1198</v>
      </c>
      <c r="H496">
        <v>747</v>
      </c>
      <c r="I496">
        <v>2</v>
      </c>
      <c r="K496">
        <v>1366</v>
      </c>
      <c r="L496">
        <v>928</v>
      </c>
      <c r="M496">
        <v>546638636.03603601</v>
      </c>
      <c r="N496">
        <v>842136531.53153157</v>
      </c>
      <c r="O496">
        <v>796713175.67567563</v>
      </c>
      <c r="P496">
        <v>820936243.24324322</v>
      </c>
      <c r="Q496">
        <v>473533423.42342341</v>
      </c>
      <c r="R496">
        <v>575242972.97297299</v>
      </c>
      <c r="S496">
        <v>82566</v>
      </c>
      <c r="T496">
        <v>62881</v>
      </c>
    </row>
    <row r="497" spans="1:20" x14ac:dyDescent="0.35">
      <c r="A497" s="7" t="s">
        <v>590</v>
      </c>
      <c r="B497" s="12" t="s">
        <v>53</v>
      </c>
      <c r="C497">
        <v>598176503.89915323</v>
      </c>
      <c r="D497">
        <v>619370003.40915525</v>
      </c>
      <c r="E497">
        <v>10033406.306306308</v>
      </c>
      <c r="F497">
        <v>17210810.810810812</v>
      </c>
      <c r="G497">
        <v>132</v>
      </c>
      <c r="H497">
        <v>363</v>
      </c>
      <c r="K497">
        <v>272</v>
      </c>
      <c r="L497">
        <v>719</v>
      </c>
      <c r="M497">
        <v>150560486.48648649</v>
      </c>
      <c r="N497">
        <v>234044144.14414415</v>
      </c>
      <c r="O497">
        <v>240384738.73873875</v>
      </c>
      <c r="P497">
        <v>263598963.96396396</v>
      </c>
      <c r="Q497">
        <v>163552837.83783782</v>
      </c>
      <c r="R497">
        <v>225083243.24324322</v>
      </c>
      <c r="S497">
        <v>16352</v>
      </c>
      <c r="T497">
        <v>14168</v>
      </c>
    </row>
    <row r="498" spans="1:20" x14ac:dyDescent="0.35">
      <c r="A498" s="7" t="s">
        <v>591</v>
      </c>
      <c r="B498" s="12" t="s">
        <v>55</v>
      </c>
      <c r="C498">
        <v>51089955.262972206</v>
      </c>
      <c r="D498">
        <v>48635680.255968019</v>
      </c>
      <c r="E498">
        <v>1007207.207207208</v>
      </c>
      <c r="F498">
        <v>2215315.3153153169</v>
      </c>
      <c r="G498">
        <v>20</v>
      </c>
      <c r="H498">
        <v>34</v>
      </c>
      <c r="K498">
        <v>26</v>
      </c>
      <c r="L498">
        <v>42</v>
      </c>
      <c r="M498">
        <v>10746396.396396397</v>
      </c>
      <c r="N498">
        <v>10014864.864864865</v>
      </c>
      <c r="O498">
        <v>16033761.26126126</v>
      </c>
      <c r="P498">
        <v>17334797.297297299</v>
      </c>
      <c r="Q498">
        <v>9393783.7837837841</v>
      </c>
      <c r="R498">
        <v>11514864.864864863</v>
      </c>
      <c r="S498">
        <v>1704</v>
      </c>
      <c r="T498">
        <v>1516</v>
      </c>
    </row>
    <row r="499" spans="1:20" x14ac:dyDescent="0.35">
      <c r="A499" s="7" t="s">
        <v>592</v>
      </c>
      <c r="B499" s="12" t="s">
        <v>170</v>
      </c>
      <c r="C499">
        <v>1450672306.2843134</v>
      </c>
      <c r="D499">
        <v>1429626224.4923317</v>
      </c>
      <c r="E499">
        <v>83243918.918918923</v>
      </c>
      <c r="F499">
        <v>364803425.22522521</v>
      </c>
      <c r="G499">
        <v>106</v>
      </c>
      <c r="H499">
        <v>144</v>
      </c>
      <c r="I499">
        <v>2</v>
      </c>
      <c r="K499">
        <v>124</v>
      </c>
      <c r="L499">
        <v>173</v>
      </c>
      <c r="M499">
        <v>282923421.62162161</v>
      </c>
      <c r="N499">
        <v>431705046.84684682</v>
      </c>
      <c r="O499">
        <v>489413563.06306303</v>
      </c>
      <c r="P499">
        <v>514778693.6936937</v>
      </c>
      <c r="Q499">
        <v>251862432.43243241</v>
      </c>
      <c r="R499">
        <v>327731351.35135138</v>
      </c>
      <c r="S499">
        <v>23868</v>
      </c>
      <c r="T499">
        <v>22272</v>
      </c>
    </row>
    <row r="500" spans="1:20" x14ac:dyDescent="0.35">
      <c r="A500" s="7" t="s">
        <v>593</v>
      </c>
      <c r="B500" s="12" t="s">
        <v>88</v>
      </c>
      <c r="C500">
        <v>7234977.3532360867</v>
      </c>
      <c r="D500">
        <v>6238548.5824575927</v>
      </c>
      <c r="E500">
        <v>3603603.6036036038</v>
      </c>
      <c r="F500">
        <v>23630129.729729727</v>
      </c>
      <c r="G500">
        <v>2</v>
      </c>
      <c r="K500">
        <v>2</v>
      </c>
      <c r="M500">
        <v>118918.91891891899</v>
      </c>
      <c r="N500">
        <v>2702702.702702703</v>
      </c>
      <c r="O500">
        <v>1819324.324324324</v>
      </c>
      <c r="P500">
        <v>2861036.0360360369</v>
      </c>
      <c r="S500">
        <v>300</v>
      </c>
      <c r="T500">
        <v>272</v>
      </c>
    </row>
    <row r="501" spans="1:20" x14ac:dyDescent="0.35">
      <c r="A501" s="7" t="s">
        <v>594</v>
      </c>
      <c r="B501" s="12" t="s">
        <v>144</v>
      </c>
      <c r="C501">
        <v>101406735.67016128</v>
      </c>
      <c r="D501">
        <v>101618369.85265478</v>
      </c>
      <c r="E501">
        <v>259459.45945946101</v>
      </c>
      <c r="F501">
        <v>148648.64864864899</v>
      </c>
      <c r="G501">
        <v>28</v>
      </c>
      <c r="H501">
        <v>3</v>
      </c>
      <c r="K501">
        <v>28</v>
      </c>
      <c r="L501">
        <v>3</v>
      </c>
      <c r="M501">
        <v>9664864.8648648635</v>
      </c>
      <c r="N501">
        <v>9968468.4684684686</v>
      </c>
      <c r="O501">
        <v>10782873.873873875</v>
      </c>
      <c r="P501">
        <v>10710018.018018017</v>
      </c>
      <c r="Q501">
        <v>5707747.7477477482</v>
      </c>
      <c r="R501">
        <v>5505945.9459459456</v>
      </c>
      <c r="S501">
        <v>1581</v>
      </c>
      <c r="T501">
        <v>1596</v>
      </c>
    </row>
    <row r="502" spans="1:20" x14ac:dyDescent="0.35">
      <c r="A502" s="7" t="s">
        <v>595</v>
      </c>
      <c r="B502" s="12" t="s">
        <v>291</v>
      </c>
      <c r="C502">
        <v>27601664.693203624</v>
      </c>
      <c r="D502">
        <v>26600408.426373087</v>
      </c>
      <c r="G502">
        <v>1</v>
      </c>
      <c r="H502">
        <v>13</v>
      </c>
      <c r="K502">
        <v>2</v>
      </c>
      <c r="L502">
        <v>15</v>
      </c>
      <c r="O502">
        <v>1562972.972972973</v>
      </c>
      <c r="P502">
        <v>1827072.072072072</v>
      </c>
      <c r="S502">
        <v>694</v>
      </c>
      <c r="T502">
        <v>775</v>
      </c>
    </row>
    <row r="503" spans="1:20" x14ac:dyDescent="0.35">
      <c r="A503" s="7" t="s">
        <v>596</v>
      </c>
      <c r="B503" s="12" t="s">
        <v>93</v>
      </c>
      <c r="C503">
        <v>36835857.686299235</v>
      </c>
      <c r="D503">
        <v>36059726.767239057</v>
      </c>
      <c r="E503">
        <v>1338738.7387387389</v>
      </c>
      <c r="F503">
        <v>1535135.1351351349</v>
      </c>
      <c r="G503">
        <v>18</v>
      </c>
      <c r="H503">
        <v>8</v>
      </c>
      <c r="K503">
        <v>18</v>
      </c>
      <c r="L503">
        <v>9</v>
      </c>
      <c r="M503">
        <v>4270990.9909909908</v>
      </c>
      <c r="N503">
        <v>6707207.2072072066</v>
      </c>
      <c r="O503">
        <v>6495081.0810810812</v>
      </c>
      <c r="P503">
        <v>6485927.927927928</v>
      </c>
      <c r="Q503">
        <v>4213963.963963964</v>
      </c>
      <c r="R503">
        <v>6515765.7657657657</v>
      </c>
      <c r="S503">
        <v>899</v>
      </c>
      <c r="T503">
        <v>1051</v>
      </c>
    </row>
    <row r="504" spans="1:20" x14ac:dyDescent="0.35">
      <c r="A504" s="7" t="s">
        <v>597</v>
      </c>
      <c r="B504" s="12" t="s">
        <v>51</v>
      </c>
      <c r="C504">
        <v>124736127.39802916</v>
      </c>
      <c r="D504">
        <v>124206957.84999131</v>
      </c>
      <c r="E504">
        <v>3745720.7207207191</v>
      </c>
      <c r="F504">
        <v>1328828.8288288319</v>
      </c>
      <c r="G504">
        <v>10</v>
      </c>
      <c r="H504">
        <v>10</v>
      </c>
      <c r="K504">
        <v>12</v>
      </c>
      <c r="L504">
        <v>12</v>
      </c>
      <c r="M504">
        <v>33604504.504504502</v>
      </c>
      <c r="N504">
        <v>18294234.234234236</v>
      </c>
      <c r="O504">
        <v>26872609.009009007</v>
      </c>
      <c r="P504">
        <v>28183954.954954956</v>
      </c>
      <c r="Q504">
        <v>31046486.486486487</v>
      </c>
      <c r="R504">
        <v>22986576.576576576</v>
      </c>
      <c r="S504">
        <v>1698</v>
      </c>
      <c r="T504">
        <v>1685</v>
      </c>
    </row>
    <row r="505" spans="1:20" x14ac:dyDescent="0.35">
      <c r="A505" s="7" t="s">
        <v>598</v>
      </c>
      <c r="B505" s="12" t="s">
        <v>90</v>
      </c>
      <c r="C505">
        <v>188449839.68044797</v>
      </c>
      <c r="D505">
        <v>194031603.86346459</v>
      </c>
      <c r="E505">
        <v>2610810.810810816</v>
      </c>
      <c r="F505">
        <v>5222522.5225225268</v>
      </c>
      <c r="G505">
        <v>44</v>
      </c>
      <c r="H505">
        <v>62</v>
      </c>
      <c r="I505">
        <v>1</v>
      </c>
      <c r="K505">
        <v>317</v>
      </c>
      <c r="L505">
        <v>118</v>
      </c>
      <c r="M505">
        <v>14486846.846846843</v>
      </c>
      <c r="N505">
        <v>35997837.837837838</v>
      </c>
      <c r="O505">
        <v>47137454.954954959</v>
      </c>
      <c r="P505">
        <v>53221549.54954955</v>
      </c>
      <c r="Q505">
        <v>12842432.432432428</v>
      </c>
      <c r="R505">
        <v>35138918.918918923</v>
      </c>
      <c r="S505">
        <v>3628</v>
      </c>
      <c r="T505">
        <v>3817</v>
      </c>
    </row>
    <row r="506" spans="1:20" x14ac:dyDescent="0.35">
      <c r="A506" s="7" t="s">
        <v>599</v>
      </c>
      <c r="B506" s="12" t="s">
        <v>144</v>
      </c>
      <c r="C506">
        <v>72496174.105045125</v>
      </c>
      <c r="D506">
        <v>69291665.859871894</v>
      </c>
      <c r="E506">
        <v>1325225.225225226</v>
      </c>
      <c r="F506">
        <v>261261.26126126101</v>
      </c>
      <c r="G506">
        <v>9</v>
      </c>
      <c r="H506">
        <v>2</v>
      </c>
      <c r="K506">
        <v>11</v>
      </c>
      <c r="L506">
        <v>3</v>
      </c>
      <c r="M506">
        <v>7298198.1981981983</v>
      </c>
      <c r="N506">
        <v>4675675.6756756753</v>
      </c>
      <c r="O506">
        <v>6834693.6936936937</v>
      </c>
      <c r="P506">
        <v>6311900.9009009013</v>
      </c>
      <c r="Q506">
        <v>5234504.5045045037</v>
      </c>
      <c r="R506">
        <v>4339729.7297297288</v>
      </c>
      <c r="S506">
        <v>1239</v>
      </c>
      <c r="T506">
        <v>1986</v>
      </c>
    </row>
    <row r="507" spans="1:20" x14ac:dyDescent="0.35">
      <c r="A507" s="7" t="s">
        <v>600</v>
      </c>
      <c r="B507" s="12" t="s">
        <v>126</v>
      </c>
      <c r="C507">
        <v>188719197.22686803</v>
      </c>
      <c r="D507">
        <v>194208850.41736031</v>
      </c>
      <c r="E507">
        <v>303603.60360360402</v>
      </c>
      <c r="F507">
        <v>432432.43243243499</v>
      </c>
      <c r="G507">
        <v>23</v>
      </c>
      <c r="H507">
        <v>23</v>
      </c>
      <c r="K507">
        <v>27</v>
      </c>
      <c r="L507">
        <v>27</v>
      </c>
      <c r="M507">
        <v>18427387.387387387</v>
      </c>
      <c r="N507">
        <v>15771441.441441443</v>
      </c>
      <c r="O507">
        <v>73072736.936936945</v>
      </c>
      <c r="P507">
        <v>75608045.045045033</v>
      </c>
      <c r="Q507">
        <v>18484324.324324328</v>
      </c>
      <c r="R507">
        <v>15972612.612612613</v>
      </c>
      <c r="S507">
        <v>3494</v>
      </c>
      <c r="T507">
        <v>3843</v>
      </c>
    </row>
    <row r="508" spans="1:20" x14ac:dyDescent="0.35">
      <c r="A508" s="7" t="s">
        <v>601</v>
      </c>
      <c r="B508" s="12" t="s">
        <v>51</v>
      </c>
      <c r="C508">
        <v>459904424.72211117</v>
      </c>
      <c r="D508">
        <v>483721496.87543857</v>
      </c>
      <c r="E508">
        <v>5168468.4684684724</v>
      </c>
      <c r="F508">
        <v>3917117.1171171232</v>
      </c>
      <c r="G508">
        <v>41</v>
      </c>
      <c r="H508">
        <v>46</v>
      </c>
      <c r="I508">
        <v>1</v>
      </c>
      <c r="K508">
        <v>53</v>
      </c>
      <c r="L508">
        <v>55</v>
      </c>
      <c r="M508">
        <v>74519009.009009004</v>
      </c>
      <c r="N508">
        <v>55090900.900900893</v>
      </c>
      <c r="O508">
        <v>193524630.63063061</v>
      </c>
      <c r="P508">
        <v>210858009.00900903</v>
      </c>
      <c r="Q508">
        <v>72153873.873873875</v>
      </c>
      <c r="R508">
        <v>60249729.729729727</v>
      </c>
      <c r="S508">
        <v>7916</v>
      </c>
      <c r="T508">
        <v>8437</v>
      </c>
    </row>
    <row r="509" spans="1:20" x14ac:dyDescent="0.35">
      <c r="A509" s="7" t="s">
        <v>602</v>
      </c>
      <c r="B509" s="12" t="s">
        <v>90</v>
      </c>
      <c r="C509">
        <v>133397807.92086211</v>
      </c>
      <c r="D509">
        <v>133820110.95553267</v>
      </c>
      <c r="E509">
        <v>1209909.909909914</v>
      </c>
      <c r="F509">
        <v>3645945.945945947</v>
      </c>
      <c r="G509">
        <v>10</v>
      </c>
      <c r="H509">
        <v>13</v>
      </c>
      <c r="K509">
        <v>11</v>
      </c>
      <c r="L509">
        <v>15</v>
      </c>
      <c r="M509">
        <v>29904684.684684686</v>
      </c>
      <c r="N509">
        <v>48791182.882882878</v>
      </c>
      <c r="O509">
        <v>41322270.270270273</v>
      </c>
      <c r="P509">
        <v>43941765.765765771</v>
      </c>
      <c r="Q509">
        <v>28503333.333333332</v>
      </c>
      <c r="R509">
        <v>47320450.450450458</v>
      </c>
      <c r="S509">
        <v>2563</v>
      </c>
      <c r="T509">
        <v>2532</v>
      </c>
    </row>
    <row r="510" spans="1:20" x14ac:dyDescent="0.35">
      <c r="A510" s="7" t="s">
        <v>603</v>
      </c>
      <c r="B510" s="12" t="s">
        <v>88</v>
      </c>
      <c r="C510">
        <v>117822092.53557162</v>
      </c>
      <c r="D510">
        <v>120288757.52202211</v>
      </c>
      <c r="E510">
        <v>977477.47747747705</v>
      </c>
      <c r="F510">
        <v>626126.12612612697</v>
      </c>
      <c r="G510">
        <v>13</v>
      </c>
      <c r="H510">
        <v>10</v>
      </c>
      <c r="K510">
        <v>14</v>
      </c>
      <c r="L510">
        <v>12</v>
      </c>
      <c r="M510">
        <v>1617117.1171171169</v>
      </c>
      <c r="N510">
        <v>2265765.7657657652</v>
      </c>
      <c r="O510">
        <v>9527684.6846846845</v>
      </c>
      <c r="P510">
        <v>13162324.324324325</v>
      </c>
      <c r="Q510">
        <v>1640810.8108108109</v>
      </c>
      <c r="R510">
        <v>2104324.3243243238</v>
      </c>
      <c r="S510">
        <v>1302</v>
      </c>
      <c r="T510">
        <v>1188</v>
      </c>
    </row>
    <row r="511" spans="1:20" x14ac:dyDescent="0.35">
      <c r="A511" s="7" t="s">
        <v>604</v>
      </c>
      <c r="B511" s="12" t="s">
        <v>141</v>
      </c>
      <c r="C511">
        <v>950309873.02767169</v>
      </c>
      <c r="D511">
        <v>1001863668.6484333</v>
      </c>
      <c r="E511">
        <v>696810990.09009016</v>
      </c>
      <c r="F511">
        <v>740176972.97297287</v>
      </c>
      <c r="G511">
        <v>645</v>
      </c>
      <c r="H511">
        <v>573</v>
      </c>
      <c r="I511">
        <v>11</v>
      </c>
      <c r="K511">
        <v>1052</v>
      </c>
      <c r="L511">
        <v>778</v>
      </c>
      <c r="M511">
        <v>160097027.02702704</v>
      </c>
      <c r="N511">
        <v>257135135.13513514</v>
      </c>
      <c r="O511">
        <v>238342623.42342341</v>
      </c>
      <c r="P511">
        <v>260202010.8108108</v>
      </c>
      <c r="Q511">
        <v>164890630.63063061</v>
      </c>
      <c r="R511">
        <v>201251034.23423424</v>
      </c>
      <c r="S511">
        <v>19222</v>
      </c>
      <c r="T511">
        <v>19153</v>
      </c>
    </row>
    <row r="512" spans="1:20" x14ac:dyDescent="0.35">
      <c r="A512" s="7" t="s">
        <v>605</v>
      </c>
      <c r="B512" s="12" t="s">
        <v>225</v>
      </c>
      <c r="C512">
        <v>159434943.70703238</v>
      </c>
      <c r="D512">
        <v>179969505.24796364</v>
      </c>
      <c r="E512">
        <v>86486.486486485999</v>
      </c>
      <c r="F512">
        <v>2031531.5315315321</v>
      </c>
      <c r="G512">
        <v>29</v>
      </c>
      <c r="H512">
        <v>30</v>
      </c>
      <c r="K512">
        <v>35</v>
      </c>
      <c r="L512">
        <v>33</v>
      </c>
      <c r="M512">
        <v>5311711.7117117113</v>
      </c>
      <c r="N512">
        <v>4545045.0450450452</v>
      </c>
      <c r="O512">
        <v>52302846.846846849</v>
      </c>
      <c r="P512">
        <v>66862855.855855852</v>
      </c>
      <c r="Q512">
        <v>5968918.9189189188</v>
      </c>
      <c r="R512">
        <v>6802972.9729729723</v>
      </c>
      <c r="S512">
        <v>3556</v>
      </c>
      <c r="T512">
        <v>3488</v>
      </c>
    </row>
    <row r="513" spans="1:20" x14ac:dyDescent="0.35">
      <c r="A513" s="7" t="s">
        <v>606</v>
      </c>
      <c r="B513" s="12" t="s">
        <v>225</v>
      </c>
      <c r="C513">
        <v>105490452.36604746</v>
      </c>
      <c r="D513">
        <v>116074164.29765818</v>
      </c>
      <c r="E513">
        <v>76576.576576576001</v>
      </c>
      <c r="F513">
        <v>46846.846846847002</v>
      </c>
      <c r="G513">
        <v>39</v>
      </c>
      <c r="H513">
        <v>29</v>
      </c>
      <c r="K513">
        <v>40</v>
      </c>
      <c r="L513">
        <v>30</v>
      </c>
      <c r="M513">
        <v>5481981.9819819815</v>
      </c>
      <c r="N513">
        <v>9854324.3243243247</v>
      </c>
      <c r="O513">
        <v>31949945.945945945</v>
      </c>
      <c r="P513">
        <v>40178279.279279277</v>
      </c>
      <c r="Q513">
        <v>6705675.6756756762</v>
      </c>
      <c r="R513">
        <v>9781801.8018018045</v>
      </c>
      <c r="S513">
        <v>3063</v>
      </c>
      <c r="T513">
        <v>3267</v>
      </c>
    </row>
    <row r="514" spans="1:20" x14ac:dyDescent="0.35">
      <c r="A514" s="7" t="s">
        <v>607</v>
      </c>
      <c r="B514" s="12" t="s">
        <v>242</v>
      </c>
      <c r="C514">
        <v>90844555.19956322</v>
      </c>
      <c r="D514">
        <v>95312729.418194979</v>
      </c>
      <c r="E514">
        <v>793693.69369369396</v>
      </c>
      <c r="F514">
        <v>82882.882882884005</v>
      </c>
      <c r="G514">
        <v>51</v>
      </c>
      <c r="H514">
        <v>41</v>
      </c>
      <c r="K514">
        <v>58</v>
      </c>
      <c r="L514">
        <v>48</v>
      </c>
      <c r="M514">
        <v>11326576.576576574</v>
      </c>
      <c r="N514">
        <v>4012612.612612613</v>
      </c>
      <c r="O514">
        <v>27932891.891891893</v>
      </c>
      <c r="P514">
        <v>31530369.369369369</v>
      </c>
      <c r="Q514">
        <v>10784864.864864863</v>
      </c>
      <c r="R514">
        <v>4380360.3603603588</v>
      </c>
      <c r="S514">
        <v>3088</v>
      </c>
      <c r="T514">
        <v>4746</v>
      </c>
    </row>
    <row r="515" spans="1:20" x14ac:dyDescent="0.35">
      <c r="A515" s="7" t="s">
        <v>608</v>
      </c>
      <c r="B515" s="12" t="s">
        <v>141</v>
      </c>
      <c r="C515">
        <v>27039092.188396305</v>
      </c>
      <c r="D515">
        <v>26789513.990273762</v>
      </c>
      <c r="E515">
        <v>2702.7027027029999</v>
      </c>
      <c r="F515">
        <v>45945.945945945998</v>
      </c>
      <c r="G515">
        <v>4</v>
      </c>
      <c r="H515">
        <v>10</v>
      </c>
      <c r="I515">
        <v>1</v>
      </c>
      <c r="K515">
        <v>4</v>
      </c>
      <c r="L515">
        <v>12</v>
      </c>
      <c r="M515">
        <v>227927.92792792799</v>
      </c>
      <c r="N515">
        <v>761261.26126126095</v>
      </c>
      <c r="O515">
        <v>3268369.369369369</v>
      </c>
      <c r="P515">
        <v>4454729.7297297297</v>
      </c>
      <c r="Q515">
        <v>639909.90990991006</v>
      </c>
      <c r="R515">
        <v>777117.11711711797</v>
      </c>
      <c r="S515">
        <v>333</v>
      </c>
      <c r="T515">
        <v>329</v>
      </c>
    </row>
    <row r="516" spans="1:20" x14ac:dyDescent="0.35">
      <c r="A516" s="7" t="s">
        <v>609</v>
      </c>
      <c r="B516" s="12" t="s">
        <v>190</v>
      </c>
      <c r="C516">
        <v>99333785.47470735</v>
      </c>
      <c r="D516">
        <v>92524850.535671458</v>
      </c>
      <c r="E516">
        <v>1097297.297297297</v>
      </c>
      <c r="F516">
        <v>333333.333333335</v>
      </c>
      <c r="G516">
        <v>53</v>
      </c>
      <c r="H516">
        <v>23</v>
      </c>
      <c r="K516">
        <v>57</v>
      </c>
      <c r="L516">
        <v>26</v>
      </c>
      <c r="M516">
        <v>8214414.4144144142</v>
      </c>
      <c r="N516">
        <v>8283783.7837837841</v>
      </c>
      <c r="O516">
        <v>25346328.828828827</v>
      </c>
      <c r="P516">
        <v>23398189.189189188</v>
      </c>
      <c r="Q516">
        <v>5646306.3063063063</v>
      </c>
      <c r="R516">
        <v>5229099.0990990996</v>
      </c>
      <c r="S516">
        <v>1649</v>
      </c>
      <c r="T516">
        <v>1412</v>
      </c>
    </row>
    <row r="517" spans="1:20" x14ac:dyDescent="0.35">
      <c r="A517" s="7" t="s">
        <v>610</v>
      </c>
      <c r="B517" s="12" t="s">
        <v>190</v>
      </c>
      <c r="C517">
        <v>301542249.73455691</v>
      </c>
      <c r="D517">
        <v>291005123.60608935</v>
      </c>
      <c r="E517">
        <v>189189.18918918999</v>
      </c>
      <c r="F517">
        <v>175675.675675676</v>
      </c>
      <c r="G517">
        <v>95</v>
      </c>
      <c r="H517">
        <v>92</v>
      </c>
      <c r="K517">
        <v>102</v>
      </c>
      <c r="L517">
        <v>97</v>
      </c>
      <c r="M517">
        <v>14288288.288288288</v>
      </c>
      <c r="N517">
        <v>13959459.459459459</v>
      </c>
      <c r="O517">
        <v>52494477.477477483</v>
      </c>
      <c r="P517">
        <v>51642774.774774775</v>
      </c>
      <c r="Q517">
        <v>8083423.4234234216</v>
      </c>
      <c r="R517">
        <v>8053333.333333333</v>
      </c>
      <c r="S517">
        <v>5408</v>
      </c>
      <c r="T517">
        <v>5008</v>
      </c>
    </row>
    <row r="518" spans="1:20" x14ac:dyDescent="0.35">
      <c r="A518" s="7" t="s">
        <v>611</v>
      </c>
      <c r="B518" s="12" t="s">
        <v>190</v>
      </c>
      <c r="C518">
        <v>115407390.57482708</v>
      </c>
      <c r="D518">
        <v>128740064.15042266</v>
      </c>
      <c r="E518">
        <v>2001576.5765765789</v>
      </c>
      <c r="F518">
        <v>630630.63063063205</v>
      </c>
      <c r="G518">
        <v>18</v>
      </c>
      <c r="H518">
        <v>23</v>
      </c>
      <c r="K518">
        <v>19</v>
      </c>
      <c r="L518">
        <v>25</v>
      </c>
      <c r="M518">
        <v>14395495.495495496</v>
      </c>
      <c r="N518">
        <v>11252252.252252255</v>
      </c>
      <c r="O518">
        <v>14102693.693693692</v>
      </c>
      <c r="P518">
        <v>18935630.630630631</v>
      </c>
      <c r="Q518">
        <v>11560360.36036036</v>
      </c>
      <c r="R518">
        <v>8316306.3063063063</v>
      </c>
      <c r="S518">
        <v>1867</v>
      </c>
      <c r="T518">
        <v>1673</v>
      </c>
    </row>
    <row r="519" spans="1:20" x14ac:dyDescent="0.35">
      <c r="A519" s="7" t="s">
        <v>612</v>
      </c>
      <c r="B519" s="12" t="s">
        <v>190</v>
      </c>
      <c r="C519">
        <v>43913120.053839177</v>
      </c>
      <c r="D519">
        <v>49634057.73748289</v>
      </c>
      <c r="E519">
        <v>481531.53153153299</v>
      </c>
      <c r="F519">
        <v>99099.099099101004</v>
      </c>
      <c r="G519">
        <v>21</v>
      </c>
      <c r="H519">
        <v>43</v>
      </c>
      <c r="K519">
        <v>24</v>
      </c>
      <c r="L519">
        <v>57</v>
      </c>
      <c r="M519">
        <v>4946306.3063063072</v>
      </c>
      <c r="N519">
        <v>7797297.2972972989</v>
      </c>
      <c r="O519">
        <v>8073891.8918918911</v>
      </c>
      <c r="P519">
        <v>10288216.216216216</v>
      </c>
      <c r="Q519">
        <v>4228918.9189189188</v>
      </c>
      <c r="R519">
        <v>5026126.1261261273</v>
      </c>
      <c r="S519">
        <v>962</v>
      </c>
      <c r="T519">
        <v>1024</v>
      </c>
    </row>
    <row r="520" spans="1:20" x14ac:dyDescent="0.35">
      <c r="A520" s="7" t="s">
        <v>613</v>
      </c>
      <c r="B520" s="12" t="s">
        <v>144</v>
      </c>
      <c r="C520">
        <v>364406150.73190039</v>
      </c>
      <c r="D520">
        <v>354001996.87897527</v>
      </c>
      <c r="E520">
        <v>3737690.090090089</v>
      </c>
      <c r="F520">
        <v>1266760.360360367</v>
      </c>
      <c r="G520">
        <v>129</v>
      </c>
      <c r="H520">
        <v>115</v>
      </c>
      <c r="K520">
        <v>155</v>
      </c>
      <c r="L520">
        <v>254</v>
      </c>
      <c r="M520">
        <v>32005405.405405402</v>
      </c>
      <c r="N520">
        <v>35572072.072072074</v>
      </c>
      <c r="O520">
        <v>43419644.144144148</v>
      </c>
      <c r="P520">
        <v>53086783.783783786</v>
      </c>
      <c r="Q520">
        <v>33212385.585585583</v>
      </c>
      <c r="R520">
        <v>37053423.423423424</v>
      </c>
      <c r="S520">
        <v>7622</v>
      </c>
      <c r="T520">
        <v>6700</v>
      </c>
    </row>
    <row r="521" spans="1:20" x14ac:dyDescent="0.35">
      <c r="A521" s="7" t="s">
        <v>614</v>
      </c>
      <c r="B521" s="12" t="s">
        <v>190</v>
      </c>
      <c r="C521">
        <v>384359710.06267649</v>
      </c>
      <c r="D521">
        <v>409865552.94496459</v>
      </c>
      <c r="E521">
        <v>1671846.846846848</v>
      </c>
      <c r="F521">
        <v>2225225.225225227</v>
      </c>
      <c r="G521">
        <v>135</v>
      </c>
      <c r="H521">
        <v>177</v>
      </c>
      <c r="I521">
        <v>3</v>
      </c>
      <c r="K521">
        <v>168</v>
      </c>
      <c r="L521">
        <v>240</v>
      </c>
      <c r="M521">
        <v>12676396.396396397</v>
      </c>
      <c r="N521">
        <v>13500000</v>
      </c>
      <c r="O521">
        <v>37531203.603603609</v>
      </c>
      <c r="P521">
        <v>47383882.882882878</v>
      </c>
      <c r="Q521">
        <v>10527971.171171172</v>
      </c>
      <c r="R521">
        <v>10233783.783783784</v>
      </c>
      <c r="S521">
        <v>8090</v>
      </c>
      <c r="T521">
        <v>7524</v>
      </c>
    </row>
    <row r="522" spans="1:20" x14ac:dyDescent="0.35">
      <c r="A522" s="7" t="s">
        <v>615</v>
      </c>
      <c r="B522" s="12" t="s">
        <v>55</v>
      </c>
      <c r="C522">
        <v>271742683.09836662</v>
      </c>
      <c r="D522">
        <v>275782639.67241633</v>
      </c>
      <c r="E522">
        <v>5346846.8468468497</v>
      </c>
      <c r="F522">
        <v>8331081.081081084</v>
      </c>
      <c r="G522">
        <v>88</v>
      </c>
      <c r="H522">
        <v>79</v>
      </c>
      <c r="I522">
        <v>2</v>
      </c>
      <c r="K522">
        <v>108</v>
      </c>
      <c r="L522">
        <v>104</v>
      </c>
      <c r="M522">
        <v>44518918.918918923</v>
      </c>
      <c r="N522">
        <v>52975225.225225225</v>
      </c>
      <c r="O522">
        <v>86054783.783783793</v>
      </c>
      <c r="P522">
        <v>88895441.441441447</v>
      </c>
      <c r="Q522">
        <v>43507837.837837838</v>
      </c>
      <c r="R522">
        <v>52004864.864864863</v>
      </c>
      <c r="S522">
        <v>12795</v>
      </c>
      <c r="T522">
        <v>6994</v>
      </c>
    </row>
    <row r="523" spans="1:20" x14ac:dyDescent="0.35">
      <c r="A523" s="7" t="s">
        <v>616</v>
      </c>
      <c r="B523" s="12" t="s">
        <v>55</v>
      </c>
      <c r="C523">
        <v>147345588.12554726</v>
      </c>
      <c r="D523">
        <v>151631401.61798355</v>
      </c>
      <c r="E523">
        <v>749549.54954955098</v>
      </c>
      <c r="F523">
        <v>1433333.333333334</v>
      </c>
      <c r="G523">
        <v>17</v>
      </c>
      <c r="H523">
        <v>16</v>
      </c>
      <c r="I523">
        <v>1</v>
      </c>
      <c r="K523">
        <v>21</v>
      </c>
      <c r="L523">
        <v>30</v>
      </c>
      <c r="M523">
        <v>5111711.7117117122</v>
      </c>
      <c r="N523">
        <v>7097297.297297297</v>
      </c>
      <c r="O523">
        <v>24871954.954954952</v>
      </c>
      <c r="P523">
        <v>26944090.090090089</v>
      </c>
      <c r="Q523">
        <v>4406216.2162162168</v>
      </c>
      <c r="R523">
        <v>7321711.7117117131</v>
      </c>
      <c r="S523">
        <v>2898</v>
      </c>
      <c r="T523">
        <v>2882</v>
      </c>
    </row>
    <row r="524" spans="1:20" x14ac:dyDescent="0.35">
      <c r="A524" s="7" t="s">
        <v>617</v>
      </c>
      <c r="B524" s="12" t="s">
        <v>61</v>
      </c>
      <c r="C524">
        <v>223280193.73291963</v>
      </c>
      <c r="D524">
        <v>242484564.23473707</v>
      </c>
      <c r="E524">
        <v>3207207.2072072062</v>
      </c>
      <c r="F524">
        <v>2533333.3333333372</v>
      </c>
      <c r="G524">
        <v>83</v>
      </c>
      <c r="H524">
        <v>41</v>
      </c>
      <c r="K524">
        <v>120</v>
      </c>
      <c r="L524">
        <v>48</v>
      </c>
      <c r="M524">
        <v>33872522.522522524</v>
      </c>
      <c r="N524">
        <v>43823873.873873882</v>
      </c>
      <c r="O524">
        <v>73949630.630630627</v>
      </c>
      <c r="P524">
        <v>79484990.990990996</v>
      </c>
      <c r="Q524">
        <v>33328738.738738734</v>
      </c>
      <c r="R524">
        <v>39487297.297297299</v>
      </c>
      <c r="S524">
        <v>4047</v>
      </c>
      <c r="T524">
        <v>4350</v>
      </c>
    </row>
    <row r="525" spans="1:20" x14ac:dyDescent="0.35">
      <c r="A525" s="7" t="s">
        <v>618</v>
      </c>
      <c r="B525" s="12" t="s">
        <v>61</v>
      </c>
      <c r="C525">
        <v>244486580.62337366</v>
      </c>
      <c r="D525">
        <v>241463683.71156913</v>
      </c>
      <c r="E525">
        <v>1625225.225225229</v>
      </c>
      <c r="F525">
        <v>3307207.2072072108</v>
      </c>
      <c r="G525">
        <v>58</v>
      </c>
      <c r="H525">
        <v>48</v>
      </c>
      <c r="K525">
        <v>64</v>
      </c>
      <c r="L525">
        <v>68</v>
      </c>
      <c r="M525">
        <v>27592792.792792797</v>
      </c>
      <c r="N525">
        <v>47633783.783783786</v>
      </c>
      <c r="O525">
        <v>127818427.92792793</v>
      </c>
      <c r="P525">
        <v>127891963.96396397</v>
      </c>
      <c r="Q525">
        <v>28591981.981981982</v>
      </c>
      <c r="R525">
        <v>42269549.54954955</v>
      </c>
      <c r="S525">
        <v>7102</v>
      </c>
      <c r="T525">
        <v>5356</v>
      </c>
    </row>
    <row r="526" spans="1:20" x14ac:dyDescent="0.35">
      <c r="A526" s="7" t="s">
        <v>619</v>
      </c>
      <c r="B526" s="12" t="s">
        <v>61</v>
      </c>
      <c r="C526">
        <v>309236356.60624224</v>
      </c>
      <c r="D526">
        <v>319081556.69123989</v>
      </c>
      <c r="E526">
        <v>3648648.6486486541</v>
      </c>
      <c r="F526">
        <v>9252252.2522522565</v>
      </c>
      <c r="G526">
        <v>52</v>
      </c>
      <c r="H526">
        <v>31</v>
      </c>
      <c r="K526">
        <v>63</v>
      </c>
      <c r="L526">
        <v>45</v>
      </c>
      <c r="M526">
        <v>41794594.594594598</v>
      </c>
      <c r="N526">
        <v>74648648.648648635</v>
      </c>
      <c r="O526">
        <v>103332022.97297297</v>
      </c>
      <c r="P526">
        <v>106699340.54054055</v>
      </c>
      <c r="Q526">
        <v>41908108.108108111</v>
      </c>
      <c r="R526">
        <v>68923693.693693683</v>
      </c>
      <c r="S526">
        <v>6483</v>
      </c>
      <c r="T526">
        <v>5499</v>
      </c>
    </row>
    <row r="527" spans="1:20" x14ac:dyDescent="0.35">
      <c r="A527" s="7" t="s">
        <v>620</v>
      </c>
      <c r="B527" s="12" t="s">
        <v>621</v>
      </c>
      <c r="C527">
        <v>366610433.645284</v>
      </c>
      <c r="D527">
        <v>367433838.08649904</v>
      </c>
      <c r="E527">
        <v>5844819.8198198229</v>
      </c>
      <c r="F527">
        <v>44202702.702702701</v>
      </c>
      <c r="G527">
        <v>238</v>
      </c>
      <c r="H527">
        <v>118</v>
      </c>
      <c r="I527">
        <v>2</v>
      </c>
      <c r="K527">
        <v>413</v>
      </c>
      <c r="L527">
        <v>205</v>
      </c>
      <c r="M527">
        <v>24765765.765765764</v>
      </c>
      <c r="N527">
        <v>33673243.243243247</v>
      </c>
      <c r="O527">
        <v>44578414.414414413</v>
      </c>
      <c r="P527">
        <v>54295711.711711712</v>
      </c>
      <c r="Q527">
        <v>25820900.9009009</v>
      </c>
      <c r="R527">
        <v>29545135.135135137</v>
      </c>
      <c r="S527">
        <v>9811</v>
      </c>
      <c r="T527">
        <v>7623</v>
      </c>
    </row>
    <row r="528" spans="1:20" x14ac:dyDescent="0.35">
      <c r="A528" s="7" t="s">
        <v>622</v>
      </c>
      <c r="B528" s="12" t="s">
        <v>621</v>
      </c>
      <c r="C528">
        <v>267960364.82197636</v>
      </c>
      <c r="D528">
        <v>269263527.89710516</v>
      </c>
      <c r="E528">
        <v>4483783.7837837841</v>
      </c>
      <c r="F528">
        <v>4513513.5135135138</v>
      </c>
      <c r="G528">
        <v>99</v>
      </c>
      <c r="H528">
        <v>112</v>
      </c>
      <c r="I528">
        <v>1</v>
      </c>
      <c r="K528">
        <v>115</v>
      </c>
      <c r="L528">
        <v>128</v>
      </c>
      <c r="M528">
        <v>22853153.153153151</v>
      </c>
      <c r="N528">
        <v>27808108.108108103</v>
      </c>
      <c r="O528">
        <v>43501302.702702701</v>
      </c>
      <c r="P528">
        <v>47972026.126126125</v>
      </c>
      <c r="Q528">
        <v>20923783.783783782</v>
      </c>
      <c r="R528">
        <v>26556396.396396395</v>
      </c>
      <c r="S528">
        <v>7414</v>
      </c>
      <c r="T528">
        <v>5927</v>
      </c>
    </row>
    <row r="529" spans="1:20" x14ac:dyDescent="0.35">
      <c r="A529" s="7" t="s">
        <v>623</v>
      </c>
      <c r="B529" s="12" t="s">
        <v>621</v>
      </c>
      <c r="C529">
        <v>280474647.39652812</v>
      </c>
      <c r="D529">
        <v>274446386.84212303</v>
      </c>
      <c r="E529">
        <v>57853877.477477483</v>
      </c>
      <c r="F529">
        <v>67533716.216216221</v>
      </c>
      <c r="G529">
        <v>114</v>
      </c>
      <c r="H529">
        <v>87</v>
      </c>
      <c r="I529">
        <v>1</v>
      </c>
      <c r="K529">
        <v>140</v>
      </c>
      <c r="L529">
        <v>100</v>
      </c>
      <c r="M529">
        <v>32620197.297297295</v>
      </c>
      <c r="N529">
        <v>38641621.621621624</v>
      </c>
      <c r="O529">
        <v>43204534.234234229</v>
      </c>
      <c r="P529">
        <v>47397681.081081077</v>
      </c>
      <c r="Q529">
        <v>15650990.990990993</v>
      </c>
      <c r="R529">
        <v>22489322.522522524</v>
      </c>
      <c r="S529">
        <v>8432</v>
      </c>
      <c r="T529">
        <v>6554</v>
      </c>
    </row>
    <row r="530" spans="1:20" x14ac:dyDescent="0.35">
      <c r="A530" s="7" t="s">
        <v>624</v>
      </c>
      <c r="B530" s="12" t="s">
        <v>621</v>
      </c>
      <c r="C530">
        <v>205647070.59469396</v>
      </c>
      <c r="D530">
        <v>206163556.06329405</v>
      </c>
      <c r="E530">
        <v>671171.17117117206</v>
      </c>
      <c r="F530">
        <v>2935135.1351351361</v>
      </c>
      <c r="G530">
        <v>47</v>
      </c>
      <c r="H530">
        <v>117</v>
      </c>
      <c r="I530">
        <v>4</v>
      </c>
      <c r="K530">
        <v>61</v>
      </c>
      <c r="L530">
        <v>130</v>
      </c>
      <c r="M530">
        <v>16998198.198198196</v>
      </c>
      <c r="N530">
        <v>20026576.576576576</v>
      </c>
      <c r="O530">
        <v>26631734.234234232</v>
      </c>
      <c r="P530">
        <v>30868340.540540539</v>
      </c>
      <c r="Q530">
        <v>16493423.423423424</v>
      </c>
      <c r="R530">
        <v>20498378.37837838</v>
      </c>
      <c r="S530">
        <v>4184</v>
      </c>
      <c r="T530">
        <v>3622</v>
      </c>
    </row>
    <row r="531" spans="1:20" x14ac:dyDescent="0.35">
      <c r="A531" s="7" t="s">
        <v>625</v>
      </c>
      <c r="B531" s="12" t="s">
        <v>261</v>
      </c>
      <c r="C531">
        <v>108901590.24701826</v>
      </c>
      <c r="D531">
        <v>115939670.84097381</v>
      </c>
      <c r="E531">
        <v>363963.96396396501</v>
      </c>
      <c r="F531">
        <v>361261.26126126101</v>
      </c>
      <c r="G531">
        <v>16</v>
      </c>
      <c r="H531">
        <v>3</v>
      </c>
      <c r="K531">
        <v>16</v>
      </c>
      <c r="L531">
        <v>3</v>
      </c>
      <c r="M531">
        <v>7275675.6756756771</v>
      </c>
      <c r="N531">
        <v>10652072.072072072</v>
      </c>
      <c r="O531">
        <v>35575495.495495498</v>
      </c>
      <c r="P531">
        <v>39595000</v>
      </c>
      <c r="Q531">
        <v>10670180.180180181</v>
      </c>
      <c r="R531">
        <v>13761801.801801803</v>
      </c>
      <c r="S531">
        <v>2292</v>
      </c>
      <c r="T531">
        <v>2081</v>
      </c>
    </row>
    <row r="532" spans="1:20" x14ac:dyDescent="0.35">
      <c r="A532" s="7" t="s">
        <v>626</v>
      </c>
      <c r="B532" s="12" t="s">
        <v>53</v>
      </c>
      <c r="C532">
        <v>169202793.88789004</v>
      </c>
      <c r="D532">
        <v>172431015.63308582</v>
      </c>
      <c r="E532">
        <v>534234.23423423595</v>
      </c>
      <c r="F532">
        <v>1097297.2972973001</v>
      </c>
      <c r="G532">
        <v>58</v>
      </c>
      <c r="H532">
        <v>97</v>
      </c>
      <c r="K532">
        <v>149</v>
      </c>
      <c r="L532">
        <v>164</v>
      </c>
      <c r="M532">
        <v>5363063.0630630646</v>
      </c>
      <c r="N532">
        <v>4867567.5675675701</v>
      </c>
      <c r="O532">
        <v>61456261.261261262</v>
      </c>
      <c r="P532">
        <v>63110061.261261262</v>
      </c>
      <c r="Q532">
        <v>4039639.6396396412</v>
      </c>
      <c r="R532">
        <v>5186126.1261261255</v>
      </c>
      <c r="S532">
        <v>4979</v>
      </c>
      <c r="T532">
        <v>4561</v>
      </c>
    </row>
    <row r="533" spans="1:20" x14ac:dyDescent="0.35">
      <c r="A533" s="7" t="s">
        <v>627</v>
      </c>
      <c r="B533" s="12" t="s">
        <v>97</v>
      </c>
      <c r="C533">
        <v>430565708.25212181</v>
      </c>
      <c r="D533">
        <v>394681234.63547099</v>
      </c>
      <c r="E533">
        <v>7707207.2072072094</v>
      </c>
      <c r="F533">
        <v>6390540.5405405434</v>
      </c>
      <c r="G533">
        <v>194</v>
      </c>
      <c r="H533">
        <v>205</v>
      </c>
      <c r="K533">
        <v>231</v>
      </c>
      <c r="L533">
        <v>300</v>
      </c>
      <c r="M533">
        <v>84527927.927927941</v>
      </c>
      <c r="N533">
        <v>96620270.270270273</v>
      </c>
      <c r="O533">
        <v>141092995.94594595</v>
      </c>
      <c r="P533">
        <v>139368313.51351351</v>
      </c>
      <c r="Q533">
        <v>78001981.981981978</v>
      </c>
      <c r="R533">
        <v>92237881.081081092</v>
      </c>
      <c r="S533">
        <v>11720</v>
      </c>
      <c r="T533">
        <v>11663</v>
      </c>
    </row>
    <row r="534" spans="1:20" x14ac:dyDescent="0.35">
      <c r="A534" s="7" t="s">
        <v>628</v>
      </c>
      <c r="B534" s="12" t="s">
        <v>97</v>
      </c>
      <c r="C534">
        <v>711999145.2173214</v>
      </c>
      <c r="D534">
        <v>689969897.29889131</v>
      </c>
      <c r="E534">
        <v>3766666.666666666</v>
      </c>
      <c r="F534">
        <v>7747747.7477477537</v>
      </c>
      <c r="G534">
        <v>178</v>
      </c>
      <c r="H534">
        <v>186</v>
      </c>
      <c r="I534">
        <v>3</v>
      </c>
      <c r="K534">
        <v>208</v>
      </c>
      <c r="L534">
        <v>295</v>
      </c>
      <c r="M534">
        <v>148877927.92792794</v>
      </c>
      <c r="N534">
        <v>155872522.52252254</v>
      </c>
      <c r="O534">
        <v>290073560.8108108</v>
      </c>
      <c r="P534">
        <v>285626981.98198199</v>
      </c>
      <c r="Q534">
        <v>151807837.83783782</v>
      </c>
      <c r="R534">
        <v>159044864.86486486</v>
      </c>
      <c r="S534">
        <v>15275</v>
      </c>
      <c r="T534">
        <v>13374</v>
      </c>
    </row>
    <row r="535" spans="1:20" x14ac:dyDescent="0.35">
      <c r="A535" s="7" t="s">
        <v>629</v>
      </c>
      <c r="B535" s="12" t="s">
        <v>449</v>
      </c>
      <c r="C535">
        <v>519011245.69854277</v>
      </c>
      <c r="D535">
        <v>499361661.35258067</v>
      </c>
      <c r="E535">
        <v>485648784.68468469</v>
      </c>
      <c r="F535">
        <v>407809534.23423421</v>
      </c>
      <c r="G535">
        <v>190</v>
      </c>
      <c r="H535">
        <v>249</v>
      </c>
      <c r="I535">
        <v>1</v>
      </c>
      <c r="K535">
        <v>226</v>
      </c>
      <c r="L535">
        <v>344</v>
      </c>
      <c r="M535">
        <v>147623513.51351351</v>
      </c>
      <c r="N535">
        <v>142598198.1981982</v>
      </c>
      <c r="O535">
        <v>154559475.67567569</v>
      </c>
      <c r="P535">
        <v>164265378.37837836</v>
      </c>
      <c r="Q535">
        <v>141277702.7027027</v>
      </c>
      <c r="R535">
        <v>126355720.72072072</v>
      </c>
      <c r="S535">
        <v>12685</v>
      </c>
      <c r="T535">
        <v>11394</v>
      </c>
    </row>
    <row r="536" spans="1:20" x14ac:dyDescent="0.35">
      <c r="A536" s="7" t="s">
        <v>630</v>
      </c>
      <c r="B536" s="12" t="s">
        <v>79</v>
      </c>
      <c r="C536">
        <v>23291465.753794838</v>
      </c>
      <c r="D536">
        <v>24304578.625280917</v>
      </c>
      <c r="E536">
        <v>327027.02702702698</v>
      </c>
      <c r="F536">
        <v>312612.61261261301</v>
      </c>
      <c r="G536">
        <v>3</v>
      </c>
      <c r="H536">
        <v>3</v>
      </c>
      <c r="K536">
        <v>3</v>
      </c>
      <c r="L536">
        <v>3</v>
      </c>
      <c r="M536">
        <v>1651351.351351351</v>
      </c>
      <c r="N536">
        <v>2015315.315315315</v>
      </c>
      <c r="O536">
        <v>6566603.6036036042</v>
      </c>
      <c r="P536">
        <v>7922576.5765765756</v>
      </c>
      <c r="Q536">
        <v>1365225.225225226</v>
      </c>
      <c r="R536">
        <v>1517027.027027027</v>
      </c>
      <c r="S536">
        <v>405</v>
      </c>
      <c r="T536">
        <v>373</v>
      </c>
    </row>
    <row r="537" spans="1:20" x14ac:dyDescent="0.35">
      <c r="A537" s="7" t="s">
        <v>631</v>
      </c>
      <c r="B537" s="12" t="s">
        <v>242</v>
      </c>
      <c r="C537">
        <v>136993006.15637794</v>
      </c>
      <c r="D537">
        <v>126974246.05126178</v>
      </c>
      <c r="E537">
        <v>466441.44144144299</v>
      </c>
      <c r="F537">
        <v>2723423.423423423</v>
      </c>
      <c r="G537">
        <v>54</v>
      </c>
      <c r="H537">
        <v>34</v>
      </c>
      <c r="K537">
        <v>59</v>
      </c>
      <c r="L537">
        <v>46</v>
      </c>
      <c r="M537">
        <v>13272792.792792793</v>
      </c>
      <c r="N537">
        <v>34645405.40540541</v>
      </c>
      <c r="O537">
        <v>31109018.018018018</v>
      </c>
      <c r="P537">
        <v>32396648.648648649</v>
      </c>
      <c r="Q537">
        <v>13275135.135135137</v>
      </c>
      <c r="R537">
        <v>32671711.711711708</v>
      </c>
      <c r="S537">
        <v>2713</v>
      </c>
      <c r="T537">
        <v>3074</v>
      </c>
    </row>
    <row r="538" spans="1:20" x14ac:dyDescent="0.35">
      <c r="A538" s="7" t="s">
        <v>632</v>
      </c>
      <c r="B538" s="12" t="s">
        <v>69</v>
      </c>
      <c r="C538">
        <v>591668167.52785945</v>
      </c>
      <c r="D538">
        <v>611788784.15080214</v>
      </c>
      <c r="E538">
        <v>112354237.83783785</v>
      </c>
      <c r="F538">
        <v>109698448.64864865</v>
      </c>
      <c r="G538">
        <v>228</v>
      </c>
      <c r="H538">
        <v>104</v>
      </c>
      <c r="I538">
        <v>1</v>
      </c>
      <c r="K538">
        <v>258</v>
      </c>
      <c r="L538">
        <v>210</v>
      </c>
      <c r="M538">
        <v>55621621.621621624</v>
      </c>
      <c r="N538">
        <v>98012567.567567572</v>
      </c>
      <c r="O538">
        <v>101161872.97297297</v>
      </c>
      <c r="P538">
        <v>119533392.7927928</v>
      </c>
      <c r="Q538">
        <v>47015585.585585587</v>
      </c>
      <c r="R538">
        <v>52722477.477477483</v>
      </c>
      <c r="S538">
        <v>9315</v>
      </c>
      <c r="T538">
        <v>9982</v>
      </c>
    </row>
    <row r="539" spans="1:20" x14ac:dyDescent="0.35">
      <c r="A539" s="7" t="s">
        <v>633</v>
      </c>
      <c r="B539" s="12" t="s">
        <v>71</v>
      </c>
      <c r="C539">
        <v>4313302.249297346</v>
      </c>
      <c r="D539">
        <v>4558135.9954529563</v>
      </c>
      <c r="E539">
        <v>54054.054054054002</v>
      </c>
      <c r="F539">
        <v>188738.73873873899</v>
      </c>
      <c r="G539">
        <v>2</v>
      </c>
      <c r="K539">
        <v>2</v>
      </c>
      <c r="M539">
        <v>54054.054054054002</v>
      </c>
      <c r="N539">
        <v>242792.79279279301</v>
      </c>
      <c r="O539">
        <v>2624594.594594595</v>
      </c>
      <c r="P539">
        <v>2767117.1171171172</v>
      </c>
      <c r="Q539">
        <v>164864.864864865</v>
      </c>
      <c r="S539">
        <v>225</v>
      </c>
      <c r="T539">
        <v>227</v>
      </c>
    </row>
    <row r="540" spans="1:20" x14ac:dyDescent="0.35">
      <c r="A540" s="7" t="s">
        <v>634</v>
      </c>
      <c r="B540" s="12" t="s">
        <v>61</v>
      </c>
      <c r="C540">
        <v>45213984.362839445</v>
      </c>
      <c r="D540">
        <v>45833539.378655896</v>
      </c>
      <c r="E540">
        <v>151351.351351352</v>
      </c>
      <c r="F540">
        <v>360360.360360361</v>
      </c>
      <c r="G540">
        <v>13</v>
      </c>
      <c r="H540">
        <v>5</v>
      </c>
      <c r="I540">
        <v>1</v>
      </c>
      <c r="K540">
        <v>14</v>
      </c>
      <c r="L540">
        <v>6</v>
      </c>
      <c r="M540">
        <v>1772972.972972973</v>
      </c>
      <c r="N540">
        <v>3108108.1081081079</v>
      </c>
      <c r="O540">
        <v>19440189.189189188</v>
      </c>
      <c r="P540">
        <v>17999945.945945945</v>
      </c>
      <c r="Q540">
        <v>256306.30630630601</v>
      </c>
      <c r="R540">
        <v>2152702.702702703</v>
      </c>
      <c r="S540">
        <v>1038</v>
      </c>
      <c r="T540">
        <v>1048</v>
      </c>
    </row>
    <row r="541" spans="1:20" x14ac:dyDescent="0.35">
      <c r="A541" s="7" t="s">
        <v>635</v>
      </c>
      <c r="B541" s="12" t="s">
        <v>81</v>
      </c>
      <c r="C541">
        <v>462156296.79191458</v>
      </c>
      <c r="D541">
        <v>476823258.28260583</v>
      </c>
      <c r="E541">
        <v>4743693.6936936975</v>
      </c>
      <c r="F541">
        <v>3881981.9819819848</v>
      </c>
      <c r="G541">
        <v>68</v>
      </c>
      <c r="H541">
        <v>56</v>
      </c>
      <c r="K541">
        <v>74</v>
      </c>
      <c r="L541">
        <v>74</v>
      </c>
      <c r="M541">
        <v>52242792.79279279</v>
      </c>
      <c r="N541">
        <v>65881981.981981985</v>
      </c>
      <c r="O541">
        <v>93563545.045045033</v>
      </c>
      <c r="P541">
        <v>96487099.0990991</v>
      </c>
      <c r="Q541">
        <v>48784594.59459459</v>
      </c>
      <c r="R541">
        <v>59448018.018018015</v>
      </c>
      <c r="S541">
        <v>6557</v>
      </c>
      <c r="T541">
        <v>7427</v>
      </c>
    </row>
    <row r="542" spans="1:20" x14ac:dyDescent="0.35">
      <c r="A542" s="7" t="s">
        <v>636</v>
      </c>
      <c r="B542" s="12" t="s">
        <v>135</v>
      </c>
      <c r="C542">
        <v>83470059.251487792</v>
      </c>
      <c r="D542">
        <v>89159918.623904169</v>
      </c>
      <c r="E542">
        <v>784684.68468468497</v>
      </c>
      <c r="G542">
        <v>19</v>
      </c>
      <c r="H542">
        <v>13</v>
      </c>
      <c r="K542">
        <v>19</v>
      </c>
      <c r="L542">
        <v>13</v>
      </c>
      <c r="M542">
        <v>8726126.1261261255</v>
      </c>
      <c r="N542">
        <v>1162162.1621621619</v>
      </c>
      <c r="O542">
        <v>4743819.8198198201</v>
      </c>
      <c r="P542">
        <v>6432927.927927928</v>
      </c>
      <c r="Q542">
        <v>8327207.2072072066</v>
      </c>
      <c r="R542">
        <v>1215405.405405405</v>
      </c>
      <c r="S542">
        <v>1464</v>
      </c>
      <c r="T542">
        <v>1615</v>
      </c>
    </row>
    <row r="543" spans="1:20" x14ac:dyDescent="0.35">
      <c r="A543" s="7" t="s">
        <v>637</v>
      </c>
      <c r="B543" s="12" t="s">
        <v>480</v>
      </c>
      <c r="C543">
        <v>252957671.14978319</v>
      </c>
      <c r="D543">
        <v>249032113.29188189</v>
      </c>
      <c r="E543">
        <v>2289189.1891891928</v>
      </c>
      <c r="F543">
        <v>1590990.9909909919</v>
      </c>
      <c r="G543">
        <v>68</v>
      </c>
      <c r="H543">
        <v>53</v>
      </c>
      <c r="K543">
        <v>75</v>
      </c>
      <c r="L543">
        <v>59</v>
      </c>
      <c r="M543">
        <v>63659125.225225233</v>
      </c>
      <c r="N543">
        <v>71776261.261261269</v>
      </c>
      <c r="O543">
        <v>90189459.459459454</v>
      </c>
      <c r="P543">
        <v>96150090.090090081</v>
      </c>
      <c r="Q543">
        <v>64383738.738738738</v>
      </c>
      <c r="R543">
        <v>76089954.954954967</v>
      </c>
      <c r="S543">
        <v>6574</v>
      </c>
      <c r="T543">
        <v>5729</v>
      </c>
    </row>
    <row r="544" spans="1:20" x14ac:dyDescent="0.35">
      <c r="A544" s="7" t="s">
        <v>638</v>
      </c>
      <c r="B544" s="12" t="s">
        <v>144</v>
      </c>
      <c r="C544">
        <v>428540589.53415149</v>
      </c>
      <c r="D544">
        <v>449804842.48784268</v>
      </c>
      <c r="E544">
        <v>3969369.3693693699</v>
      </c>
      <c r="F544">
        <v>3431531.531531537</v>
      </c>
      <c r="G544">
        <v>88</v>
      </c>
      <c r="H544">
        <v>34</v>
      </c>
      <c r="K544">
        <v>111</v>
      </c>
      <c r="L544">
        <v>42</v>
      </c>
      <c r="M544">
        <v>28450900.9009009</v>
      </c>
      <c r="N544">
        <v>32466666.666666664</v>
      </c>
      <c r="O544">
        <v>54927213.963963971</v>
      </c>
      <c r="P544">
        <v>55854000</v>
      </c>
      <c r="Q544">
        <v>23419549.54954955</v>
      </c>
      <c r="R544">
        <v>27161351.351351351</v>
      </c>
      <c r="S544">
        <v>9980</v>
      </c>
      <c r="T544">
        <v>9305</v>
      </c>
    </row>
    <row r="545" spans="1:20" x14ac:dyDescent="0.35">
      <c r="A545" s="7" t="s">
        <v>639</v>
      </c>
      <c r="B545" s="12" t="s">
        <v>242</v>
      </c>
      <c r="C545">
        <v>471248212.50885308</v>
      </c>
      <c r="D545">
        <v>465006453.99740791</v>
      </c>
      <c r="E545">
        <v>2107207.207207209</v>
      </c>
      <c r="F545">
        <v>4899099.0990990996</v>
      </c>
      <c r="G545">
        <v>244</v>
      </c>
      <c r="H545">
        <v>206</v>
      </c>
      <c r="K545">
        <v>280</v>
      </c>
      <c r="L545">
        <v>298</v>
      </c>
      <c r="M545">
        <v>35606306.306306303</v>
      </c>
      <c r="N545">
        <v>43016171.171171173</v>
      </c>
      <c r="O545">
        <v>152608034.23423424</v>
      </c>
      <c r="P545">
        <v>165518054.05405405</v>
      </c>
      <c r="Q545">
        <v>30961081.081081081</v>
      </c>
      <c r="R545">
        <v>41448963.963963971</v>
      </c>
      <c r="S545">
        <v>15012</v>
      </c>
      <c r="T545">
        <v>12707</v>
      </c>
    </row>
    <row r="546" spans="1:20" x14ac:dyDescent="0.35">
      <c r="A546" s="7" t="s">
        <v>640</v>
      </c>
      <c r="B546" s="12" t="s">
        <v>133</v>
      </c>
      <c r="C546">
        <v>179691056.87486231</v>
      </c>
      <c r="D546">
        <v>186973949.80702993</v>
      </c>
      <c r="E546">
        <v>129729.72972973</v>
      </c>
      <c r="F546">
        <v>70270.270270270994</v>
      </c>
      <c r="G546">
        <v>64</v>
      </c>
      <c r="H546">
        <v>65</v>
      </c>
      <c r="K546">
        <v>73</v>
      </c>
      <c r="L546">
        <v>75</v>
      </c>
      <c r="M546">
        <v>4488288.2882882887</v>
      </c>
      <c r="N546">
        <v>8220045.0450450452</v>
      </c>
      <c r="O546">
        <v>64919072.072072074</v>
      </c>
      <c r="P546">
        <v>67031872.072072074</v>
      </c>
      <c r="Q546">
        <v>4309549.5495495489</v>
      </c>
      <c r="R546">
        <v>4692657.6576576577</v>
      </c>
      <c r="S546">
        <v>6348</v>
      </c>
      <c r="T546">
        <v>5599</v>
      </c>
    </row>
    <row r="547" spans="1:20" x14ac:dyDescent="0.35">
      <c r="A547" s="7" t="s">
        <v>641</v>
      </c>
      <c r="B547" s="12" t="s">
        <v>135</v>
      </c>
      <c r="C547">
        <v>540232481.58449101</v>
      </c>
      <c r="D547">
        <v>582280977.23431063</v>
      </c>
      <c r="E547">
        <v>1718918.9189189221</v>
      </c>
      <c r="F547">
        <v>3274774.774774781</v>
      </c>
      <c r="G547">
        <v>88</v>
      </c>
      <c r="H547">
        <v>79</v>
      </c>
      <c r="I547">
        <v>1</v>
      </c>
      <c r="K547">
        <v>91</v>
      </c>
      <c r="L547">
        <v>96</v>
      </c>
      <c r="M547">
        <v>44125945.945945941</v>
      </c>
      <c r="N547">
        <v>57923063.063063063</v>
      </c>
      <c r="O547">
        <v>71416523.423423424</v>
      </c>
      <c r="P547">
        <v>85639477.477477476</v>
      </c>
      <c r="Q547">
        <v>34502475.675675675</v>
      </c>
      <c r="R547">
        <v>46956216.216216214</v>
      </c>
      <c r="S547">
        <v>8078</v>
      </c>
      <c r="T547">
        <v>7406</v>
      </c>
    </row>
    <row r="548" spans="1:20" x14ac:dyDescent="0.35">
      <c r="A548" s="7" t="s">
        <v>642</v>
      </c>
      <c r="B548" s="12" t="s">
        <v>81</v>
      </c>
      <c r="C548">
        <v>285865211.93007141</v>
      </c>
      <c r="D548">
        <v>289713746.22151363</v>
      </c>
      <c r="E548">
        <v>1201801.801801804</v>
      </c>
      <c r="F548">
        <v>1452252.2522522539</v>
      </c>
      <c r="G548">
        <v>49</v>
      </c>
      <c r="H548">
        <v>33</v>
      </c>
      <c r="K548">
        <v>63</v>
      </c>
      <c r="L548">
        <v>71</v>
      </c>
      <c r="M548">
        <v>28083783.783783782</v>
      </c>
      <c r="N548">
        <v>37445945.945945941</v>
      </c>
      <c r="O548">
        <v>103303381.08108109</v>
      </c>
      <c r="P548">
        <v>107570268.46846846</v>
      </c>
      <c r="Q548">
        <v>28761531.531531528</v>
      </c>
      <c r="R548">
        <v>33915135.135135137</v>
      </c>
      <c r="S548">
        <v>5008</v>
      </c>
      <c r="T548">
        <v>5142</v>
      </c>
    </row>
    <row r="549" spans="1:20" x14ac:dyDescent="0.35">
      <c r="A549" s="7" t="s">
        <v>643</v>
      </c>
      <c r="B549" s="12" t="s">
        <v>170</v>
      </c>
      <c r="C549">
        <v>472775439.89067382</v>
      </c>
      <c r="D549">
        <v>502820677.57963377</v>
      </c>
      <c r="E549">
        <v>1813513.5135135141</v>
      </c>
      <c r="F549">
        <v>2893693.6936936942</v>
      </c>
      <c r="G549">
        <v>36</v>
      </c>
      <c r="H549">
        <v>56</v>
      </c>
      <c r="I549">
        <v>2</v>
      </c>
      <c r="K549">
        <v>37</v>
      </c>
      <c r="L549">
        <v>59</v>
      </c>
      <c r="M549">
        <v>42665060.360360362</v>
      </c>
      <c r="N549">
        <v>47443243.243243247</v>
      </c>
      <c r="O549">
        <v>169877918.91891891</v>
      </c>
      <c r="P549">
        <v>192126234.23423424</v>
      </c>
      <c r="Q549">
        <v>38839099.0990991</v>
      </c>
      <c r="R549">
        <v>42402342.342342347</v>
      </c>
      <c r="S549">
        <v>9101</v>
      </c>
      <c r="T549">
        <v>8701</v>
      </c>
    </row>
    <row r="550" spans="1:20" x14ac:dyDescent="0.35">
      <c r="A550" s="7" t="s">
        <v>644</v>
      </c>
      <c r="B550" s="12" t="s">
        <v>59</v>
      </c>
      <c r="C550">
        <v>807123164.54880702</v>
      </c>
      <c r="D550">
        <v>815490183.778391</v>
      </c>
      <c r="E550">
        <v>10109909.909909908</v>
      </c>
      <c r="F550">
        <v>10717117.117117122</v>
      </c>
      <c r="G550">
        <v>210</v>
      </c>
      <c r="H550">
        <v>185</v>
      </c>
      <c r="K550">
        <v>235</v>
      </c>
      <c r="L550">
        <v>217</v>
      </c>
      <c r="M550">
        <v>74140090.090090081</v>
      </c>
      <c r="N550">
        <v>158042792.7927928</v>
      </c>
      <c r="O550">
        <v>167861842.34234235</v>
      </c>
      <c r="P550">
        <v>174915259.45945945</v>
      </c>
      <c r="Q550">
        <v>56315225.225225225</v>
      </c>
      <c r="R550">
        <v>161324594.5945946</v>
      </c>
      <c r="S550">
        <v>18652</v>
      </c>
      <c r="T550">
        <v>17896</v>
      </c>
    </row>
    <row r="551" spans="1:20" x14ac:dyDescent="0.35">
      <c r="A551" s="7" t="s">
        <v>645</v>
      </c>
      <c r="B551" s="12" t="s">
        <v>59</v>
      </c>
      <c r="C551">
        <v>1011778322.8386587</v>
      </c>
      <c r="D551">
        <v>1045773652.6256359</v>
      </c>
      <c r="E551">
        <v>265949815.31531534</v>
      </c>
      <c r="F551">
        <v>555334922.52252245</v>
      </c>
      <c r="G551">
        <v>1140</v>
      </c>
      <c r="H551">
        <v>473</v>
      </c>
      <c r="I551">
        <v>1</v>
      </c>
      <c r="K551">
        <v>1337</v>
      </c>
      <c r="L551">
        <v>696</v>
      </c>
      <c r="M551">
        <v>160827027.02702704</v>
      </c>
      <c r="N551">
        <v>284932432.43243247</v>
      </c>
      <c r="O551">
        <v>312155851.35135138</v>
      </c>
      <c r="P551">
        <v>303965383.78378379</v>
      </c>
      <c r="Q551">
        <v>154560990.99099097</v>
      </c>
      <c r="R551">
        <v>282432562.16216213</v>
      </c>
      <c r="S551">
        <v>27875</v>
      </c>
      <c r="T551">
        <v>23212</v>
      </c>
    </row>
    <row r="552" spans="1:20" x14ac:dyDescent="0.35">
      <c r="A552" s="7" t="s">
        <v>646</v>
      </c>
      <c r="B552" s="12" t="s">
        <v>308</v>
      </c>
      <c r="C552">
        <v>333734953.76021087</v>
      </c>
      <c r="D552">
        <v>319287253.84608614</v>
      </c>
      <c r="E552">
        <v>1857657.657657658</v>
      </c>
      <c r="F552">
        <v>1718918.9189189191</v>
      </c>
      <c r="G552">
        <v>42</v>
      </c>
      <c r="H552">
        <v>32</v>
      </c>
      <c r="K552">
        <v>43</v>
      </c>
      <c r="L552">
        <v>36</v>
      </c>
      <c r="M552">
        <v>5995495.4954954963</v>
      </c>
      <c r="N552">
        <v>6402432.4324324308</v>
      </c>
      <c r="O552">
        <v>55607166.666666664</v>
      </c>
      <c r="P552">
        <v>59549806.306306303</v>
      </c>
      <c r="Q552">
        <v>5955495.4954954954</v>
      </c>
      <c r="R552">
        <v>5936666.666666666</v>
      </c>
      <c r="S552">
        <v>5472</v>
      </c>
      <c r="T552">
        <v>5146</v>
      </c>
    </row>
    <row r="553" spans="1:20" x14ac:dyDescent="0.35">
      <c r="A553" s="7" t="s">
        <v>13</v>
      </c>
      <c r="B553" s="12" t="s">
        <v>159</v>
      </c>
      <c r="C553">
        <v>380098733.23656797</v>
      </c>
      <c r="D553">
        <v>358768463.84994513</v>
      </c>
      <c r="E553">
        <v>4042342.342342352</v>
      </c>
      <c r="F553">
        <v>3495945.9459459479</v>
      </c>
      <c r="G553">
        <v>97</v>
      </c>
      <c r="H553">
        <v>102</v>
      </c>
      <c r="K553">
        <v>211</v>
      </c>
      <c r="L553">
        <v>422</v>
      </c>
      <c r="M553">
        <v>86551396.396396399</v>
      </c>
      <c r="N553">
        <v>83200000</v>
      </c>
      <c r="O553">
        <v>219704909.90990993</v>
      </c>
      <c r="P553">
        <v>215967162.16216218</v>
      </c>
      <c r="Q553">
        <v>82289007.207207218</v>
      </c>
      <c r="R553">
        <v>89382612.612612605</v>
      </c>
      <c r="S553">
        <v>8309</v>
      </c>
      <c r="T553">
        <v>7202</v>
      </c>
    </row>
    <row r="554" spans="1:20" x14ac:dyDescent="0.35">
      <c r="A554" s="7" t="s">
        <v>647</v>
      </c>
      <c r="B554" s="12" t="s">
        <v>122</v>
      </c>
      <c r="C554">
        <v>257749084.63444307</v>
      </c>
      <c r="D554">
        <v>260610595.89267397</v>
      </c>
      <c r="E554">
        <v>163063.06306306299</v>
      </c>
      <c r="F554">
        <v>90090.090090091995</v>
      </c>
      <c r="G554">
        <v>62</v>
      </c>
      <c r="H554">
        <v>76</v>
      </c>
      <c r="K554">
        <v>68</v>
      </c>
      <c r="L554">
        <v>83</v>
      </c>
      <c r="M554">
        <v>1157657.657657658</v>
      </c>
      <c r="N554">
        <v>1351351.3513513531</v>
      </c>
      <c r="O554">
        <v>22182745.495495494</v>
      </c>
      <c r="P554">
        <v>25899969.369369369</v>
      </c>
      <c r="Q554">
        <v>1008468.468468469</v>
      </c>
      <c r="R554">
        <v>946396.39639639598</v>
      </c>
      <c r="S554">
        <v>3374</v>
      </c>
      <c r="T554">
        <v>3596</v>
      </c>
    </row>
    <row r="555" spans="1:20" x14ac:dyDescent="0.35">
      <c r="A555" s="7" t="s">
        <v>648</v>
      </c>
      <c r="B555" s="12" t="s">
        <v>316</v>
      </c>
      <c r="C555">
        <v>93195974.86073494</v>
      </c>
      <c r="D555">
        <v>83477791.0681912</v>
      </c>
      <c r="E555">
        <v>1519819.8198198201</v>
      </c>
      <c r="F555">
        <v>1310810.810810813</v>
      </c>
      <c r="G555">
        <v>36</v>
      </c>
      <c r="H555">
        <v>11</v>
      </c>
      <c r="K555">
        <v>40</v>
      </c>
      <c r="L555">
        <v>12</v>
      </c>
      <c r="M555">
        <v>16599099.0990991</v>
      </c>
      <c r="N555">
        <v>31262612.612612613</v>
      </c>
      <c r="O555">
        <v>23834648.648648649</v>
      </c>
      <c r="P555">
        <v>22777891.891891893</v>
      </c>
      <c r="Q555">
        <v>18700900.9009009</v>
      </c>
      <c r="R555">
        <v>27814954.954954956</v>
      </c>
      <c r="S555">
        <v>1400</v>
      </c>
      <c r="T555">
        <v>1404</v>
      </c>
    </row>
    <row r="556" spans="1:20" x14ac:dyDescent="0.35">
      <c r="A556" s="7" t="s">
        <v>649</v>
      </c>
      <c r="B556" s="12" t="s">
        <v>261</v>
      </c>
      <c r="C556">
        <v>235167917.31809282</v>
      </c>
      <c r="D556">
        <v>256238993.48233464</v>
      </c>
      <c r="E556">
        <v>1265090.090090089</v>
      </c>
      <c r="F556">
        <v>1323423.4234234251</v>
      </c>
      <c r="G556">
        <v>70</v>
      </c>
      <c r="H556">
        <v>55</v>
      </c>
      <c r="K556">
        <v>75</v>
      </c>
      <c r="L556">
        <v>61</v>
      </c>
      <c r="M556">
        <v>47654954.954954952</v>
      </c>
      <c r="N556">
        <v>43748648.648648649</v>
      </c>
      <c r="O556">
        <v>78045216.216216221</v>
      </c>
      <c r="P556">
        <v>89053594.594594598</v>
      </c>
      <c r="Q556">
        <v>44836666.666666664</v>
      </c>
      <c r="R556">
        <v>49245405.40540541</v>
      </c>
      <c r="S556">
        <v>4445</v>
      </c>
      <c r="T556">
        <v>4630</v>
      </c>
    </row>
    <row r="557" spans="1:20" x14ac:dyDescent="0.35">
      <c r="A557" s="7" t="s">
        <v>650</v>
      </c>
      <c r="B557" s="12" t="s">
        <v>225</v>
      </c>
      <c r="C557">
        <v>229586536.57794619</v>
      </c>
      <c r="D557">
        <v>270228901.34575343</v>
      </c>
      <c r="E557">
        <v>2547522.522522524</v>
      </c>
      <c r="F557">
        <v>3087387.3873873889</v>
      </c>
      <c r="G557">
        <v>59</v>
      </c>
      <c r="H557">
        <v>78</v>
      </c>
      <c r="K557">
        <v>69</v>
      </c>
      <c r="L557">
        <v>105</v>
      </c>
      <c r="M557">
        <v>22837657.657657657</v>
      </c>
      <c r="N557">
        <v>37896396.396396399</v>
      </c>
      <c r="O557">
        <v>53569763.963963971</v>
      </c>
      <c r="P557">
        <v>67016628.828828834</v>
      </c>
      <c r="Q557">
        <v>21203963.963963967</v>
      </c>
      <c r="R557">
        <v>33976756.756756753</v>
      </c>
      <c r="S557">
        <v>5501</v>
      </c>
      <c r="T557">
        <v>5432</v>
      </c>
    </row>
    <row r="558" spans="1:20" x14ac:dyDescent="0.35">
      <c r="A558" s="7" t="s">
        <v>651</v>
      </c>
      <c r="B558" s="12" t="s">
        <v>225</v>
      </c>
      <c r="C558">
        <v>185337918.64799961</v>
      </c>
      <c r="D558">
        <v>216420534.84087837</v>
      </c>
      <c r="E558">
        <v>63963.963963964998</v>
      </c>
      <c r="F558">
        <v>102702.702702704</v>
      </c>
      <c r="G558">
        <v>35</v>
      </c>
      <c r="H558">
        <v>41</v>
      </c>
      <c r="K558">
        <v>37</v>
      </c>
      <c r="L558">
        <v>44</v>
      </c>
      <c r="M558">
        <v>7134234.2342342334</v>
      </c>
      <c r="N558">
        <v>14203603.603603603</v>
      </c>
      <c r="O558">
        <v>26546387.387387387</v>
      </c>
      <c r="P558">
        <v>35038927.927927926</v>
      </c>
      <c r="Q558">
        <v>7066486.4864864871</v>
      </c>
      <c r="R558">
        <v>12428198.198198199</v>
      </c>
      <c r="S558">
        <v>3112</v>
      </c>
      <c r="T558">
        <v>3222</v>
      </c>
    </row>
    <row r="559" spans="1:20" x14ac:dyDescent="0.35">
      <c r="A559" s="7" t="s">
        <v>652</v>
      </c>
      <c r="B559" s="12" t="s">
        <v>225</v>
      </c>
      <c r="C559">
        <v>716531436.94459772</v>
      </c>
      <c r="D559">
        <v>811118937.50525808</v>
      </c>
      <c r="E559">
        <v>195148120.72072074</v>
      </c>
      <c r="F559">
        <v>383458524.32432437</v>
      </c>
      <c r="G559">
        <v>250</v>
      </c>
      <c r="H559">
        <v>305</v>
      </c>
      <c r="K559">
        <v>395</v>
      </c>
      <c r="L559">
        <v>397</v>
      </c>
      <c r="M559">
        <v>174751351.35135135</v>
      </c>
      <c r="N559">
        <v>174736666.66666666</v>
      </c>
      <c r="O559">
        <v>178938909.90990993</v>
      </c>
      <c r="P559">
        <v>213493169.36936939</v>
      </c>
      <c r="Q559">
        <v>162405675.67567569</v>
      </c>
      <c r="R559">
        <v>155167477.47747746</v>
      </c>
      <c r="S559">
        <v>18887</v>
      </c>
      <c r="T559">
        <v>19023</v>
      </c>
    </row>
    <row r="560" spans="1:20" x14ac:dyDescent="0.35">
      <c r="A560" s="7" t="s">
        <v>653</v>
      </c>
      <c r="B560" s="12" t="s">
        <v>225</v>
      </c>
      <c r="C560">
        <v>85207356.804349706</v>
      </c>
      <c r="D560">
        <v>101490048.28216553</v>
      </c>
      <c r="E560">
        <v>207207.207207208</v>
      </c>
      <c r="F560">
        <v>95495.495495495998</v>
      </c>
      <c r="G560">
        <v>23</v>
      </c>
      <c r="H560">
        <v>25</v>
      </c>
      <c r="K560">
        <v>24</v>
      </c>
      <c r="L560">
        <v>25</v>
      </c>
      <c r="M560">
        <v>1648648.6486486481</v>
      </c>
      <c r="N560">
        <v>3279279.2792792791</v>
      </c>
      <c r="O560">
        <v>13811432.432432432</v>
      </c>
      <c r="P560">
        <v>18717655.855855856</v>
      </c>
      <c r="Q560">
        <v>1398828.8288288279</v>
      </c>
      <c r="R560">
        <v>1944234.2342342341</v>
      </c>
      <c r="S560">
        <v>1762</v>
      </c>
      <c r="T560">
        <v>1785</v>
      </c>
    </row>
    <row r="561" spans="1:20" x14ac:dyDescent="0.35">
      <c r="A561" s="7" t="s">
        <v>654</v>
      </c>
      <c r="B561" s="12" t="s">
        <v>97</v>
      </c>
      <c r="C561">
        <v>453782454.4685095</v>
      </c>
      <c r="D561">
        <v>437273629.1088267</v>
      </c>
      <c r="E561">
        <v>782882.88288288505</v>
      </c>
      <c r="F561">
        <v>1792792.792792792</v>
      </c>
      <c r="G561">
        <v>178</v>
      </c>
      <c r="H561">
        <v>139</v>
      </c>
      <c r="K561">
        <v>191</v>
      </c>
      <c r="L561">
        <v>162</v>
      </c>
      <c r="M561">
        <v>9642342.3423423432</v>
      </c>
      <c r="N561">
        <v>19881081.081081081</v>
      </c>
      <c r="O561">
        <v>61555891.891891889</v>
      </c>
      <c r="P561">
        <v>58477324.324324325</v>
      </c>
      <c r="Q561">
        <v>8011171.1711711716</v>
      </c>
      <c r="R561">
        <v>16749189.189189188</v>
      </c>
      <c r="S561">
        <v>9746</v>
      </c>
      <c r="T561">
        <v>8291</v>
      </c>
    </row>
    <row r="562" spans="1:20" x14ac:dyDescent="0.35">
      <c r="A562" s="7" t="s">
        <v>655</v>
      </c>
      <c r="B562" s="12" t="s">
        <v>67</v>
      </c>
      <c r="C562">
        <v>281415788.33816302</v>
      </c>
      <c r="D562">
        <v>262328125.64529473</v>
      </c>
      <c r="E562">
        <v>6386486.4864864862</v>
      </c>
      <c r="F562">
        <v>5505405.405405404</v>
      </c>
      <c r="G562">
        <v>82</v>
      </c>
      <c r="H562">
        <v>64</v>
      </c>
      <c r="K562">
        <v>84</v>
      </c>
      <c r="L562">
        <v>66</v>
      </c>
      <c r="M562">
        <v>85874774.774774775</v>
      </c>
      <c r="N562">
        <v>86292297.297297299</v>
      </c>
      <c r="O562">
        <v>182954072.07207206</v>
      </c>
      <c r="P562">
        <v>173930387.38738739</v>
      </c>
      <c r="Q562">
        <v>79771801.801801801</v>
      </c>
      <c r="R562">
        <v>87964189.189189181</v>
      </c>
      <c r="S562">
        <v>6110</v>
      </c>
      <c r="T562">
        <v>5073</v>
      </c>
    </row>
    <row r="563" spans="1:20" x14ac:dyDescent="0.35">
      <c r="A563" s="7" t="s">
        <v>656</v>
      </c>
      <c r="B563" s="12" t="s">
        <v>69</v>
      </c>
      <c r="C563">
        <v>444668442.40187186</v>
      </c>
      <c r="D563">
        <v>456804057.6839509</v>
      </c>
      <c r="E563">
        <v>1048648.648648649</v>
      </c>
      <c r="F563">
        <v>638738.73873874196</v>
      </c>
      <c r="G563">
        <v>75</v>
      </c>
      <c r="H563">
        <v>50</v>
      </c>
      <c r="I563">
        <v>2</v>
      </c>
      <c r="K563">
        <v>81</v>
      </c>
      <c r="L563">
        <v>59</v>
      </c>
      <c r="M563">
        <v>19231166.666666664</v>
      </c>
      <c r="N563">
        <v>28361261.261261258</v>
      </c>
      <c r="O563">
        <v>59693135.135135137</v>
      </c>
      <c r="P563">
        <v>68651522.522522524</v>
      </c>
      <c r="Q563">
        <v>14963423.423423424</v>
      </c>
      <c r="R563">
        <v>19562162.162162159</v>
      </c>
      <c r="S563">
        <v>7077</v>
      </c>
      <c r="T563">
        <v>6975</v>
      </c>
    </row>
    <row r="564" spans="1:20" x14ac:dyDescent="0.35">
      <c r="A564" s="7" t="s">
        <v>14</v>
      </c>
      <c r="B564" s="12" t="s">
        <v>159</v>
      </c>
      <c r="C564">
        <v>193815180.47738329</v>
      </c>
      <c r="D564">
        <v>195296709.88779292</v>
      </c>
      <c r="E564">
        <v>933333.33333333698</v>
      </c>
      <c r="F564">
        <v>737837.83783783903</v>
      </c>
      <c r="G564">
        <v>26</v>
      </c>
      <c r="H564">
        <v>30</v>
      </c>
      <c r="K564">
        <v>29</v>
      </c>
      <c r="L564">
        <v>33</v>
      </c>
      <c r="M564">
        <v>36453153.153153151</v>
      </c>
      <c r="N564">
        <v>32037387.387387387</v>
      </c>
      <c r="O564">
        <v>65284279.279279277</v>
      </c>
      <c r="P564">
        <v>68965882.882882878</v>
      </c>
      <c r="Q564">
        <v>40746306.306306303</v>
      </c>
      <c r="R564">
        <v>27279369.369369369</v>
      </c>
      <c r="S564">
        <v>4096</v>
      </c>
      <c r="T564">
        <v>4136</v>
      </c>
    </row>
    <row r="565" spans="1:20" x14ac:dyDescent="0.35">
      <c r="A565" s="7" t="s">
        <v>657</v>
      </c>
      <c r="B565" s="12" t="s">
        <v>305</v>
      </c>
      <c r="C565">
        <v>207769490.15548033</v>
      </c>
      <c r="D565">
        <v>210898296.43275526</v>
      </c>
      <c r="E565">
        <v>754054.05405405199</v>
      </c>
      <c r="F565">
        <v>651351.35135135602</v>
      </c>
      <c r="G565">
        <v>44</v>
      </c>
      <c r="H565">
        <v>50</v>
      </c>
      <c r="K565">
        <v>51</v>
      </c>
      <c r="L565">
        <v>53</v>
      </c>
      <c r="M565">
        <v>33533333.333333332</v>
      </c>
      <c r="N565">
        <v>33849549.54954955</v>
      </c>
      <c r="O565">
        <v>60306932.432432435</v>
      </c>
      <c r="P565">
        <v>64582603.603603601</v>
      </c>
      <c r="Q565">
        <v>31791891.891891893</v>
      </c>
      <c r="R565">
        <v>31458828.828828827</v>
      </c>
      <c r="S565">
        <v>3125</v>
      </c>
      <c r="T565">
        <v>3070</v>
      </c>
    </row>
    <row r="566" spans="1:20" x14ac:dyDescent="0.35">
      <c r="A566" s="7" t="s">
        <v>658</v>
      </c>
      <c r="B566" s="12" t="s">
        <v>49</v>
      </c>
      <c r="C566">
        <v>256812419.56731993</v>
      </c>
      <c r="D566">
        <v>250657339.80740893</v>
      </c>
      <c r="E566">
        <v>1560360.3603603609</v>
      </c>
      <c r="F566">
        <v>3206306.30630631</v>
      </c>
      <c r="G566">
        <v>54</v>
      </c>
      <c r="H566">
        <v>13</v>
      </c>
      <c r="K566">
        <v>112</v>
      </c>
      <c r="L566">
        <v>15</v>
      </c>
      <c r="M566">
        <v>53150810.810810804</v>
      </c>
      <c r="N566">
        <v>19143243.24324324</v>
      </c>
      <c r="O566">
        <v>81875243.243243247</v>
      </c>
      <c r="P566">
        <v>79492241.441441447</v>
      </c>
      <c r="Q566">
        <v>50631891.891891889</v>
      </c>
      <c r="R566">
        <v>19222972.97297297</v>
      </c>
      <c r="S566">
        <v>3483</v>
      </c>
      <c r="T566">
        <v>3276</v>
      </c>
    </row>
    <row r="567" spans="1:20" x14ac:dyDescent="0.35">
      <c r="A567" s="7" t="s">
        <v>659</v>
      </c>
      <c r="B567" s="12" t="s">
        <v>55</v>
      </c>
      <c r="C567">
        <v>84347627.098635614</v>
      </c>
      <c r="D567">
        <v>87176088.097589985</v>
      </c>
      <c r="E567">
        <v>604504.50450450496</v>
      </c>
      <c r="F567">
        <v>3040540.5405405401</v>
      </c>
      <c r="G567">
        <v>1</v>
      </c>
      <c r="H567">
        <v>15</v>
      </c>
      <c r="K567">
        <v>1</v>
      </c>
      <c r="L567">
        <v>24</v>
      </c>
      <c r="M567">
        <v>6387387.3873873884</v>
      </c>
      <c r="N567">
        <v>11360720.72072072</v>
      </c>
      <c r="O567">
        <v>19368693.693693694</v>
      </c>
      <c r="P567">
        <v>21126135.135135137</v>
      </c>
      <c r="Q567">
        <v>5963153.1531531541</v>
      </c>
      <c r="R567">
        <v>9285765.7657657675</v>
      </c>
      <c r="S567">
        <v>1571</v>
      </c>
      <c r="T567">
        <v>1603</v>
      </c>
    </row>
    <row r="568" spans="1:20" x14ac:dyDescent="0.35">
      <c r="A568" s="7" t="s">
        <v>660</v>
      </c>
      <c r="B568" s="12" t="s">
        <v>51</v>
      </c>
      <c r="C568">
        <v>373408239.52138865</v>
      </c>
      <c r="D568">
        <v>388973000.94737929</v>
      </c>
      <c r="E568">
        <v>1736936.9369369401</v>
      </c>
      <c r="F568">
        <v>1692342.342342346</v>
      </c>
      <c r="G568">
        <v>71</v>
      </c>
      <c r="H568">
        <v>20</v>
      </c>
      <c r="K568">
        <v>90</v>
      </c>
      <c r="L568">
        <v>22</v>
      </c>
      <c r="M568">
        <v>91631441.441441447</v>
      </c>
      <c r="N568">
        <v>77052612.612612605</v>
      </c>
      <c r="O568">
        <v>187750612.61261261</v>
      </c>
      <c r="P568">
        <v>196658594.5945946</v>
      </c>
      <c r="Q568">
        <v>85107657.657657668</v>
      </c>
      <c r="R568">
        <v>75267387.387387395</v>
      </c>
      <c r="S568">
        <v>10557</v>
      </c>
      <c r="T568">
        <v>6106</v>
      </c>
    </row>
    <row r="569" spans="1:20" x14ac:dyDescent="0.35">
      <c r="A569" s="7" t="s">
        <v>661</v>
      </c>
      <c r="B569" s="12" t="s">
        <v>84</v>
      </c>
      <c r="C569">
        <v>451830650.28556341</v>
      </c>
      <c r="D569">
        <v>445552324.84360546</v>
      </c>
      <c r="E569">
        <v>69820512.612612605</v>
      </c>
      <c r="F569">
        <v>82524324.324324325</v>
      </c>
      <c r="G569">
        <v>118</v>
      </c>
      <c r="H569">
        <v>137</v>
      </c>
      <c r="K569">
        <v>135</v>
      </c>
      <c r="L569">
        <v>158</v>
      </c>
      <c r="M569">
        <v>74767028.828828827</v>
      </c>
      <c r="N569">
        <v>105554954.95495497</v>
      </c>
      <c r="O569">
        <v>116265090.0900901</v>
      </c>
      <c r="P569">
        <v>122281931.53153154</v>
      </c>
      <c r="Q569">
        <v>39280405.40540541</v>
      </c>
      <c r="R569">
        <v>45943061.261261262</v>
      </c>
      <c r="S569">
        <v>9129</v>
      </c>
      <c r="T569">
        <v>8760</v>
      </c>
    </row>
    <row r="570" spans="1:20" x14ac:dyDescent="0.35">
      <c r="A570" s="16" t="s">
        <v>662</v>
      </c>
      <c r="B570" s="14"/>
      <c r="C570" s="17">
        <v>187322313256.08121</v>
      </c>
      <c r="D570" s="17">
        <v>189507647798.95358</v>
      </c>
      <c r="E570" s="17">
        <v>40777416218.918892</v>
      </c>
      <c r="F570" s="17">
        <v>50460999559.459496</v>
      </c>
      <c r="G570" s="17">
        <v>60013</v>
      </c>
      <c r="H570" s="17">
        <v>55491</v>
      </c>
      <c r="I570" s="17">
        <v>462</v>
      </c>
      <c r="J570" s="17"/>
      <c r="K570" s="17">
        <v>84023</v>
      </c>
      <c r="L570" s="17">
        <v>81503</v>
      </c>
      <c r="M570" s="17">
        <v>38160224787.387344</v>
      </c>
      <c r="N570" s="17">
        <v>44351086391.891907</v>
      </c>
      <c r="O570" s="17">
        <v>55980457783.783859</v>
      </c>
      <c r="P570" s="17">
        <v>61794377100.000023</v>
      </c>
      <c r="Q570" s="17">
        <v>28606456232.432457</v>
      </c>
      <c r="R570" s="17">
        <v>34968922407.207207</v>
      </c>
      <c r="S570" s="17">
        <v>4129814</v>
      </c>
      <c r="T570" s="17">
        <v>3753932</v>
      </c>
    </row>
    <row r="571" spans="1:20" x14ac:dyDescent="0.35">
      <c r="A571" s="7" t="s">
        <v>659</v>
      </c>
      <c r="B571" s="12" t="s">
        <v>55</v>
      </c>
      <c r="C571">
        <v>77505421.107497349</v>
      </c>
      <c r="D571">
        <v>79224298.060378596</v>
      </c>
      <c r="E571">
        <v>595495.49549549597</v>
      </c>
      <c r="F571">
        <v>2779279.2792792791</v>
      </c>
      <c r="G571">
        <v>1</v>
      </c>
      <c r="H571">
        <v>14</v>
      </c>
      <c r="K571">
        <v>1</v>
      </c>
      <c r="L571">
        <v>21</v>
      </c>
      <c r="M571">
        <v>6378378.3783783792</v>
      </c>
      <c r="N571">
        <v>9707207.2072072066</v>
      </c>
      <c r="O571">
        <v>18067882.882882886</v>
      </c>
      <c r="P571">
        <v>19248351.351351351</v>
      </c>
      <c r="Q571">
        <v>5773063.0630630637</v>
      </c>
      <c r="R571">
        <v>7682432.4324324327</v>
      </c>
      <c r="S571">
        <v>1554</v>
      </c>
      <c r="T571">
        <v>1496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2026-08-27T12:23:39Z</dcterms:modified>
</cp:coreProperties>
</file>